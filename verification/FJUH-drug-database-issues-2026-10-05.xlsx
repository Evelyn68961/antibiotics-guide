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High priority" sheetId="2" state="visible" r:id="rId2"/>
    <sheet name="All issues" sheetId="3" state="visible" r:id="rId3"/>
    <sheet name="Recurring patterns" sheetId="4" state="visible" r:id="rId4"/>
    <sheet name="By drug" sheetId="5" state="visible" r:id="rId5"/>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sz val="10"/>
    </font>
    <font>
      <name val="Arial"/>
      <b val="1"/>
      <color rgb="00FFFFFF"/>
      <sz val="10"/>
    </font>
    <font>
      <name val="Arial"/>
      <b val="1"/>
      <sz val="14"/>
    </font>
    <font>
      <name val="Arial"/>
      <b val="1"/>
      <sz val="10"/>
    </font>
  </fonts>
  <fills count="6">
    <fill>
      <patternFill/>
    </fill>
    <fill>
      <patternFill patternType="gray125"/>
    </fill>
    <fill>
      <patternFill patternType="solid">
        <fgColor rgb="00F8CBAD"/>
      </patternFill>
    </fill>
    <fill>
      <patternFill patternType="solid">
        <fgColor rgb="001F4E78"/>
      </patternFill>
    </fill>
    <fill>
      <patternFill patternType="solid">
        <fgColor rgb="00FFE699"/>
      </patternFill>
    </fill>
    <fill>
      <patternFill patternType="solid">
        <fgColor rgb="00E2EFDA"/>
      </patternFill>
    </fill>
  </fills>
  <borders count="1">
    <border>
      <left/>
      <right/>
      <top/>
      <bottom/>
      <diagonal/>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pivotButton="0" quotePrefix="0" xfId="0"/>
    <xf numFmtId="0" fontId="1" fillId="0" borderId="0" applyAlignment="1" pivotButton="0" quotePrefix="0" xfId="0">
      <alignment vertical="top" wrapText="1"/>
    </xf>
    <xf numFmtId="0" fontId="1" fillId="0" borderId="0" pivotButton="0" quotePrefix="0" xfId="0"/>
    <xf numFmtId="0" fontId="1" fillId="0" borderId="0" applyAlignment="1" pivotButton="0" quotePrefix="0" xfId="0">
      <alignment horizontal="left"/>
    </xf>
    <xf numFmtId="0" fontId="2" fillId="3" borderId="0" applyAlignment="1" pivotButton="0" quotePrefix="0" xfId="0">
      <alignment vertical="center" wrapText="1"/>
    </xf>
    <xf numFmtId="0" fontId="1" fillId="2"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2" fillId="3" borderId="0" applyAlignment="1" pivotButton="0" quotePrefix="0" xfId="0">
      <alignment vertical="top" wrapText="1"/>
    </xf>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HighPriority" displayName="HighPriority" ref="A1:K147" headerRowCount="1">
  <autoFilter ref="A1:K147"/>
  <tableColumns count="11">
    <tableColumn id="1" name="ID"/>
    <tableColumn id="2" name="Drug (hospital code)"/>
    <tableColumn id="3" name="Severity"/>
    <tableColumn id="4" name="Category"/>
    <tableColumn id="5" name="Recurring pattern"/>
    <tableColumn id="6" name="Suggested action"/>
    <tableColumn id="7" name="Hospital database says"/>
    <tableColumn id="8" name="Official source says"/>
    <tableColumn id="9" name="Source"/>
    <tableColumn id="10" name="DI team status"/>
    <tableColumn id="11" name="DI team notes"/>
  </tableColumns>
  <tableStyleInfo name="TableStyleLight1" showRowStripes="0"/>
</table>
</file>

<file path=xl/tables/table2.xml><?xml version="1.0" encoding="utf-8"?>
<table xmlns="http://schemas.openxmlformats.org/spreadsheetml/2006/main" id="2" name="AllIssues" displayName="AllIssues" ref="A1:K461" headerRowCount="1">
  <autoFilter ref="A1:K461"/>
  <tableColumns count="11">
    <tableColumn id="1" name="ID"/>
    <tableColumn id="2" name="Drug (hospital code)"/>
    <tableColumn id="3" name="Severity"/>
    <tableColumn id="4" name="Category"/>
    <tableColumn id="5" name="Recurring pattern"/>
    <tableColumn id="6" name="Suggested action"/>
    <tableColumn id="7" name="Hospital database says"/>
    <tableColumn id="8" name="Official source says"/>
    <tableColumn id="9" name="Source"/>
    <tableColumn id="10" name="DI team status"/>
    <tableColumn id="11" name="DI team not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14" customWidth="1" min="1" max="1"/>
    <col width="100" customWidth="1" min="2" max="2"/>
  </cols>
  <sheetData>
    <row r="1">
      <c r="A1" s="1" t="inlineStr">
        <is>
          <t>FJUH drug database: discrepancies with official labels</t>
        </is>
      </c>
    </row>
    <row r="3">
      <c r="A3" s="2" t="inlineStr">
        <is>
          <t>Prepared</t>
        </is>
      </c>
      <c r="B3" s="3" t="inlineStr">
        <is>
          <t>2026-10-05, while verifying the pharmacy antimicrobial reference (Notion) against official sources.</t>
        </is>
      </c>
    </row>
    <row r="4">
      <c r="A4" s="2" t="inlineStr">
        <is>
          <t>Scope</t>
        </is>
      </c>
      <c r="B4" s="3" t="inlineStr">
        <is>
          <t>460 items across the hospital antimicrobial entries checked so far (pharmacy.fjuh.fju.edu.tw).</t>
        </is>
      </c>
    </row>
    <row r="5">
      <c r="A5" s="2" t="inlineStr">
        <is>
          <t>Sources</t>
        </is>
      </c>
      <c r="B5" s="3" t="inlineStr">
        <is>
          <t>US FDA label (DailyMed), UK SmPC (medicines.org.uk), Taiwan package insert (TFDA / hospital-hosted PDFs), NIH LactMed, IDSA and other guidelines. Each row cites its source.</t>
        </is>
      </c>
    </row>
    <row r="6">
      <c r="A6" s="2" t="inlineStr">
        <is>
          <t>Severity</t>
        </is>
      </c>
      <c r="B6" s="3" t="inlineStr">
        <is>
          <t>High = could cause harm if followed (wrong or missing dose adjustment, missing contraindication or boxed warning). Medium = clinically relevant omission or outdated content. Low = wording, retired FDA letter categories, pharmacokinetic detail.</t>
        </is>
      </c>
    </row>
    <row r="7">
      <c r="A7" s="2" t="inlineStr">
        <is>
          <t>Caution</t>
        </is>
      </c>
      <c r="B7" s="3" t="inlineStr">
        <is>
          <t>Severity and suggested actions were drafted with AI assistance from the label comparison and have not yet been reviewed by a pharmacist. Please confirm each item against the cited source before changing the database.</t>
        </is>
      </c>
    </row>
    <row r="8">
      <c r="A8" s="2" t="inlineStr">
        <is>
          <t>How to use</t>
        </is>
      </c>
      <c r="B8" s="3" t="inlineStr">
        <is>
          <t>Start with the "High priority" tab. Track progress in the "DI team status" and "DI team notes" columns. "Recurring patterns" lists issues that repeat across drugs and can be fixed in one batch.</t>
        </is>
      </c>
    </row>
    <row r="10">
      <c r="A10" s="2" t="inlineStr">
        <is>
          <t>Counts</t>
        </is>
      </c>
    </row>
    <row r="11">
      <c r="A11" s="4" t="inlineStr">
        <is>
          <t>High</t>
        </is>
      </c>
      <c r="B11" s="5">
        <f>COUNTIF('All issues'!$C$2:$C$461,"High")</f>
        <v/>
      </c>
    </row>
    <row r="12">
      <c r="A12" s="4" t="inlineStr">
        <is>
          <t>Medium</t>
        </is>
      </c>
      <c r="B12" s="5">
        <f>COUNTIF('All issues'!$C$2:$C$461,"Medium")</f>
        <v/>
      </c>
    </row>
    <row r="13">
      <c r="A13" s="4" t="inlineStr">
        <is>
          <t>Low</t>
        </is>
      </c>
      <c r="B13" s="5">
        <f>COUNTIF('All issues'!$C$2:$C$461,"Low")</f>
        <v/>
      </c>
    </row>
    <row r="14">
      <c r="A14" s="2" t="inlineStr">
        <is>
          <t>Total</t>
        </is>
      </c>
      <c r="B14" s="5">
        <f>SUM(B11:B13)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10" customWidth="1" min="3" max="3"/>
    <col width="22" customWidth="1" min="4" max="4"/>
    <col width="20" customWidth="1" min="5" max="5"/>
    <col width="40" customWidth="1" min="6" max="6"/>
    <col width="45" customWidth="1" min="7" max="7"/>
    <col width="45" customWidth="1" min="8" max="8"/>
    <col width="40" customWidth="1" min="9" max="9"/>
    <col width="14" customWidth="1" min="10" max="10"/>
    <col width="30" customWidth="1" min="11" max="11"/>
  </cols>
  <sheetData>
    <row r="1">
      <c r="A1" s="6" t="inlineStr">
        <is>
          <t>ID</t>
        </is>
      </c>
      <c r="B1" s="6" t="inlineStr">
        <is>
          <t>Drug (hospital code)</t>
        </is>
      </c>
      <c r="C1" s="6" t="inlineStr">
        <is>
          <t>Severity</t>
        </is>
      </c>
      <c r="D1" s="6" t="inlineStr">
        <is>
          <t>Category</t>
        </is>
      </c>
      <c r="E1" s="6" t="inlineStr">
        <is>
          <t>Recurring pattern</t>
        </is>
      </c>
      <c r="F1" s="6" t="inlineStr">
        <is>
          <t>Suggested action</t>
        </is>
      </c>
      <c r="G1" s="6" t="inlineStr">
        <is>
          <t>Hospital database says</t>
        </is>
      </c>
      <c r="H1" s="6" t="inlineStr">
        <is>
          <t>Official source says</t>
        </is>
      </c>
      <c r="I1" s="6" t="inlineStr">
        <is>
          <t>Source</t>
        </is>
      </c>
      <c r="J1" s="6" t="inlineStr">
        <is>
          <t>DI team status</t>
        </is>
      </c>
      <c r="K1" s="6" t="inlineStr">
        <is>
          <t>DI team notes</t>
        </is>
      </c>
    </row>
    <row r="2">
      <c r="A2" s="3" t="n">
        <v>223</v>
      </c>
      <c r="B2" s="3" t="inlineStr">
        <is>
          <t>Amikacin (AMI12)</t>
        </is>
      </c>
      <c r="C2" s="7" t="inlineStr">
        <is>
          <t>High</t>
        </is>
      </c>
      <c r="D2" s="3" t="inlineStr">
        <is>
          <t>Dosing – adult</t>
        </is>
      </c>
      <c r="E2" s="3" t="inlineStr"/>
      <c r="F2" s="3" t="inlineStr">
        <is>
          <t>State label max 15 mg/kg/day (≤1.5 g/day); mark higher/intrathecal regimens off-label with citations</t>
        </is>
      </c>
      <c r="G2" s="3" t="inlineStr">
        <is>
          <t>Bloodstream infection IV 15–30 mg/kg once daily; CF 30–35 mg/kg once daily; intraventricular/intrathecal 5–50 mg/day; other off-label regimens</t>
        </is>
      </c>
      <c r="H2" s="3" t="inlineStr">
        <is>
          <t>US: total daily dose ≤15 mg/kg/day in 2–3 doses; heavy patients ≤1.5 g/day. UK: 15 mg/kg/day (once daily only if CrCl ≥50), ≤1.5 g/day. TW (stocked product): 7.5–15 mg/kg/day ÷2, ≤1.5 g/day. No label gives an intrathecal dose; the UK SmPC mentions only 0.25% irrigation of the cerebral ventricles.</t>
        </is>
      </c>
      <c r="I2" s="3" t="inlineStr">
        <is>
          <t>US D&amp;A; UK SmPC 4.2; Taiwan insert 3.1 – https://mcp.fda.gov.tw/im_detail_1/%E8%A1%9B%E7%BD%B2%E8%97%A5%E8%A3%BD%E5%AD%97%E7%AC%AC024198%E8%99%9F</t>
        </is>
      </c>
      <c r="J2" s="3" t="inlineStr">
        <is>
          <t>Open</t>
        </is>
      </c>
      <c r="K2" s="3" t="inlineStr"/>
    </row>
    <row r="3">
      <c r="A3" s="3" t="n">
        <v>229</v>
      </c>
      <c r="B3" s="3" t="inlineStr">
        <is>
          <t>Amikacin (AMI12)</t>
        </is>
      </c>
      <c r="C3" s="7" t="inlineStr">
        <is>
          <t>High</t>
        </is>
      </c>
      <c r="D3" s="3" t="inlineStr">
        <is>
          <t>Dosing – adult</t>
        </is>
      </c>
      <c r="E3" s="3" t="inlineStr"/>
      <c r="F3" s="3" t="inlineStr">
        <is>
          <t>Cap at label 15 mg/kg/day; mark 15–35 mg/kg regimens off-label with citations</t>
        </is>
      </c>
      <c r="G3" s="3" t="inlineStr">
        <is>
          <t>Bloodstream infection, and sepsis/septic shock: IV 15 to 30 mg/kg once daily. HAP/VAP and plague: 15–20 mg/kg once daily. CF: 30–35 mg/kg once daily.</t>
        </is>
      </c>
      <c r="H3" s="3" t="inlineStr">
        <is>
          <t>US: total daily dose must not exceed 15 mg/kg/day, and heavier patients ≤1.5 g/day. UK: 15 mg/kg/day, ≤1.5 g/day. TW insert: 7.5–15 mg/kg/day ÷ bid; life-threatening or Pseudomonas up to 500 mg q8h, ≤1.5 g/day. Doses above this are off-label and need a guideline or PubMed source (e.g. Taccone 2010, PMID 20370907, for ≥25 mg/kg in septic shock).</t>
        </is>
      </c>
      <c r="I3" s="3" t="inlineStr">
        <is>
          <t>US label DOSAGE AND ADMINISTRATION; UK SmPC 4.2; TW insert 3.1, https://mcp.fda.gov.tw/im_detail_1/%E8%A1%9B%E7%BD%B2%E8%97%A5%E8%A3%BD%E5%AD%97%E7%AC%AC024198%E8%99%9F</t>
        </is>
      </c>
      <c r="J3" s="3" t="inlineStr">
        <is>
          <t>Open</t>
        </is>
      </c>
      <c r="K3" s="3" t="inlineStr"/>
    </row>
    <row r="4">
      <c r="A4" s="3" t="n">
        <v>231</v>
      </c>
      <c r="B4" s="3" t="inlineStr">
        <is>
          <t>Amikacin (AMI12)</t>
        </is>
      </c>
      <c r="C4" s="7" t="inlineStr">
        <is>
          <t>High</t>
        </is>
      </c>
      <c r="D4" s="3" t="inlineStr">
        <is>
          <t>Dosing – adult</t>
        </is>
      </c>
      <c r="E4" s="3" t="inlineStr"/>
      <c r="F4" s="3" t="inlineStr">
        <is>
          <t>Add limits: high-dose 500 mg q8h max 1.5 g/day, ≤10 days, total course ≤15 g (TW/UK); reassess beyond 10 days</t>
        </is>
      </c>
      <c r="G4" s="3" t="inlineStr">
        <is>
          <t>No maximum daily dose, treatment duration, or total-course limit stated.</t>
        </is>
      </c>
      <c r="H4" s="3" t="inlineStr">
        <is>
          <t>TW insert 3.1 and UK SmPC 4.2: escalated regimen (500 mg q8h) ≤1.5 g/day, ≤10 days, total ≤15 g. US: usual 7–10 days; reassess if &gt;10 days; safety &gt;14 days not established.</t>
        </is>
      </c>
      <c r="I4" s="3" t="inlineStr">
        <is>
          <t>TW insert 3.1; UK SmPC 4.2; US label DOSAGE AND ADMINISTRATION and WARNINGS box</t>
        </is>
      </c>
      <c r="J4" s="3" t="inlineStr">
        <is>
          <t>Open</t>
        </is>
      </c>
      <c r="K4" s="3" t="inlineStr"/>
    </row>
    <row r="5">
      <c r="A5" s="3" t="n">
        <v>224</v>
      </c>
      <c r="B5" s="3" t="inlineStr">
        <is>
          <t>Amikacin (AMI12)</t>
        </is>
      </c>
      <c r="C5" s="7" t="inlineStr">
        <is>
          <t>High</t>
        </is>
      </c>
      <c r="D5" s="3" t="inlineStr">
        <is>
          <t>Dosing – renal/dialysis</t>
        </is>
      </c>
      <c r="E5" s="3" t="inlineStr">
        <is>
          <t>Renal table outdated</t>
        </is>
      </c>
      <c r="F5" s="3" t="inlineStr">
        <is>
          <t>Replace unsourced GFR/CRRT table with label method or cite source; reconcile CRRT with Notion</t>
        </is>
      </c>
      <c r="G5" s="3" t="inlineStr">
        <is>
          <t>GFR 30–50: 5–7.5 mg/kg q12–18h; GFR 10–29: q18–24h; GFR &lt;10: q48–72h; HD/PD 5 mg/kg then redose by level; CRRT 7.5 mg/kg q12h</t>
        </is>
      </c>
      <c r="H5" s="3" t="inlineStr">
        <is>
          <t>No label has GFR tiers or CRRT dosing. US: 7.5 mg/kg every (SCr × 9) h, or 7.5 mg/kg LD then reduced q12h dose in proportion to CrCl; neither method during dialysis. UK: same methods, and no once-daily total dose if CrCl &lt;50. TW insert: no renal table. The hospital CRRT dose (7.5 mg/kg q12h) also disagrees with the Notion CRRT entry (LD 10 mg/kg then TDM). Both need a guideline or PubMed source.</t>
        </is>
      </c>
      <c r="I5" s="3" t="inlineStr">
        <is>
          <t>US D&amp;A renal sections – https://dailymed.nlm.nih.gov/dailymed/drugInfo.cfm?setid=f260ff2a-76a0-4672-9516-91c344b67890; UK SmPC 4.2</t>
        </is>
      </c>
      <c r="J5" s="3" t="inlineStr">
        <is>
          <t>Open</t>
        </is>
      </c>
      <c r="K5" s="3" t="inlineStr"/>
    </row>
    <row r="6">
      <c r="A6" s="3" t="n">
        <v>230</v>
      </c>
      <c r="B6" s="3" t="inlineStr">
        <is>
          <t>Amikacin (AMI12)</t>
        </is>
      </c>
      <c r="C6" s="7" t="inlineStr">
        <is>
          <t>High</t>
        </is>
      </c>
      <c r="D6" s="3" t="inlineStr">
        <is>
          <t>Dosing – renal/dialysis</t>
        </is>
      </c>
      <c r="E6" s="3" t="inlineStr">
        <is>
          <t>Renal table outdated</t>
        </is>
      </c>
      <c r="F6" s="3" t="inlineStr">
        <is>
          <t>Replace pediatric-unit GFR table with adult label renal method; CRRT per evidence with TDM</t>
        </is>
      </c>
      <c r="G6" s="3" t="inlineStr">
        <is>
          <t>GFR 30–50 mL/min/1.73 m²: 5–7.5 mg/kg q12–18h; GFR 10–29: q18–24h; GFR &lt;10: q48–72h; IHD 5 mg/kg, redose by level; CRRT 7.5 mg/kg q12h. This sits right after the paediatric section, and the units (per 1.73 m²) suggest a paediatric table shown as the general renal adjustment.</t>
        </is>
      </c>
      <c r="H6" s="3" t="inlineStr">
        <is>
          <t>No label gives GFR tiers or CRRT dosing. US label (fallback, since the TW insert has none): 7.5 mg/kg every SCr×9 h, or a 7.5 mg/kg loading dose then reduced q12h doses in proportion to CrCl; neither method during dialysis. UK SmPC: no once-daily dosing if CrCl &lt;50. CRRT evidence (Roger 2016, PMID 27270279) supports 25 mg/kg about q48h with TDM, not 7.5 mg/kg q12h.</t>
        </is>
      </c>
      <c r="I6" s="3" t="inlineStr">
        <is>
          <t>US label Impaired Renal Function sections; UK SmPC 4.2; Roger C 2016, https://pubmed.ncbi.nlm.nih.gov/27270279/</t>
        </is>
      </c>
      <c r="J6" s="3" t="inlineStr">
        <is>
          <t>Open</t>
        </is>
      </c>
      <c r="K6" s="3" t="inlineStr"/>
    </row>
    <row r="7">
      <c r="A7" s="3" t="n">
        <v>235</v>
      </c>
      <c r="B7" s="3" t="inlineStr">
        <is>
          <t>AmoClav (Amoxicillin/clavulanate) (AMO04, AMO08)</t>
        </is>
      </c>
      <c r="C7" s="7" t="inlineStr">
        <is>
          <t>High</t>
        </is>
      </c>
      <c r="D7" s="3" t="inlineStr">
        <is>
          <t>Dosing – adult</t>
        </is>
      </c>
      <c r="E7" s="3" t="inlineStr"/>
      <c r="F7" s="3" t="inlineStr">
        <is>
          <t>Remove q6h option: 1.2 g q8h only (max 600 mg clavulanate/day); use other IV amoxicillin if more needed</t>
        </is>
      </c>
      <c r="G7" s="3" t="inlineStr">
        <is>
          <t>1.2 g every 8 hours; in severe infections, administer every 6 hours</t>
        </is>
      </c>
      <c r="H7" s="3" t="inlineStr">
        <is>
          <t>1000 mg/200 mg every 8 hours only. This product delivers at most 3000 mg amoxicillin + 600 mg clavulanate a day; if more amoxicillin is needed, use an alternative IV formulation. q6h would give 800 mg/day clavulanate.</t>
        </is>
      </c>
      <c r="I7" s="3" t="inlineStr">
        <is>
          <t>UK SmPC 4.2 — https://www.medicines.org.uk/emc/product/7211/smpc</t>
        </is>
      </c>
      <c r="J7" s="3" t="inlineStr">
        <is>
          <t>Open</t>
        </is>
      </c>
      <c r="K7" s="3" t="inlineStr"/>
    </row>
    <row r="8">
      <c r="A8" s="3" t="n">
        <v>236</v>
      </c>
      <c r="B8" s="3" t="inlineStr">
        <is>
          <t>AmoClav (Amoxicillin/clavulanate) (AMO04, AMO08)</t>
        </is>
      </c>
      <c r="C8" s="7" t="inlineStr">
        <is>
          <t>High</t>
        </is>
      </c>
      <c r="D8" s="3" t="inlineStr">
        <is>
          <t>Dosing – adult</t>
        </is>
      </c>
      <c r="E8" s="3" t="inlineStr"/>
      <c r="F8" s="3" t="inlineStr">
        <is>
          <t>Fix prophylaxis: &lt;1 h single 1.2–2.2 g at induction; &gt;1 h up to 3 doses total in 24 h</t>
        </is>
      </c>
      <c r="G8" s="3" t="inlineStr">
        <is>
          <t>1.2 g at induction of anesthesia for procedures 1 hour, may administer up to 2-3 additional doses in 24 hours (the &lt; or &gt; sign is missing)</t>
        </is>
      </c>
      <c r="H8" s="3" t="inlineStr">
        <is>
          <t>Procedures &lt;1 h: 1000/200 to 2000/200 mg at induction. Procedures &gt;1 h: same at induction, with up to 3 doses of 1000/200 mg in 24 hours (3 in total, not 2–3 additional).</t>
        </is>
      </c>
      <c r="I8" s="3" t="inlineStr">
        <is>
          <t>UK SmPC 4.2 — https://www.medicines.org.uk/emc/product/7211/smpc</t>
        </is>
      </c>
      <c r="J8" s="3" t="inlineStr">
        <is>
          <t>Open</t>
        </is>
      </c>
      <c r="K8" s="3" t="inlineStr"/>
    </row>
    <row r="9">
      <c r="A9" s="3" t="n">
        <v>246</v>
      </c>
      <c r="B9" s="3" t="inlineStr">
        <is>
          <t>AmoClav (Amoxicillin/clavulanate) (AMO04, AMO08)</t>
        </is>
      </c>
      <c r="C9" s="7" t="inlineStr">
        <is>
          <t>High</t>
        </is>
      </c>
      <c r="D9" s="3" t="inlineStr">
        <is>
          <t>Dosing – adult</t>
        </is>
      </c>
      <c r="E9" s="3" t="inlineStr"/>
      <c r="F9" s="3" t="inlineStr">
        <is>
          <t>Remove q6h option: 1.2 g q8h only (max 600 mg clavulanate/day)</t>
        </is>
      </c>
      <c r="G9" s="3" t="inlineStr">
        <is>
          <t>1.2 g every 8 hours; in severe infections, administer every 6 hours</t>
        </is>
      </c>
      <c r="H9" s="3" t="inlineStr">
        <is>
          <t>1000/200 mg every 8 hours only. The vial is designed for at most 3000 mg amoxicillin + 600 mg clavulanate a day (q6h gives 800 mg clavulanate). If more amoxicillin is needed, use an alternative IV formulation.</t>
        </is>
      </c>
      <c r="I9" s="3" t="inlineStr">
        <is>
          <t>UK SmPC §4.2, https://www.medicines.org.uk/emc/product/7211/smpc</t>
        </is>
      </c>
      <c r="J9" s="3" t="inlineStr">
        <is>
          <t>Open</t>
        </is>
      </c>
      <c r="K9" s="3" t="inlineStr"/>
    </row>
    <row r="10">
      <c r="A10" s="3" t="n">
        <v>247</v>
      </c>
      <c r="B10" s="3" t="inlineStr">
        <is>
          <t>AmoClav (Amoxicillin/clavulanate) (AMO04, AMO08)</t>
        </is>
      </c>
      <c r="C10" s="7" t="inlineStr">
        <is>
          <t>High</t>
        </is>
      </c>
      <c r="D10" s="3" t="inlineStr">
        <is>
          <t>Dosing – adult</t>
        </is>
      </c>
      <c r="E10" s="3" t="inlineStr"/>
      <c r="F10" s="3" t="inlineStr">
        <is>
          <t>Restore '&lt;'/'&gt;' and state max 3 doses total in 24 h for procedures &gt;1 h</t>
        </is>
      </c>
      <c r="G10" s="3" t="inlineStr">
        <is>
          <t>1.2 g at induction of anesthesia for procedures [sign missing] 1 hour, may administer up to 2-3 additional doses in 24 hours</t>
        </is>
      </c>
      <c r="H10" s="3" t="inlineStr">
        <is>
          <t>Procedures &lt;1 h: 1000/200–2000/200 mg at induction. Procedures &gt;1 h: same, with up to 3 doses of 1000/200 mg in 24 h in total. The '&lt;'/'&gt;' sign is lost in the hospital text, and '2-3 additional doses' could exceed 3 doses in total.</t>
        </is>
      </c>
      <c r="I10" s="3" t="inlineStr">
        <is>
          <t>UK SmPC §4.2, https://www.medicines.org.uk/emc/product/7211/smpc</t>
        </is>
      </c>
      <c r="J10" s="3" t="inlineStr">
        <is>
          <t>Open</t>
        </is>
      </c>
      <c r="K10" s="3" t="inlineStr"/>
    </row>
    <row r="11">
      <c r="A11" s="3" t="n">
        <v>237</v>
      </c>
      <c r="B11" s="3" t="inlineStr">
        <is>
          <t>AmoClav (Amoxicillin/clavulanate) (AMO04, AMO08)</t>
        </is>
      </c>
      <c r="C11" s="7" t="inlineStr">
        <is>
          <t>High</t>
        </is>
      </c>
      <c r="D11" s="3" t="inlineStr">
        <is>
          <t>Dosing – pediatric</t>
        </is>
      </c>
      <c r="E11" s="3" t="inlineStr"/>
      <c r="F11" s="3" t="inlineStr">
        <is>
          <t>Pediatric &lt;40 kg: ≥3 mo 30 mg/kg q8h; &lt;3 mo or &lt;4 kg 30 mg/kg q12h infusion; remove q6h and titration</t>
        </is>
      </c>
      <c r="G11" s="3" t="inlineStr">
        <is>
          <t>3 months to 12 years: 30 mg/kg every 8 hours; in severe infections, administer every 6 hours. 30 mg/kg every 12 hours; then titrate to every 8 hours (no age/weight condition).</t>
        </is>
      </c>
      <c r="H11" s="3" t="inlineStr">
        <is>
          <t>Children &lt;40 kg (weight-based, not 'to 12 years'): ≥3 months 25/5 mg/kg (30 mg/kg combined) q8h. Children &lt;3 months or &lt;4 kg: 25/5 mg/kg q12h, infusion only. There is no q6h option and no 'titrate to q8h' step. The pediatric q6h-in-severe-infection line was not in the source brief; I found it on the live page.</t>
        </is>
      </c>
      <c r="I11" s="3" t="inlineStr">
        <is>
          <t>UK SmPC 4.2 Paediatric population — https://www.medicines.org.uk/emc/product/7211/smpc</t>
        </is>
      </c>
      <c r="J11" s="3" t="inlineStr">
        <is>
          <t>Open</t>
        </is>
      </c>
      <c r="K11" s="3" t="inlineStr"/>
    </row>
    <row r="12">
      <c r="A12" s="3" t="n">
        <v>248</v>
      </c>
      <c r="B12" s="3" t="inlineStr">
        <is>
          <t>AmoClav (Amoxicillin/clavulanate) (AMO04, AMO08)</t>
        </is>
      </c>
      <c r="C12" s="7" t="inlineStr">
        <is>
          <t>High</t>
        </is>
      </c>
      <c r="D12" s="3" t="inlineStr">
        <is>
          <t>Dosing – pediatric</t>
        </is>
      </c>
      <c r="E12" s="3" t="inlineStr"/>
      <c r="F12" s="3" t="inlineStr">
        <is>
          <t>Weight-based &lt;40 kg dosing; no q6h; q12h only for &lt;3 mo or &lt;4 kg by infusion</t>
        </is>
      </c>
      <c r="G12" s="3" t="inlineStr">
        <is>
          <t>3 months to 12 years: 30 mg/kg every 8 hours; in severe infections every 6 hours / 30 mg/kg every 12 hours; then titrate to every 8 hours</t>
        </is>
      </c>
      <c r="H12" s="3" t="inlineStr">
        <is>
          <t>Children &lt;40 kg: ≥3 months, 25/5 mg/kg (=30 mg/kg combined) q8h; &lt;3 months or &lt;4 kg, 25/5 mg/kg q12h by infusion only. No q6h regimen. The q12h line in the hospital entry has no age or weight condition, and the limit is weight-based (&lt;40 kg), not 12 years.</t>
        </is>
      </c>
      <c r="I12" s="3" t="inlineStr">
        <is>
          <t>UK SmPC §4.2 Paediatric population and Method of administration, https://www.medicines.org.uk/emc/product/7211/smpc</t>
        </is>
      </c>
      <c r="J12" s="3" t="inlineStr">
        <is>
          <t>Open</t>
        </is>
      </c>
      <c r="K12" s="3" t="inlineStr"/>
    </row>
    <row r="13">
      <c r="A13" s="3" t="n">
        <v>238</v>
      </c>
      <c r="B13" s="3" t="inlineStr">
        <is>
          <t>AmoClav (Amoxicillin/clavulanate) (AMO04, AMO08)</t>
        </is>
      </c>
      <c r="C13" s="7" t="inlineStr">
        <is>
          <t>High</t>
        </is>
      </c>
      <c r="D13" s="3" t="inlineStr">
        <is>
          <t>Dosing – renal/dialysis</t>
        </is>
      </c>
      <c r="E13" s="3" t="inlineStr">
        <is>
          <t>Renal table outdated</t>
        </is>
      </c>
      <c r="F13" s="3" t="inlineStr">
        <is>
          <t>HD: 1.2 g once, then 600 mg q24h plus 600 mg after dialysis; remove q12h option; use combined units</t>
        </is>
      </c>
      <c r="G13" s="3" t="inlineStr">
        <is>
          <t>1 g followed by 500 mg every 12 to 24 hours; if utilizing a 24-hour interval, administer dose after dialysis or give an additional 500 mg after dialysis (units switch from 1.2 g product to amoxicillin-only mg)</t>
        </is>
      </c>
      <c r="H13" s="3" t="inlineStr">
        <is>
          <t>1000/200 mg (1.2 g) initially, then 500/100 mg (600 mg) every 24 h, plus 500/100 mg at the end of dialysis. No q12h option.</t>
        </is>
      </c>
      <c r="I13" s="3" t="inlineStr">
        <is>
          <t>UK SmPC 4.2 Renal impairment — https://www.medicines.org.uk/emc/product/7211/smpc</t>
        </is>
      </c>
      <c r="J13" s="3" t="inlineStr">
        <is>
          <t>Open</t>
        </is>
      </c>
      <c r="K13" s="3" t="inlineStr"/>
    </row>
    <row r="14">
      <c r="A14" s="3" t="n">
        <v>239</v>
      </c>
      <c r="B14" s="3" t="inlineStr">
        <is>
          <t>AmoClav (Amoxicillin/clavulanate) (AMO04, AMO08)</t>
        </is>
      </c>
      <c r="C14" s="7" t="inlineStr">
        <is>
          <t>High</t>
        </is>
      </c>
      <c r="D14" s="3" t="inlineStr">
        <is>
          <t>Dosing – renal/dialysis</t>
        </is>
      </c>
      <c r="E14" s="3" t="inlineStr">
        <is>
          <t>Renal table outdated</t>
        </is>
      </c>
      <c r="F14" s="3" t="inlineStr">
        <is>
          <t>Remove unsupported PD q12h regimen; no label PD dose (CrCl &lt;10 maintenance is 600 mg q24h)</t>
        </is>
      </c>
      <c r="G14" s="3" t="inlineStr">
        <is>
          <t>1 g followed by 500 mg every 12 hours</t>
        </is>
      </c>
      <c r="H14" s="3" t="inlineStr">
        <is>
          <t>No peritoneal dialysis dose in the UK SmPC or US label. For CrCl &lt;10 the SmPC gives 600 mg q24h maintenance, so a q12h PD regimen is unsupported.</t>
        </is>
      </c>
      <c r="I14" s="3" t="inlineStr">
        <is>
          <t>UK SmPC 4.2 — https://www.medicines.org.uk/emc/product/7211/smpc; US label 2.6 — https://dailymed.nlm.nih.gov/dailymed/drugInfo.cfm?setid=80bef3fd-4f6f-4190-8865-9ac46c8947a3</t>
        </is>
      </c>
      <c r="J14" s="3" t="inlineStr">
        <is>
          <t>Open</t>
        </is>
      </c>
      <c r="K14" s="3" t="inlineStr"/>
    </row>
    <row r="15">
      <c r="A15" s="3" t="n">
        <v>240</v>
      </c>
      <c r="B15" s="3" t="inlineStr">
        <is>
          <t>AmoClav (Amoxicillin/clavulanate) (AMO04, AMO08)</t>
        </is>
      </c>
      <c r="C15" s="7" t="inlineStr">
        <is>
          <t>High</t>
        </is>
      </c>
      <c r="D15" s="3" t="inlineStr">
        <is>
          <t>Dosing – renal/dialysis</t>
        </is>
      </c>
      <c r="E15" s="3" t="inlineStr"/>
      <c r="F15" s="3" t="inlineStr">
        <is>
          <t>Escape '&lt;' in HTML so CrCl &lt;10 band (1.2 g then 600 mg q24h) displays</t>
        </is>
      </c>
      <c r="G15" s="3" t="inlineStr">
        <is>
          <t>Rendered page shows only '3. CrCl' followed by '4. Hemodialysis'. The unescaped '&lt;' cuts the text off; it reads in full only in the raw source ('CrCl &lt;10 mL/min: 1.2 g followed by 600 mg every 24 hours').</t>
        </is>
      </c>
      <c r="H15" s="3" t="inlineStr">
        <is>
          <t>The dose itself matches the SmPC (1.2 g, then 600 mg q24h). The defect is HTML escaping: the CrCl &lt;10 line is invisible to users.</t>
        </is>
      </c>
      <c r="I15" s="3" t="inlineStr">
        <is>
          <t>UK SmPC 4.2 — https://www.medicines.org.uk/emc/product/7211/smpc</t>
        </is>
      </c>
      <c r="J15" s="3" t="inlineStr">
        <is>
          <t>Open</t>
        </is>
      </c>
      <c r="K15" s="3" t="inlineStr"/>
    </row>
    <row r="16">
      <c r="A16" s="3" t="n">
        <v>249</v>
      </c>
      <c r="B16" s="3" t="inlineStr">
        <is>
          <t>AmoClav (Amoxicillin/clavulanate) (AMO04, AMO08)</t>
        </is>
      </c>
      <c r="C16" s="7" t="inlineStr">
        <is>
          <t>High</t>
        </is>
      </c>
      <c r="D16" s="3" t="inlineStr">
        <is>
          <t>Dosing – renal/dialysis</t>
        </is>
      </c>
      <c r="E16" s="3" t="inlineStr">
        <is>
          <t>Renal table outdated</t>
        </is>
      </c>
      <c r="F16" s="3" t="inlineStr">
        <is>
          <t>HD: 1.2 g once, then 600 mg q24h plus 600 mg after dialysis; no q12h</t>
        </is>
      </c>
      <c r="G16" s="3" t="inlineStr">
        <is>
          <t>1 g followed by 500 mg every 12 to 24 hours; if 24-hour interval, dose after dialysis or extra 500 mg after dialysis</t>
        </is>
      </c>
      <c r="H16" s="3" t="inlineStr">
        <is>
          <t>1000/200 mg once, then 500/100 mg every 24 h, plus 500/100 mg at the end of dialysis. Units should be 1.2 g/600 mg to match the combined-strength convention used elsewhere. The SmPC gives no q12h option for HD.</t>
        </is>
      </c>
      <c r="I16" s="3" t="inlineStr">
        <is>
          <t>UK SmPC §4.2 Renal impairment, https://www.medicines.org.uk/emc/product/7211/smpc</t>
        </is>
      </c>
      <c r="J16" s="3" t="inlineStr">
        <is>
          <t>Open</t>
        </is>
      </c>
      <c r="K16" s="3" t="inlineStr"/>
    </row>
    <row r="17">
      <c r="A17" s="3" t="n">
        <v>250</v>
      </c>
      <c r="B17" s="3" t="inlineStr">
        <is>
          <t>AmoClav (Amoxicillin/clavulanate) (AMO04, AMO08)</t>
        </is>
      </c>
      <c r="C17" s="7" t="inlineStr">
        <is>
          <t>High</t>
        </is>
      </c>
      <c r="D17" s="3" t="inlineStr">
        <is>
          <t>Dosing – renal/dialysis</t>
        </is>
      </c>
      <c r="E17" s="3" t="inlineStr">
        <is>
          <t>Renal table outdated</t>
        </is>
      </c>
      <c r="F17" s="3" t="inlineStr">
        <is>
          <t>Remove PD 500 mg q12h regimen; no label support</t>
        </is>
      </c>
      <c r="G17" s="3" t="inlineStr">
        <is>
          <t>1 g followed by 500 mg every 12 hours</t>
        </is>
      </c>
      <c r="H17" s="3" t="inlineStr">
        <is>
          <t>No PD regimen in the UK SmPC or the US label</t>
        </is>
      </c>
      <c r="I17" s="3" t="inlineStr">
        <is>
          <t>UK SmPC §4.2, https://www.medicines.org.uk/emc/product/7211/smpc</t>
        </is>
      </c>
      <c r="J17" s="3" t="inlineStr">
        <is>
          <t>Open</t>
        </is>
      </c>
      <c r="K17" s="3" t="inlineStr"/>
    </row>
    <row r="18">
      <c r="A18" s="3" t="n">
        <v>251</v>
      </c>
      <c r="B18" s="3" t="inlineStr">
        <is>
          <t>AmoClav (Amoxicillin/clavulanate) (AMO04, AMO08)</t>
        </is>
      </c>
      <c r="C18" s="7" t="inlineStr">
        <is>
          <t>High</t>
        </is>
      </c>
      <c r="D18" s="3" t="inlineStr">
        <is>
          <t>Dosing – renal/dialysis</t>
        </is>
      </c>
      <c r="E18" s="3" t="inlineStr"/>
      <c r="F18" s="3" t="inlineStr">
        <is>
          <t>Escape '&lt;' as &amp;lt; so CrCl &lt;10 line renders</t>
        </is>
      </c>
      <c r="G18" s="3" t="inlineStr">
        <is>
          <t>Rendered page shows '3. CrCl' with the text cut off. The raw HTML has 'CrCl &lt;10 mL/min: 1.2 g followed by 600 mg every 24 hours'; the unescaped '&lt;' breaks rendering.</t>
        </is>
      </c>
      <c r="H18" s="3" t="inlineStr">
        <is>
          <t>CrCl &lt;10: 1000/200 mg once, then 500/100 mg q24h (the content is correct once shown; the HTML needs '&amp;lt;')</t>
        </is>
      </c>
      <c r="I18" s="3" t="inlineStr">
        <is>
          <t>UK SmPC §4.2, https://www.medicines.org.uk/emc/product/7211/smpc</t>
        </is>
      </c>
      <c r="J18" s="3" t="inlineStr">
        <is>
          <t>Open</t>
        </is>
      </c>
      <c r="K18" s="3" t="inlineStr"/>
    </row>
    <row r="19">
      <c r="A19" s="3" t="n">
        <v>269</v>
      </c>
      <c r="B19" s="3" t="inlineStr">
        <is>
          <t>Antifect (Cefepime) (ANT10)</t>
        </is>
      </c>
      <c r="C19" s="7" t="inlineStr">
        <is>
          <t>High</t>
        </is>
      </c>
      <c r="D19" s="3" t="inlineStr">
        <is>
          <t>Administration/compatibility</t>
        </is>
      </c>
      <c r="E19" s="3" t="inlineStr"/>
      <c r="F19" s="3" t="inlineStr">
        <is>
          <t>Infusion fluids: NS, D5W/D10W, D5NS, M/6 lactate, LR with D5; SWFI for reconstitution only, not plain LR</t>
        </is>
      </c>
      <c r="G19" s="3" t="inlineStr">
        <is>
          <t>稀釋溶液：NS、D5W、SWFI、LR (仿單)</t>
        </is>
      </c>
      <c r="H19" s="3" t="inlineStr">
        <is>
          <t>TW insert/FDA infusion fluids: 0.9% NaCl, 5% and 10% dextrose, M/6 sodium lactate, D5NS, lactated Ringer's WITH 5% dextrose (not plain LR). Sterile water is listed only for reconstitution, not as an infusion diluent.</t>
        </is>
      </c>
      <c r="I19" s="3" t="inlineStr">
        <is>
          <t>Taiwan Antifect insert §3.2 相容性及安定性 — https://mcp.fda.gov.tw/im_detail_1/%E8%A1%9B%E7%BD%B2%E8%97%A5%E8%A3%BD%E5%AD%97%E7%AC%AC047983%E8%99%9F ; US FDA label §2.4, §2.6</t>
        </is>
      </c>
      <c r="J19" s="3" t="inlineStr">
        <is>
          <t>Open</t>
        </is>
      </c>
      <c r="K19" s="3" t="inlineStr"/>
    </row>
    <row r="20">
      <c r="A20" s="3" t="n">
        <v>258</v>
      </c>
      <c r="B20" s="3" t="inlineStr">
        <is>
          <t>Antifect (Cefepime) (ANT10)</t>
        </is>
      </c>
      <c r="C20" s="7" t="inlineStr">
        <is>
          <t>High</t>
        </is>
      </c>
      <c r="D20" s="3" t="inlineStr">
        <is>
          <t>Dosing – renal/dialysis</t>
        </is>
      </c>
      <c r="E20" s="3" t="inlineStr">
        <is>
          <t>Renal table outdated</t>
        </is>
      </c>
      <c r="F20" s="3" t="inlineStr">
        <is>
          <t>Replace regimen columns with label: 500 mg q12h, 1 g q12h, 2 g q12h, 2 g q8h; delete 1 g q6h</t>
        </is>
      </c>
      <c r="G20" s="3" t="inlineStr">
        <is>
          <t>Usual recommended doses at CrCl &gt;60 are 1g Q12H, 2g Q12H, 1g Q6H and 2g Q8H.</t>
        </is>
      </c>
      <c r="H20" s="3" t="inlineStr">
        <is>
          <t>No label has a 1 g q6h regimen. FDA Table 2 regimens are 500 mg q12h, 1 g q12h, 2 g q12h and 2 g q8h. Taiwan 表5 regimens are 2 g q8h, 2 g q12h, 1 g q12h and 0.5 g q12h.</t>
        </is>
      </c>
      <c r="I20" s="3" t="inlineStr">
        <is>
          <t>US FDA label 2.3 Table 2 — https://dailymed.nlm.nih.gov/dailymed/drugInfo.cfm?setid=de477f37-40f6-4295-ae72-a2ee36a8922e; Taiwan Antifect insert 3.3 表5 — https://mcp.fda.gov.tw/im_detail_1/%E8%A1%9B%E7%BD%B2%E8%97%A5%E8%A3%BD%E5%AD%97%E7%AC%AC047983%E8%99%9F</t>
        </is>
      </c>
      <c r="J20" s="3" t="inlineStr">
        <is>
          <t>Open</t>
        </is>
      </c>
      <c r="K20" s="3" t="inlineStr"/>
    </row>
    <row r="21">
      <c r="A21" s="3" t="n">
        <v>259</v>
      </c>
      <c r="B21" s="3" t="inlineStr">
        <is>
          <t>Antifect (Cefepime) (ANT10)</t>
        </is>
      </c>
      <c r="C21" s="7" t="inlineStr">
        <is>
          <t>High</t>
        </is>
      </c>
      <c r="D21" s="3" t="inlineStr">
        <is>
          <t>Dosing – renal/dialysis</t>
        </is>
      </c>
      <c r="E21" s="3" t="inlineStr">
        <is>
          <t>Renal table outdated</t>
        </is>
      </c>
      <c r="F21" s="3" t="inlineStr">
        <is>
          <t>CrCl 30–60: 2 g q12h→2 g q24h; 2 g q8h→2 g q12h; remove 1 g q8h row</t>
        </is>
      </c>
      <c r="G21" s="3" t="inlineStr">
        <is>
          <t>1g Q24H / 1g Q12H / 1g Q8H / 2g Q12H (for the 1g q12h / 2g q12h / 1g q6h / 2g q8h regimens)</t>
        </is>
      </c>
      <c r="H21" s="3" t="inlineStr">
        <is>
          <t>FDA 30-60: 1 g q12h → 1 g q24h; 2 g q12h → 2 g q24h (not 1 g q12h); 2 g q8h → 2 g q12h. The label has no 1 g q6h regimen, so '1g Q8H' has no label basis. Taiwan uses a 30-50 band with the same values.</t>
        </is>
      </c>
      <c r="I21" s="3" t="inlineStr">
        <is>
          <t>US FDA label 2.3 Table 2; Taiwan Antifect insert 表5</t>
        </is>
      </c>
      <c r="J21" s="3" t="inlineStr">
        <is>
          <t>Open</t>
        </is>
      </c>
      <c r="K21" s="3" t="inlineStr"/>
    </row>
    <row r="22">
      <c r="A22" s="3" t="n">
        <v>260</v>
      </c>
      <c r="B22" s="3" t="inlineStr">
        <is>
          <t>Antifect (Cefepime) (ANT10)</t>
        </is>
      </c>
      <c r="C22" s="7" t="inlineStr">
        <is>
          <t>High</t>
        </is>
      </c>
      <c r="D22" s="3" t="inlineStr">
        <is>
          <t>Dosing – renal/dialysis</t>
        </is>
      </c>
      <c r="E22" s="3" t="inlineStr">
        <is>
          <t>Renal table outdated</t>
        </is>
      </c>
      <c r="F22" s="3" t="inlineStr">
        <is>
          <t>CrCl 11–29 for 2 g q8h: 2 g q24h only; label last row CrCl &lt;11 (≤10 TW)</t>
        </is>
      </c>
      <c r="G22" s="3" t="inlineStr">
        <is>
          <t>11-29: 500mg Q24H / 1g Q24H / 1g Q12H / '1g Q12H or 2g Q24H'. The last row (250mg / 500mg / 1g / 1g Q24H) has no CrCl label.</t>
        </is>
      </c>
      <c r="H22" s="3" t="inlineStr">
        <is>
          <t>FDA and Taiwan, for the 2 g q8h regimen at CrCl 11-29: 2 g q24h only. 1 g q12h is not a label option. The last row should be labelled CrCl &lt;11 (FDA) or ≤10 (Taiwan).</t>
        </is>
      </c>
      <c r="I22" s="3" t="inlineStr">
        <is>
          <t>US FDA label 2.3 Table 2; Taiwan Antifect insert 表5</t>
        </is>
      </c>
      <c r="J22" s="3" t="inlineStr">
        <is>
          <t>Open</t>
        </is>
      </c>
      <c r="K22" s="3" t="inlineStr"/>
    </row>
    <row r="23">
      <c r="A23" s="3" t="n">
        <v>261</v>
      </c>
      <c r="B23" s="3" t="inlineStr">
        <is>
          <t>Antifect (Cefepime) (ANT10)</t>
        </is>
      </c>
      <c r="C23" s="7" t="inlineStr">
        <is>
          <t>High</t>
        </is>
      </c>
      <c r="D23" s="3" t="inlineStr">
        <is>
          <t>Dosing – renal/dialysis</t>
        </is>
      </c>
      <c r="E23" s="3" t="inlineStr">
        <is>
          <t>Renal table outdated</t>
        </is>
      </c>
      <c r="F23" s="3" t="inlineStr">
        <is>
          <t>Add HD (1 g day 1, then 500 mg q24h after HD; FN 1 g q24h) and CAPD (usual dose q48h)</t>
        </is>
      </c>
      <c r="G23" s="3" t="inlineStr">
        <is>
          <t>Gives no HD or CAPD rows and uses FDA-style bands (&gt;60 / 30-60 / 11-29).</t>
        </is>
      </c>
      <c r="H23" s="3" t="inlineStr">
        <is>
          <t>All labels give HD (1 g on day 1, then 0.5 g q24h after dialysis; FDA/SmPC: 1 g q24h for FN) and CAPD (usual dose q48h). The stocked Antifect product's Taiwan insert uses &gt;50 / 30-50 / 11-29 / ≤10.</t>
        </is>
      </c>
      <c r="I23" s="3" t="inlineStr">
        <is>
          <t>Taiwan Antifect insert 3.3 表5 and 透析患者; US FDA label 2.3</t>
        </is>
      </c>
      <c r="J23" s="3" t="inlineStr">
        <is>
          <t>Open</t>
        </is>
      </c>
      <c r="K23" s="3" t="inlineStr"/>
    </row>
    <row r="24">
      <c r="A24" s="3" t="n">
        <v>265</v>
      </c>
      <c r="B24" s="3" t="inlineStr">
        <is>
          <t>Antifect (Cefepime) (ANT10)</t>
        </is>
      </c>
      <c r="C24" s="7" t="inlineStr">
        <is>
          <t>High</t>
        </is>
      </c>
      <c r="D24" s="3" t="inlineStr">
        <is>
          <t>Dosing – renal/dialysis</t>
        </is>
      </c>
      <c r="E24" s="3" t="inlineStr">
        <is>
          <t>Renal table outdated</t>
        </is>
      </c>
      <c r="F24" s="3" t="inlineStr">
        <is>
          <t>Replace whole renal table with FDA Table 2/TW 表5 incl. HD and CAPD rows; remove 1 g q6h</t>
        </is>
      </c>
      <c r="G24" s="3" t="inlineStr">
        <is>
          <t>CrCl &gt;60 'usual' regimens: 1g Q12H | 2g Q12H | 1g Q6H | 2g Q8H. 30-60: 1g Q24H | 1g Q12H | 1g Q8H | 2g Q12H. 11-29: 500mg Q24H | 1g Q24H | 1g Q12H | 1g Q12H or 2g Q24H. An unlabeled fourth row: 250mg Q24H | 500mg Q24H | 1g Q24H | 1g Q24H. No HD or CAPD rows.</t>
        </is>
      </c>
      <c r="H24" s="3" t="inlineStr">
        <is>
          <t>FDA Table 2 usual regimens are 500 mg q12h | 1 g q12h | 2 g q12h | 2 g q8h; there is no 1 g q6h. 30-60: 500 mg q24h | 1 g q24h | 2 g q24h | 2 g q12h. 11-29: 500 mg q24h | 500 mg q24h | 1 g q24h | 2 g q24h. &lt;11: 250 mg | 250 mg | 500 mg | 1 g q24h. CAPD: usual dose q48h. HD: 1 g day 1 then 500 mg q24h (FN 1 g q24h), after dialysis. The stocked Antifect insert (表5) gives the same doses with bands &gt;50 / 30-50 / 11-29 / ≤10, plus HD 1 g → 0.5 g q24h and CAPD q48h.</t>
        </is>
      </c>
      <c r="I24" s="3" t="inlineStr">
        <is>
          <t>US FDA label §2.3 Table 2 — https://dailymed.nlm.nih.gov/dailymed/drugInfo.cfm?setid=de477f37-40f6-4295-ae72-a2ee36a8922e ; Taiwan Antifect insert §3.3 表5 — https://mcp.fda.gov.tw/im_detail_1/%E8%A1%9B%E7%BD%B2%E8%97%A5%E8%A3%BD%E5%AD%97%E7%AC%AC047983%E8%99%9F</t>
        </is>
      </c>
      <c r="J24" s="3" t="inlineStr">
        <is>
          <t>Open</t>
        </is>
      </c>
      <c r="K24" s="3" t="inlineStr"/>
    </row>
    <row r="25">
      <c r="A25" s="3" t="n">
        <v>271</v>
      </c>
      <c r="B25" s="3" t="inlineStr">
        <is>
          <t>Brosym (cefoperazone-sulbactam) (BRO04, BUR01)</t>
        </is>
      </c>
      <c r="C25" s="7" t="inlineStr">
        <is>
          <t>High</t>
        </is>
      </c>
      <c r="D25" s="3" t="inlineStr">
        <is>
          <t>Administration/compatibility</t>
        </is>
      </c>
      <c r="E25" s="3" t="inlineStr"/>
      <c r="F25" s="3" t="inlineStr">
        <is>
          <t>Remove IM; IV push ≥3 min or IV infusion only per TW insert</t>
        </is>
      </c>
      <c r="G25" s="3" t="inlineStr">
        <is>
          <t>(IV, IM) The total adult daily dose is 1g/1g to 2g/2g…</t>
        </is>
      </c>
      <c r="H25" s="3" t="inlineStr">
        <is>
          <t>IV push (≥3 min) or IV infusion only: '只限靜脈注射，不可皮下及肌肉注射'</t>
        </is>
      </c>
      <c r="I25" s="3" t="inlineStr">
        <is>
          <t>Brosym TW insert §3.1 &amp; §15(3) — https://mcp.fda.gov.tw/im_detail_1/%E8%A1%9B%E9%83%A8%E8%97%A5%E8%A3%BD%E5%AD%97%E7%AC%AC058156%E8%99%9F</t>
        </is>
      </c>
      <c r="J25" s="3" t="inlineStr">
        <is>
          <t>Open</t>
        </is>
      </c>
      <c r="K25" s="3" t="inlineStr"/>
    </row>
    <row r="26">
      <c r="A26" s="3" t="n">
        <v>278</v>
      </c>
      <c r="B26" s="3" t="inlineStr">
        <is>
          <t>Brosym (cefoperazone-sulbactam) (BRO04, BUR01)</t>
        </is>
      </c>
      <c r="C26" s="7" t="inlineStr">
        <is>
          <t>High</t>
        </is>
      </c>
      <c r="D26" s="3" t="inlineStr">
        <is>
          <t>Administration/compatibility</t>
        </is>
      </c>
      <c r="E26" s="3" t="inlineStr"/>
      <c r="F26" s="3" t="inlineStr">
        <is>
          <t>Remove IM route; IV only (push ≥3 min or infusion)</t>
        </is>
      </c>
      <c r="G26" s="3" t="inlineStr">
        <is>
          <t>Usual dose: (IV, IM)</t>
        </is>
      </c>
      <c r="H26" s="3" t="inlineStr">
        <is>
          <t>IV push (≥3 min) or IV infusion only; '只限靜脈注射，不可皮下及肌肉注射'</t>
        </is>
      </c>
      <c r="I26" s="3" t="inlineStr">
        <is>
          <t>TFDA insert Brosym §3.1, §15 其他 (3)</t>
        </is>
      </c>
      <c r="J26" s="3" t="inlineStr">
        <is>
          <t>Open</t>
        </is>
      </c>
      <c r="K26" s="3" t="inlineStr"/>
    </row>
    <row r="27">
      <c r="A27" s="3" t="n">
        <v>275</v>
      </c>
      <c r="B27" s="3" t="inlineStr">
        <is>
          <t>Brosym (cefoperazone-sulbactam) (BRO04, BUR01)</t>
        </is>
      </c>
      <c r="C27" s="7" t="inlineStr">
        <is>
          <t>High</t>
        </is>
      </c>
      <c r="D27" s="3" t="inlineStr">
        <is>
          <t>Drug interaction</t>
        </is>
      </c>
      <c r="E27" s="3" t="inlineStr">
        <is>
          <t>Interaction list incomplete</t>
        </is>
      </c>
      <c r="F27" s="3" t="inlineStr">
        <is>
          <t>Add disulfiram-like reaction: avoid alcohol during and ≥1 week after therapy</t>
        </is>
      </c>
      <c r="G27" s="3" t="inlineStr">
        <is>
          <t>Neither page mentions alcohol or a disulfiram-like reaction (grep for 酒/alcohol/disulfiram found 0 hits on either page).</t>
        </is>
      </c>
      <c r="H27" s="3" t="inlineStr">
        <is>
          <t>A disulfiram-like reaction with alcohol (N-MTT) is possible. No alcohol during treatment and for at least 1 week afterwards.</t>
        </is>
      </c>
      <c r="I27" s="3" t="inlineStr">
        <is>
          <t>Brosym TW insert §7 交互作用 — https://mcp.fda.gov.tw/im_detail_1/%E8%A1%9B%E9%83%A8%E8%97%A5%E8%A3%BD%E5%AD%97%E7%AC%AC058156%E8%99%9F</t>
        </is>
      </c>
      <c r="J27" s="3" t="inlineStr">
        <is>
          <t>Open</t>
        </is>
      </c>
      <c r="K27" s="3" t="inlineStr"/>
    </row>
    <row r="28">
      <c r="A28" s="3" t="n">
        <v>282</v>
      </c>
      <c r="B28" s="3" t="inlineStr">
        <is>
          <t>Brosym (cefoperazone-sulbactam) (BRO04, BUR01)</t>
        </is>
      </c>
      <c r="C28" s="7" t="inlineStr">
        <is>
          <t>High</t>
        </is>
      </c>
      <c r="D28" s="3" t="inlineStr">
        <is>
          <t>Drug interaction</t>
        </is>
      </c>
      <c r="E28" s="3" t="inlineStr">
        <is>
          <t>Interaction list incomplete</t>
        </is>
      </c>
      <c r="F28" s="3" t="inlineStr">
        <is>
          <t>Add disulfiram-like alcohol reaction (avoid ≥1 week after) and furosemide nephrotoxicity</t>
        </is>
      </c>
      <c r="G28" s="3" t="inlineStr">
        <is>
          <t>No mention of alcohol or the disulfiram-like reaction (text search for alcohol, disulfiram and 酒 found nothing on either page)</t>
        </is>
      </c>
      <c r="H28" s="3" t="inlineStr">
        <is>
          <t>TW 仿單 §7: disulfiram-like reaction (N-MTT); no alcohol during treatment and for at least 1 week after. Furosemide may increase nephrotoxicity.</t>
        </is>
      </c>
      <c r="I28" s="3" t="inlineStr">
        <is>
          <t>TFDA insert Brosym §7 交互作用; Burotam PDF §7 https://mcp.fda.gov.tw/insert/pdfcasefile/i_ae59ce8f-6bf8-4727-adf2-f5f34e067be1</t>
        </is>
      </c>
      <c r="J28" s="3" t="inlineStr">
        <is>
          <t>Open</t>
        </is>
      </c>
      <c r="K28" s="3" t="inlineStr"/>
    </row>
    <row r="29">
      <c r="A29" s="3" t="n">
        <v>270</v>
      </c>
      <c r="B29" s="3" t="inlineStr">
        <is>
          <t>Brosym (cefoperazone-sulbactam) (BRO04, BUR01)</t>
        </is>
      </c>
      <c r="C29" s="7" t="inlineStr">
        <is>
          <t>High</t>
        </is>
      </c>
      <c r="D29" s="3" t="inlineStr">
        <is>
          <t>Pharmacokinetics/other</t>
        </is>
      </c>
      <c r="E29" s="3" t="inlineStr"/>
      <c r="F29" s="3" t="inlineStr">
        <is>
          <t>Correct 2 g vial strength: cefoperazone 1 g + sulbactam 1 g</t>
        </is>
      </c>
      <c r="G29" s="3" t="inlineStr">
        <is>
          <t>powder for reconstitution: cefoperazone sodium 0.5 g and sulbactam sodium 0.5 g (on the 2 g/vial product pages)</t>
        </is>
      </c>
      <c r="H29" s="3" t="inlineStr">
        <is>
          <t>The 2 g vial contains cefoperazone sodium 1000 mg and sulbactam sodium 1000 mg. The 0.5 g/0.5 g strength is the 1 g vial.</t>
        </is>
      </c>
      <c r="I29" s="3" t="inlineStr">
        <is>
          <t>Brosym TW insert §1.1 — https://mcp.fda.gov.tw/im_detail_1/%E8%A1%9B%E9%83%A8%E8%97%A5%E8%A3%BD%E5%AD%97%E7%AC%AC058156%E8%99%9F; Burotam TW insert §1.1 — https://mcp.fda.gov.tw/im_detail_1/%E8%A1%9B%E9%83%A8%E8%97%A5%E8%A3%BD%E5%AD%97%E7%AC%AC061039%E8%99%9F</t>
        </is>
      </c>
      <c r="J29" s="3" t="inlineStr">
        <is>
          <t>Open</t>
        </is>
      </c>
      <c r="K29" s="3" t="inlineStr"/>
    </row>
    <row r="30">
      <c r="A30" s="3" t="n">
        <v>277</v>
      </c>
      <c r="B30" s="3" t="inlineStr">
        <is>
          <t>Brosym (cefoperazone-sulbactam) (BRO04, BUR01)</t>
        </is>
      </c>
      <c r="C30" s="7" t="inlineStr">
        <is>
          <t>High</t>
        </is>
      </c>
      <c r="D30" s="3" t="inlineStr">
        <is>
          <t>Pharmacokinetics/other</t>
        </is>
      </c>
      <c r="E30" s="3" t="inlineStr"/>
      <c r="F30" s="3" t="inlineStr">
        <is>
          <t>Correct 2 g vial strength to cefoperazone 1 g + sulbactam 1 g</t>
        </is>
      </c>
      <c r="G30" s="3" t="inlineStr">
        <is>
          <t>powder for reconstitution: cefoperazone sodium 0.5 g and sulbactam sodium 0.5 g (product listed as 2 g/Vial)</t>
        </is>
      </c>
      <c r="H30" s="3" t="inlineStr">
        <is>
          <t>2 g vial = cefoperazone sodium 1000 mg + sulbactam sodium 1000 mg; 0.5 g/0.5 g is the 1 g vial</t>
        </is>
      </c>
      <c r="I30" s="3" t="inlineStr">
        <is>
          <t>TFDA insert Brosym §1.1 https://mcp.fda.gov.tw/im_detail_1/%E8%A1%9B%E9%83%A8%E8%97%A5%E8%A3%BD%E5%AD%97%E7%AC%AC058156%E8%99%9F ; Burotam §1.1 https://mcp.fda.gov.tw/im_detail_1/%E8%A1%9B%E9%83%A8%E8%97%A5%E8%A3%BD%E5%AD%97%E7%AC%AC061039%E8%99%9F</t>
        </is>
      </c>
      <c r="J30" s="3" t="inlineStr">
        <is>
          <t>Open</t>
        </is>
      </c>
      <c r="K30" s="3" t="inlineStr"/>
    </row>
    <row r="31">
      <c r="A31" s="3" t="n">
        <v>293</v>
      </c>
      <c r="B31" s="3" t="inlineStr">
        <is>
          <t>Cefin (Ceftriaxone) (CEF10)</t>
        </is>
      </c>
      <c r="C31" s="7" t="inlineStr">
        <is>
          <t>High</t>
        </is>
      </c>
      <c r="D31" s="3" t="inlineStr">
        <is>
          <t>Administration/compatibility</t>
        </is>
      </c>
      <c r="E31" s="3" t="inlineStr"/>
      <c r="F31" s="3" t="inlineStr">
        <is>
          <t>Verify against full 仿單; if IV-only product, remove IM route for CEF10</t>
        </is>
      </c>
      <c r="G31" s="3" t="inlineStr">
        <is>
          <t>IV, IVF and IM are all listed for CEF10 (Cefin 2 g).</t>
        </is>
      </c>
      <c r="H31" s="3" t="inlineStr">
        <is>
          <t>The stocked product is registered as 舒復靜脈注射劑, 'Cefin for IV injection'. The 仿單 使用方法 section, as transcribed, describes only IV injection over 2–4 min and IV infusion over at least 30 min. IM use with a lidocaine diluent is described in the FDA and UK labels for other products. This needs checking against the full 仿單 PDF, because the transcription is partial.</t>
        </is>
      </c>
      <c r="I31" s="3" t="inlineStr">
        <is>
          <t>Cefin 仿單 title and 2.2 使用方法 https://mcp.fda.gov.tw/insert/pdfcasefile/i_e5d33886-d20a-423d-9bc2-14ea9861a989</t>
        </is>
      </c>
      <c r="J31" s="3" t="inlineStr">
        <is>
          <t>Open</t>
        </is>
      </c>
      <c r="K31" s="3" t="inlineStr"/>
    </row>
    <row r="32">
      <c r="A32" s="3" t="n">
        <v>286</v>
      </c>
      <c r="B32" s="3" t="inlineStr">
        <is>
          <t>Cefin (Ceftriaxone) (CEF10)</t>
        </is>
      </c>
      <c r="C32" s="7" t="inlineStr">
        <is>
          <t>High</t>
        </is>
      </c>
      <c r="D32" s="3" t="inlineStr">
        <is>
          <t>Contraindication/warning</t>
        </is>
      </c>
      <c r="E32" s="3" t="inlineStr">
        <is>
          <t>Missing boxed warning</t>
        </is>
      </c>
      <c r="F32" s="3" t="inlineStr">
        <is>
          <t>Add contraindications: neonates ≤28 d needing IV calcium/TPN, premature neonates to PMA 41 wk, IV lidocaine diluent</t>
        </is>
      </c>
      <c r="G32" s="3" t="inlineStr">
        <is>
          <t>Hypersensitivity to ceftriaxone/cephalosporins; do not use in hyperbilirubinemic neonates</t>
        </is>
      </c>
      <c r="H32" s="3" t="inlineStr">
        <is>
          <t>The labels also contraindicate: neonates ≤28 days who need (or are expected to need) IV calcium, including TPN; premature neonates up to postmenstrual age 41 weeks (FDA, SmPC); IV use of lidocaine-containing solutions (FDA, SmPC); and, in the SmPC, severe hypersensitivity to any beta-lactam. The TW insert has a boxed calcium warning.</t>
        </is>
      </c>
      <c r="I32" s="3" t="inlineStr">
        <is>
          <t>US FDA CONTRAINDICATIONS https://dailymed.nlm.nih.gov/dailymed/drugInfo.cfm?setid=8351aa37-552d-471d-b293-c564dcb6ec29 ; UK SmPC 4.3 https://www.medicines.org.uk/emc/product/15077/smpc ; TW insert 2.3</t>
        </is>
      </c>
      <c r="J32" s="3" t="inlineStr">
        <is>
          <t>Open</t>
        </is>
      </c>
      <c r="K32" s="3" t="inlineStr"/>
    </row>
    <row r="33">
      <c r="A33" s="3" t="n">
        <v>294</v>
      </c>
      <c r="B33" s="3" t="inlineStr">
        <is>
          <t>Cefin (Ceftriaxone) (CEF10)</t>
        </is>
      </c>
      <c r="C33" s="7" t="inlineStr">
        <is>
          <t>High</t>
        </is>
      </c>
      <c r="D33" s="3" t="inlineStr">
        <is>
          <t>Contraindication/warning</t>
        </is>
      </c>
      <c r="E33" s="3" t="inlineStr">
        <is>
          <t>Missing boxed warning</t>
        </is>
      </c>
      <c r="F33" s="3" t="inlineStr">
        <is>
          <t>Add premature neonate and neonatal IV-calcium contraindications; severe beta-lactam allergy</t>
        </is>
      </c>
      <c r="G33" s="3" t="inlineStr">
        <is>
          <t>Hypersensitivity to ceftriaxone or other cephalosporins; do not use in hyperbilirubinemic neonates.</t>
        </is>
      </c>
      <c r="H33" s="3" t="inlineStr">
        <is>
          <t>All three labels also contraindicate premature neonates (FDA/SmPC: up to PMA 41 weeks; 仿單: 早產兒). They also contraindicate neonates ≤28 days who need or are expected to need IV calcium, including TPN. The site shows the calcium rule only as a mixing alert. The SmPC also contraindicates use after a severe hypersensitivity reaction to any other β-lactam.</t>
        </is>
      </c>
      <c r="I33" s="3" t="inlineStr">
        <is>
          <t>FDA CONTRAINDICATIONS; SmPC 4.3; 仿單 2.3</t>
        </is>
      </c>
      <c r="J33" s="3" t="inlineStr">
        <is>
          <t>Open</t>
        </is>
      </c>
      <c r="K33" s="3" t="inlineStr"/>
    </row>
    <row r="34">
      <c r="A34" s="3" t="n">
        <v>314</v>
      </c>
      <c r="B34" s="3" t="inlineStr">
        <is>
          <t>Cefmore (Cefoxitin) (CEF08)</t>
        </is>
      </c>
      <c r="C34" s="7" t="inlineStr">
        <is>
          <t>High</t>
        </is>
      </c>
      <c r="D34" s="3" t="inlineStr">
        <is>
          <t>Administration/compatibility</t>
        </is>
      </c>
      <c r="E34" s="3" t="inlineStr"/>
      <c r="F34" s="3" t="inlineStr">
        <is>
          <t>Replace 2.2 mL (IM, 1 g) with IV reconstitution for stocked 2 g vial (10–20 mL per US label)</t>
        </is>
      </c>
      <c r="G34" s="3" t="inlineStr">
        <is>
          <t>1g 裝小瓶（Vial）加 2.2ml的溶劑 (the stocked item is the 2 g vial)</t>
        </is>
      </c>
      <c r="H34" s="3" t="inlineStr">
        <is>
          <t>The TW insert gives no reconstitution volume. The US label constitutes 1 g with at least 10 mL and 2 g with 10 or 20 mL for IV use. Neither source supports 2.2 mL, which looks like IM reconstitution taken from another product, and it describes the 1 g vial although the 2 g vial is stocked.</t>
        </is>
      </c>
      <c r="I34" s="3" t="inlineStr">
        <is>
          <t>US FDA label Table 3 / Preparation of Solution; Taiwan insert (no reconstitution section)</t>
        </is>
      </c>
      <c r="J34" s="3" t="inlineStr">
        <is>
          <t>Open</t>
        </is>
      </c>
      <c r="K34" s="3" t="inlineStr"/>
    </row>
    <row r="35">
      <c r="A35" s="3" t="n">
        <v>300</v>
      </c>
      <c r="B35" s="3" t="inlineStr">
        <is>
          <t>Cefmore (Cefoxitin) (CEF08)</t>
        </is>
      </c>
      <c r="C35" s="7" t="inlineStr">
        <is>
          <t>High</t>
        </is>
      </c>
      <c r="D35" s="3" t="inlineStr">
        <is>
          <t>Dosing – adult</t>
        </is>
      </c>
      <c r="E35" s="3" t="inlineStr"/>
      <c r="F35" s="3" t="inlineStr">
        <is>
          <t>Severe infection: 1 g q4h or 2 g q6–8h; reserve 2 g q4h/3 g q6h for e.g. gas gangrene</t>
        </is>
      </c>
      <c r="G35" s="3" t="inlineStr">
        <is>
          <t>In severe infections: 2 g IV Q4H or 3 g IV Q6H</t>
        </is>
      </c>
      <c r="H35" s="3" t="inlineStr">
        <is>
          <t>Moderately severe or severe infections: 1 g q4h or 2 g q6-8h (6-8 g/day). 2 g q4h or 3 g q6h (12 g/day) is the tier for infections needing higher doses, e.g. gas gangrene.</t>
        </is>
      </c>
      <c r="I35" s="3" t="inlineStr">
        <is>
          <t>Taiwan 仿單 §3.1 table; US FDA label Table 1 – https://dailymed.nlm.nih.gov/dailymed/drugInfo.cfm?setid=658a0dc6-6da5-44dc-94f2-1211619297f7</t>
        </is>
      </c>
      <c r="J35" s="3" t="inlineStr">
        <is>
          <t>Open</t>
        </is>
      </c>
      <c r="K35" s="3" t="inlineStr"/>
    </row>
    <row r="36">
      <c r="A36" s="3" t="n">
        <v>308</v>
      </c>
      <c r="B36" s="3" t="inlineStr">
        <is>
          <t>Cefmore (Cefoxitin) (CEF08)</t>
        </is>
      </c>
      <c r="C36" s="7" t="inlineStr">
        <is>
          <t>High</t>
        </is>
      </c>
      <c r="D36" s="3" t="inlineStr">
        <is>
          <t>Dosing – adult</t>
        </is>
      </c>
      <c r="E36" s="3" t="inlineStr"/>
      <c r="F36" s="3" t="inlineStr">
        <is>
          <t>Severe: 1 g q4h or 2 g q6–8h; 12 g/day tier only for higher-dose infections</t>
        </is>
      </c>
      <c r="G36" s="3" t="inlineStr">
        <is>
          <t>In severe infections: 2 g IV Q4H or 3 g IV Q6H</t>
        </is>
      </c>
      <c r="H36" s="3" t="inlineStr">
        <is>
          <t>Moderately severe/severe: 1 g q4h or 2 g q6-8h (6-8 g/day). 2 g q4h or 3 g q6h (12 g/day) is the tier for infections needing higher doses, e.g., gas gangrene.</t>
        </is>
      </c>
      <c r="I36" s="3" t="inlineStr">
        <is>
          <t>Taiwan insert §3.1 table; US FDA label Table 1</t>
        </is>
      </c>
      <c r="J36" s="3" t="inlineStr">
        <is>
          <t>Open</t>
        </is>
      </c>
      <c r="K36" s="3" t="inlineStr"/>
    </row>
    <row r="37">
      <c r="A37" s="3" t="n">
        <v>301</v>
      </c>
      <c r="B37" s="3" t="inlineStr">
        <is>
          <t>Cefmore (Cefoxitin) (CEF08)</t>
        </is>
      </c>
      <c r="C37" s="7" t="inlineStr">
        <is>
          <t>High</t>
        </is>
      </c>
      <c r="D37" s="3" t="inlineStr">
        <is>
          <t>Dosing – renal/dialysis</t>
        </is>
      </c>
      <c r="E37" s="3" t="inlineStr">
        <is>
          <t>Renal table outdated</t>
        </is>
      </c>
      <c r="F37" s="3" t="inlineStr">
        <is>
          <t>Add 1–2 g loading dose, CrCl &lt;5 band 0.5–1 g q24–48h, HD loading after each session; escape '&lt;'</t>
        </is>
      </c>
      <c r="G37" s="3" t="inlineStr">
        <is>
          <t>Four rows. Row 4 is truncated on the web page and reads only 'ClCr', so the &lt;5 mL/min band is not shown (probably an HTML '&lt;' rendering bug). No loading dose and no haemodialysis instruction.</t>
        </is>
      </c>
      <c r="H37" s="3" t="inlineStr">
        <is>
          <t>Loading dose 1-2 g. CrCl &lt;5: 0.5-1 g q24-48h. HD: give the 1-2 g loading dose after each dialysis, then maintenance per table.</t>
        </is>
      </c>
      <c r="I37" s="3" t="inlineStr">
        <is>
          <t>US FDA label D&amp;A + Table 2; Taiwan 仿單 §3.3</t>
        </is>
      </c>
      <c r="J37" s="3" t="inlineStr">
        <is>
          <t>Open</t>
        </is>
      </c>
      <c r="K37" s="3" t="inlineStr"/>
    </row>
    <row r="38">
      <c r="A38" s="3" t="n">
        <v>310</v>
      </c>
      <c r="B38" s="3" t="inlineStr">
        <is>
          <t>Cefmore (Cefoxitin) (CEF08)</t>
        </is>
      </c>
      <c r="C38" s="7" t="inlineStr">
        <is>
          <t>High</t>
        </is>
      </c>
      <c r="D38" s="3" t="inlineStr">
        <is>
          <t>Dosing – renal/dialysis</t>
        </is>
      </c>
      <c r="E38" s="3" t="inlineStr">
        <is>
          <t>Renal table outdated</t>
        </is>
      </c>
      <c r="F38" s="3" t="inlineStr">
        <is>
          <t>Add loading dose, HD post-session dose, and CrCl &lt;5 band; fix '&lt;' rendering</t>
        </is>
      </c>
      <c r="G38" s="3" t="inlineStr">
        <is>
          <t>4 CrCl bands only. No loading dose and no hemodialysis guidance. The 4th line is stored as raw 'ClCr &lt;5 mL/minute' with an unescaped '&lt;', so a browser can drop it (the HTML-to-text view showed only '4. ClCr').</t>
        </is>
      </c>
      <c r="H38" s="3" t="inlineStr">
        <is>
          <t>Loading 1-2 g, then maintenance per table. On hemodialysis, give the 1-2 g loading dose after each session. CrCl &lt;5: 0.5-1 g q24-48h.</t>
        </is>
      </c>
      <c r="I38" s="3" t="inlineStr">
        <is>
          <t>US FDA label DOSAGE AND ADMINISTRATION (loading dose, hemodialysis, Table 2); Taiwan insert §3.3</t>
        </is>
      </c>
      <c r="J38" s="3" t="inlineStr">
        <is>
          <t>Open</t>
        </is>
      </c>
      <c r="K38" s="3" t="inlineStr"/>
    </row>
    <row r="39">
      <c r="A39" s="3" t="n">
        <v>7</v>
      </c>
      <c r="B39" s="3" t="inlineStr">
        <is>
          <t>Colistin (COL04)</t>
        </is>
      </c>
      <c r="C39" s="7" t="inlineStr">
        <is>
          <t>High</t>
        </is>
      </c>
      <c r="D39" s="3" t="inlineStr">
        <is>
          <t>Dosing – adult</t>
        </is>
      </c>
      <c r="E39" s="3" t="inlineStr"/>
      <c r="F39" s="3" t="inlineStr">
        <is>
          <t>Correct strength: 2 MIU ≈ 66.8 mg CBA ≈ 160 mg CMS; label units explicitly</t>
        </is>
      </c>
      <c r="G39" s="3" t="inlineStr">
        <is>
          <t>"Sodium Colistin Methanesulfonate 66.6 mg (2 MIU)/Vial"</t>
        </is>
      </c>
      <c r="H39" s="3" t="inlineStr">
        <is>
          <t>2 MIU ≈ 66.8 mg colistin base activity (CBA) ≈ 160 mg CMS. 66.6 vs 66.8 also inconsistent</t>
        </is>
      </c>
      <c r="I39" s="3" t="inlineStr">
        <is>
          <t>UK SmPC conversion table</t>
        </is>
      </c>
      <c r="J39" s="3" t="inlineStr">
        <is>
          <t>Open</t>
        </is>
      </c>
      <c r="K39" s="3" t="inlineStr"/>
    </row>
    <row r="40">
      <c r="A40" s="3" t="n">
        <v>5</v>
      </c>
      <c r="B40" s="3" t="inlineStr">
        <is>
          <t>Colistin (COL04)</t>
        </is>
      </c>
      <c r="C40" s="7" t="inlineStr">
        <is>
          <t>High</t>
        </is>
      </c>
      <c r="D40" s="3" t="inlineStr">
        <is>
          <t>Dosing – renal/dialysis</t>
        </is>
      </c>
      <c r="E40" s="3" t="inlineStr">
        <is>
          <t>Renal table outdated</t>
        </is>
      </c>
      <c r="F40" s="3" t="inlineStr">
        <is>
          <t>Fix severe renal row: 1.5 mg/kg every 36 h for CrCl 10–29 (not per day/100 mg)</t>
        </is>
      </c>
      <c r="G40" s="3" t="inlineStr">
        <is>
          <t>"1.5 mg/kg/day OR 100 mg/day, every 36 hours"</t>
        </is>
      </c>
      <c r="H40" s="3" t="inlineStr">
        <is>
          <t>**1.5 mg/kg every 36 hours** (≈1 mg/kg/day), CrCl 10–29</t>
        </is>
      </c>
      <c r="I40" s="3" t="inlineStr">
        <is>
          <t>US label (Coly-Mycin M), Dosage table</t>
        </is>
      </c>
      <c r="J40" s="3" t="inlineStr">
        <is>
          <t>Open</t>
        </is>
      </c>
      <c r="K40" s="3" t="inlineStr"/>
    </row>
    <row r="41">
      <c r="A41" s="3" t="n">
        <v>331</v>
      </c>
      <c r="B41" s="3" t="inlineStr">
        <is>
          <t>Cravit (levofloxacin) (CRA03, LEV08)</t>
        </is>
      </c>
      <c r="C41" s="7" t="inlineStr">
        <is>
          <t>High</t>
        </is>
      </c>
      <c r="D41" s="3" t="inlineStr">
        <is>
          <t>Adverse effects</t>
        </is>
      </c>
      <c r="E41" s="3" t="inlineStr">
        <is>
          <t>Missing boxed warning</t>
        </is>
      </c>
      <c r="F41" s="3" t="inlineStr">
        <is>
          <t>Add FQ boxed warnings: tendon rupture, neuropathy, CNS, MG, QT, aortic aneurysm, hepatotoxicity, dysglycemia</t>
        </is>
      </c>
      <c r="G41" s="3" t="inlineStr">
        <is>
          <t>GI upset, headache, insomnia, dizziness (the Chinese note mentions tendinitis and dysglycaemia)</t>
        </is>
      </c>
      <c r="H41" s="3" t="inlineStr">
        <is>
          <t>Boxed-warning and W&amp;P FQ class risks are missing: tendinitis/rupture, peripheral neuropathy (may be irreversible), CNS/psychiatric effects, MG exacerbation, QT prolongation, aortic aneurysm/dissection, hepatotoxicity, dysglycemia</t>
        </is>
      </c>
      <c r="I41" s="3" t="inlineStr">
        <is>
          <t>US FDA label sec 5.1–5.13; Taiwan 仿單 特殊警語 (衛授食字第1141411455號)</t>
        </is>
      </c>
      <c r="J41" s="3" t="inlineStr">
        <is>
          <t>Open</t>
        </is>
      </c>
      <c r="K41" s="3" t="inlineStr"/>
    </row>
    <row r="42">
      <c r="A42" s="3" t="n">
        <v>340</v>
      </c>
      <c r="B42" s="3" t="inlineStr">
        <is>
          <t>Cravit (levofloxacin) (CRA03, LEV08)</t>
        </is>
      </c>
      <c r="C42" s="7" t="inlineStr">
        <is>
          <t>High</t>
        </is>
      </c>
      <c r="D42" s="3" t="inlineStr">
        <is>
          <t>Adverse effects</t>
        </is>
      </c>
      <c r="E42" s="3" t="inlineStr">
        <is>
          <t>Missing boxed warning</t>
        </is>
      </c>
      <c r="F42" s="3" t="inlineStr">
        <is>
          <t>Add FQ boxed/TFDA warnings: tendinopathy, neuropathy, CNS/psychiatric, MG, QT, aortic, dysglycaemia</t>
        </is>
      </c>
      <c r="G42" s="3" t="inlineStr">
        <is>
          <t>Nausea, headache, diarrhea, insomnia, dizziness, and constipation</t>
        </is>
      </c>
      <c r="H42" s="3" t="inlineStr">
        <is>
          <t>Leaves out the boxed and TFDA-mandated FQ warnings: tendinitis/rupture, peripheral neuropathy, CNS/psychiatric effects, MG exacerbation, QT prolongation, aortic aneurysm/dissection, dysglycaemia (FDA 5.1–5.13; TFDA 衛授食字第1141411455號)</t>
        </is>
      </c>
      <c r="I42" s="3" t="inlineStr">
        <is>
          <t>https://dailymed.nlm.nih.gov/dailymed/drugInfo.cfm?setid=5a65b2bc-9edc-f193-e063-6394a90a0104</t>
        </is>
      </c>
      <c r="J42" s="3" t="inlineStr">
        <is>
          <t>Open</t>
        </is>
      </c>
      <c r="K42" s="3" t="inlineStr"/>
    </row>
    <row r="43">
      <c r="A43" s="3" t="n">
        <v>333</v>
      </c>
      <c r="B43" s="3" t="inlineStr">
        <is>
          <t>Cravit (levofloxacin) (CRA03, LEV08)</t>
        </is>
      </c>
      <c r="C43" s="7" t="inlineStr">
        <is>
          <t>High</t>
        </is>
      </c>
      <c r="D43" s="3" t="inlineStr">
        <is>
          <t>Contraindication/warning</t>
        </is>
      </c>
      <c r="E43" s="3" t="inlineStr"/>
      <c r="F43" s="3" t="inlineStr">
        <is>
          <t>Add contraindications: epilepsy, prior FQ tendinopathy, pregnancy, breastfeeding (children &lt;18 UK)</t>
        </is>
      </c>
      <c r="G43" s="3" t="inlineStr">
        <is>
          <t>Not reported in the brief's summary of the monograph (not independently re-checked)</t>
        </is>
      </c>
      <c r="H43" s="3" t="inlineStr">
        <is>
          <t>Taiwan inserts and UK SmPC: epilepsy, history of FQ-related tendinopathy, pregnancy, breastfeeding (SmPC also children &lt;18 y)</t>
        </is>
      </c>
      <c r="I43" s="3" t="inlineStr">
        <is>
          <t>Taiwan 仿單 Cravit sec 4; P.L. 750 mg sec 4; UK SmPC 4.3</t>
        </is>
      </c>
      <c r="J43" s="3" t="inlineStr">
        <is>
          <t>Open</t>
        </is>
      </c>
      <c r="K43" s="3" t="inlineStr"/>
    </row>
    <row r="44">
      <c r="A44" s="3" t="n">
        <v>339</v>
      </c>
      <c r="B44" s="3" t="inlineStr">
        <is>
          <t>Cravit (levofloxacin) (CRA03, LEV08)</t>
        </is>
      </c>
      <c r="C44" s="7" t="inlineStr">
        <is>
          <t>High</t>
        </is>
      </c>
      <c r="D44" s="3" t="inlineStr">
        <is>
          <t>Contraindication/warning</t>
        </is>
      </c>
      <c r="E44" s="3" t="inlineStr"/>
      <c r="F44" s="3" t="inlineStr">
        <is>
          <t>Add contraindications: epilepsy, FQ tendinopathy history, pregnancy, breastfeeding</t>
        </is>
      </c>
      <c r="G44" s="3" t="inlineStr">
        <is>
          <t>Hypersensitivity to levofloxacin, other fluoroquinolones</t>
        </is>
      </c>
      <c r="H44" s="3" t="inlineStr">
        <is>
          <t>Taiwan inserts (Cravit tab/IV sec 4; P.L. 750 sec 4) also contraindicate use in epilepsy, a history of FQ-related tendinopathy, pregnancy and breastfeeding</t>
        </is>
      </c>
      <c r="I44" s="3" t="inlineStr">
        <is>
          <t>https://mcp.fda.gov.tw/im_detail_1/%E8%A1%9B%E7%BD%B2%E8%97%A5%E8%A3%BD%E5%AD%97%E7%AC%AC057839%E8%99%9F</t>
        </is>
      </c>
      <c r="J44" s="3" t="inlineStr">
        <is>
          <t>Open</t>
        </is>
      </c>
      <c r="K44" s="3" t="inlineStr"/>
    </row>
    <row r="45">
      <c r="A45" s="3" t="n">
        <v>336</v>
      </c>
      <c r="B45" s="3" t="inlineStr">
        <is>
          <t>Cravit (levofloxacin) (CRA03, LEV08)</t>
        </is>
      </c>
      <c r="C45" s="7" t="inlineStr">
        <is>
          <t>High</t>
        </is>
      </c>
      <c r="D45" s="3" t="inlineStr">
        <is>
          <t>Dosing – adult</t>
        </is>
      </c>
      <c r="E45" s="3" t="inlineStr"/>
      <c r="F45" s="3" t="inlineStr">
        <is>
          <t>Skin: cSSSI 750 mg QD 7–14 d; uSSSI 500 mg QD 7–10 d; 5-day course only CAP/ABS/cUTI</t>
        </is>
      </c>
      <c r="G45" s="3" t="inlineStr">
        <is>
          <t>'pneumonia, sinusitis, and skin infections－750 mg QD for 5 days'</t>
        </is>
      </c>
      <c r="H45" s="3" t="inlineStr">
        <is>
          <t>FDA Table 1 and P.L. 750 仿單 3.1: cSSSI 750 mg QD ×7–14 d; uncomplicated SSSI 500 mg QD ×7–10 d. The 5-day 750 mg course applies only to CAP, ABS and cUTI/AP</t>
        </is>
      </c>
      <c r="I45" s="3" t="inlineStr">
        <is>
          <t>https://dailymed.nlm.nih.gov/dailymed/drugInfo.cfm?setid=5a65b2bc-9edc-f193-e063-6394a90a0104 ; https://mcp.fda.gov.tw/im_detail_1/%E8%A1%9B%E7%BD%B2%E8%97%A5%E8%A3%BD%E5%AD%97%E7%AC%AC057839%E8%99%9F</t>
        </is>
      </c>
      <c r="J45" s="3" t="inlineStr">
        <is>
          <t>Open</t>
        </is>
      </c>
      <c r="K45" s="3" t="inlineStr"/>
    </row>
    <row r="46">
      <c r="A46" s="3" t="n">
        <v>327</v>
      </c>
      <c r="B46" s="3" t="inlineStr">
        <is>
          <t>Cravit (levofloxacin) (CRA03, LEV08)</t>
        </is>
      </c>
      <c r="C46" s="7" t="inlineStr">
        <is>
          <t>High</t>
        </is>
      </c>
      <c r="D46" s="3" t="inlineStr">
        <is>
          <t>Dosing – renal/dialysis</t>
        </is>
      </c>
      <c r="E46" s="3" t="inlineStr">
        <is>
          <t>Renal table outdated</t>
        </is>
      </c>
      <c r="F46" s="3" t="inlineStr">
        <is>
          <t>Restore full renal table (truncated): 750→q48h; 500→250 q24h/q48h; HD/CAPD rows</t>
        </is>
      </c>
      <c r="G46" s="3" t="inlineStr">
        <is>
          <t>Text is cut off mid-entry: '...Clcr 20~49 ml/min: 250m'</t>
        </is>
      </c>
      <c r="H46" s="3" t="inlineStr">
        <is>
          <t>Full table: US 750 mg q24h → 20–49: 750 mg q48h; 10–19/HD/CAPD: 750 ×1 then 500 mg q48h. 500 mg q24h → 20–49: 500 ×1 then 250 mg q24h; 10–19/HD/CAPD: 500 ×1 then 250 mg q48h.</t>
        </is>
      </c>
      <c r="I46" s="3" t="inlineStr">
        <is>
          <t>US FDA label sec 2.3 Table 3: https://dailymed.nlm.nih.gov/dailymed/drugInfo.cfm?setid=5a65b2bc-9edc-f193-e063-6394a90a0104</t>
        </is>
      </c>
      <c r="J46" s="3" t="inlineStr">
        <is>
          <t>Open</t>
        </is>
      </c>
      <c r="K46" s="3" t="inlineStr"/>
    </row>
    <row r="47">
      <c r="A47" s="3" t="n">
        <v>334</v>
      </c>
      <c r="B47" s="3" t="inlineStr">
        <is>
          <t>Cravit (levofloxacin) (CRA03, LEV08)</t>
        </is>
      </c>
      <c r="C47" s="7" t="inlineStr">
        <is>
          <t>High</t>
        </is>
      </c>
      <c r="D47" s="3" t="inlineStr">
        <is>
          <t>Dosing – renal/dialysis</t>
        </is>
      </c>
      <c r="E47" s="3" t="inlineStr">
        <is>
          <t>Renal table outdated</t>
        </is>
      </c>
      <c r="F47" s="3" t="inlineStr">
        <is>
          <t>Restore truncated renal text; US table for LEV08; TW 125 mg-step table for Cravit</t>
        </is>
      </c>
      <c r="G47" s="3" t="inlineStr">
        <is>
          <t>Text cut off mid-sentence: '...After an initial dose of 500mg QD, Clcr 20~49 ml/min: 250m'. The CRA01 Cravit IV entry has the full US-style text.</t>
        </is>
      </c>
      <c r="H47" s="3" t="inlineStr">
        <is>
          <t>Full US table (FDA 2.3 Table 3) for LEV08. For Cravit, the TFDA 仿單 sec 3.3 has the EU-style 125 mg-step table</t>
        </is>
      </c>
      <c r="I47" s="3" t="inlineStr">
        <is>
          <t>https://pharmacy.fjuh.fju.edu.tw/Key_Search/P4?query=CRA03 ; https://pharmacy.fjuh.fju.edu.tw/Key_Search/P4?query=LEV08 ; https://dailymed.nlm.nih.gov/dailymed/drugInfo.cfm?setid=5a65b2bc-9edc-f193-e063-6394a90a0104</t>
        </is>
      </c>
      <c r="J47" s="3" t="inlineStr">
        <is>
          <t>Open</t>
        </is>
      </c>
      <c r="K47" s="3" t="inlineStr"/>
    </row>
    <row r="48">
      <c r="A48" s="3" t="n">
        <v>181</v>
      </c>
      <c r="B48" s="3" t="inlineStr">
        <is>
          <t>Cresemba (Isavuconazonium) (CRE02, CRE03)</t>
        </is>
      </c>
      <c r="C48" s="7" t="inlineStr">
        <is>
          <t>High</t>
        </is>
      </c>
      <c r="D48" s="3" t="inlineStr">
        <is>
          <t>Administration/compatibility</t>
        </is>
      </c>
      <c r="E48" s="3" t="inlineStr"/>
      <c r="F48" s="3" t="inlineStr">
        <is>
          <t>Add mandatory 0.2–1.2 µm PES in-line filter; no bolus; no co-infusion</t>
        </is>
      </c>
      <c r="G48" s="3" t="inlineStr">
        <is>
          <t>Dilute in NS or D5W (≥250 mL), infuse over ≥1 h. No in-line filter mentioned.</t>
        </is>
      </c>
      <c r="H48" s="3" t="inlineStr">
        <is>
          <t>The infusion must be given through an in-line filter with a PES microporous membrane, pore size 0.2–1.2 µm. It must not be given as a bolus or with other IV drugs.</t>
        </is>
      </c>
      <c r="I48" s="3" t="inlineStr">
        <is>
          <t>Taiwan insert 027796 §3.1/§3.2; US FDA label §2.1/§2.5, https://dailymed.nlm.nih.gov/dailymed/drugInfo.cfm?setid=8f7f73b8-586a-4df0-935f-fecd4696c16c</t>
        </is>
      </c>
      <c r="J48" s="3" t="inlineStr">
        <is>
          <t>Open</t>
        </is>
      </c>
      <c r="K48" s="3" t="inlineStr"/>
    </row>
    <row r="49">
      <c r="A49" s="3" t="n">
        <v>190</v>
      </c>
      <c r="B49" s="3" t="inlineStr">
        <is>
          <t>Cresemba (Isavuconazonium) (CRE02, CRE03)</t>
        </is>
      </c>
      <c r="C49" s="7" t="inlineStr">
        <is>
          <t>High</t>
        </is>
      </c>
      <c r="D49" s="3" t="inlineStr">
        <is>
          <t>Administration/compatibility</t>
        </is>
      </c>
      <c r="E49" s="3" t="inlineStr"/>
      <c r="F49" s="3" t="inlineStr">
        <is>
          <t>Add PES in-line filter 0.2–1.2 µm; dedicated line; flush before/after</t>
        </is>
      </c>
      <c r="G49" s="3" t="inlineStr">
        <is>
          <t>IVD; NS/D5W ≥250 mL; ≥1 h (no filter mentioned)</t>
        </is>
      </c>
      <c r="H49" s="3" t="inlineStr">
        <is>
          <t>Taiwan injection insert §3.1/§3.2: the infusion must go through a PES in-line filter of 0.2–1.2 μm. Do not share the line with other infusions; flush with NS/D5W before and after.</t>
        </is>
      </c>
      <c r="I49" s="3" t="inlineStr">
        <is>
          <t>https://mcp.fda.gov.tw/im_detail_1/%E8%A1%9B%E9%83%A8%E8%97%A5%E8%BC%B8%E5%AD%97%E7%AC%AC027796%E8%99%9F</t>
        </is>
      </c>
      <c r="J49" s="3" t="inlineStr">
        <is>
          <t>Open</t>
        </is>
      </c>
      <c r="K49" s="3" t="inlineStr"/>
    </row>
    <row r="50">
      <c r="A50" s="3" t="n">
        <v>180</v>
      </c>
      <c r="B50" s="3" t="inlineStr">
        <is>
          <t>Cresemba (Isavuconazonium) (CRE02, CRE03)</t>
        </is>
      </c>
      <c r="C50" s="7" t="inlineStr">
        <is>
          <t>High</t>
        </is>
      </c>
      <c r="D50" s="3" t="inlineStr">
        <is>
          <t>Pharmacokinetics/other</t>
        </is>
      </c>
      <c r="E50" s="3" t="inlineStr"/>
      <c r="F50" s="3" t="inlineStr">
        <is>
          <t>Label strengths as isavuconazole base (200 mg vial = 372.6 mg sulfate); CRE03 is capsule</t>
        </is>
      </c>
      <c r="G50" s="3" t="inlineStr">
        <is>
          <t>'Isavuconazonium 針 200 mg' and 'Isavuconazonium 100mg tab', while the dose is written as 372 mg</t>
        </is>
      </c>
      <c r="H50" s="3" t="inlineStr">
        <is>
          <t>200 mg and 100 mg are isavuconazole (base). The vial contains 372.6 mg and each capsule 186.3 mg isavuconazonium sulfate. CRE03 is a hard capsule, not a tablet. Mixing the salt name with base strengths, and 372 mg doses with a '200 mg' product label, risks dosing errors.</t>
        </is>
      </c>
      <c r="I50" s="3" t="inlineStr">
        <is>
          <t>Taiwan insert 027796 §1.1, '每支小瓶含有 200 mg isavuconazole（相當於372.6 mg isavuconazonium sulfate）'; 027795 §1.1/§1.3, '每顆膠囊含有 100 mg isavuconazole（相當於 186.3 mg isavuconazonium sulfate）… 劑型 膠囊劑'</t>
        </is>
      </c>
      <c r="J50" s="3" t="inlineStr">
        <is>
          <t>Open</t>
        </is>
      </c>
      <c r="K50" s="3" t="inlineStr"/>
    </row>
    <row r="51">
      <c r="A51" s="3" t="n">
        <v>189</v>
      </c>
      <c r="B51" s="3" t="inlineStr">
        <is>
          <t>Cresemba (Isavuconazonium) (CRE02, CRE03)</t>
        </is>
      </c>
      <c r="C51" s="7" t="inlineStr">
        <is>
          <t>High</t>
        </is>
      </c>
      <c r="D51" s="3" t="inlineStr">
        <is>
          <t>Pharmacokinetics/other</t>
        </is>
      </c>
      <c r="E51" s="3" t="inlineStr"/>
      <c r="F51" s="3" t="inlineStr">
        <is>
          <t>Fix strength/salt naming (isavuconazole base vs sulfate) and CRE03 dosage form to capsule</t>
        </is>
      </c>
      <c r="G51" s="3" t="inlineStr">
        <is>
          <t>'Isavuconazonium 針 200 mg', 規格 200mg/vial; CRE03 規格 'Isavuconazonium 100mg tab' (劑型 Cap)</t>
        </is>
      </c>
      <c r="H51" s="3" t="inlineStr">
        <is>
          <t>The 200 mg and 100 mg figures are isavuconazole, not isavuconazonium. Per the Taiwan inserts §1.1, one vial = 200 mg isavuconazole (372.6 mg isavuconazonium sulfate) and one capsule = 100 mg isavuconazole (186 mg sulfate). CRE03 is a capsule, not a tablet.</t>
        </is>
      </c>
      <c r="I51" s="3" t="inlineStr">
        <is>
          <t>https://mcp.fda.gov.tw/im_detail_1/%E8%A1%9B%E9%83%A8%E8%97%A5%E8%BC%B8%E5%AD%97%E7%AC%AC027796%E8%99%9F ; https://mcp.fda.gov.tw/im_detail_1/%E8%A1%9B%E9%83%A8%E8%97%A5%E8%BC%B8%E5%AD%97%E7%AC%AC027795%E8%99%9F</t>
        </is>
      </c>
      <c r="J51" s="3" t="inlineStr">
        <is>
          <t>Open</t>
        </is>
      </c>
      <c r="K51" s="3" t="inlineStr"/>
    </row>
    <row r="52">
      <c r="A52" s="3" t="n">
        <v>348</v>
      </c>
      <c r="B52" s="3" t="inlineStr">
        <is>
          <t>Cubicin (Daptomycin) (CUB01)</t>
        </is>
      </c>
      <c r="C52" s="7" t="inlineStr">
        <is>
          <t>High</t>
        </is>
      </c>
      <c r="D52" s="3" t="inlineStr">
        <is>
          <t>Contraindication/warning</t>
        </is>
      </c>
      <c r="E52" s="3" t="inlineStr">
        <is>
          <t>Missing SCAR (SJS/TEN/DRESS)</t>
        </is>
      </c>
      <c r="F52" s="3" t="inlineStr">
        <is>
          <t>Add baseline/weekly CPK monitoring with stop thresholds; add eosinophilic pneumonia, DRESS, TIN, neuropathy</t>
        </is>
      </c>
      <c r="G52" s="3" t="inlineStr">
        <is>
          <t>Lists GI effects, anaemia, rash, itching, rhabdomyolysis and the statin warning; no CPK monitoring and no eosinophilic pneumonia</t>
        </is>
      </c>
      <c r="H52" s="3" t="inlineStr">
        <is>
          <t>All labels require baseline/weekly CPK monitoring with stop thresholds (&gt;1000 U/L with symptoms, &gt;2000 U/L without) and warn of eosinophilic pneumonia, DRESS, TIN and peripheral neuropathy. This is an omission rather than a direct contradiction.</t>
        </is>
      </c>
      <c r="I52" s="3" t="inlineStr">
        <is>
          <t>US FDA label §5.2–5.6; TW insert 警語及注意事項 5.1.2–5.1.6</t>
        </is>
      </c>
      <c r="J52" s="3" t="inlineStr">
        <is>
          <t>Open</t>
        </is>
      </c>
      <c r="K52" s="3" t="inlineStr"/>
    </row>
    <row r="53">
      <c r="A53" s="3" t="n">
        <v>355</v>
      </c>
      <c r="B53" s="3" t="inlineStr">
        <is>
          <t>Cubicin (Daptomycin) (CUB01)</t>
        </is>
      </c>
      <c r="C53" s="7" t="inlineStr">
        <is>
          <t>High</t>
        </is>
      </c>
      <c r="D53" s="3" t="inlineStr">
        <is>
          <t>Contraindication/warning</t>
        </is>
      </c>
      <c r="E53" s="3" t="inlineStr">
        <is>
          <t>Missing SCAR (SJS/TEN/DRESS)</t>
        </is>
      </c>
      <c r="F53" s="3" t="inlineStr">
        <is>
          <t>Add weekly CPK monitoring, stop thresholds, eosinophilic pneumonia, DRESS, TIN, neuropathy warnings</t>
        </is>
      </c>
      <c r="G53" s="3" t="inlineStr">
        <is>
          <t>Lists diarrhoea, vomiting, constipation, anaemia, rash, pruritus, erythema and statin myotoxicity. 主要副作用: 橫紋肌溶解症、過敏反應、腸胃道症狀. No CPK monitoring, no eosinophilic pneumonia.</t>
        </is>
      </c>
      <c r="H53" s="3" t="inlineStr">
        <is>
          <t>CPK must be monitored weekly (more often with statins or renal impairment). Stop if CPK &gt;1,000 U/L with symptoms or &gt;2,000 U/L without. Eosinophilic pneumonia, DRESS, TIN and peripheral neuropathy are boxed in Warnings.</t>
        </is>
      </c>
      <c r="I53" s="3" t="inlineStr">
        <is>
          <t>仿單 5.1.2-5.1.6; US label §5.2-5.6</t>
        </is>
      </c>
      <c r="J53" s="3" t="inlineStr">
        <is>
          <t>Open</t>
        </is>
      </c>
      <c r="K53" s="3" t="inlineStr"/>
    </row>
    <row r="54">
      <c r="A54" s="3" t="n">
        <v>347</v>
      </c>
      <c r="B54" s="3" t="inlineStr">
        <is>
          <t>Cubicin (Daptomycin) (CUB01)</t>
        </is>
      </c>
      <c r="C54" s="7" t="inlineStr">
        <is>
          <t>High</t>
        </is>
      </c>
      <c r="D54" s="3" t="inlineStr">
        <is>
          <t>Dosing – pediatric</t>
        </is>
      </c>
      <c r="E54" s="3" t="inlineStr"/>
      <c r="F54" s="3" t="inlineStr">
        <is>
          <t>Remove infant &lt;1 y doses and q12h; use label age bands, once daily (cSSSI 5–10, SAB 7–12 mg/kg q24h)</t>
        </is>
      </c>
      <c r="G54" s="3" t="inlineStr">
        <is>
          <t>Includes infants under 1 year (e.g. 6 mg/kg q12h) and age bands different from the labels</t>
        </is>
      </c>
      <c r="H54" s="3" t="inlineStr">
        <is>
          <t>Avoid under 12 months (neonatal dog neuromuscular toxicity, US §5.7/TW 5.1.7). No label recommends q12h dosing; once daily only (US §5.2). Label bands: cSSSI 12–17 y 5, 7–11 y 7, 2–6 y 9, 1–&lt;2 y 10 mg/kg q24h; bacteremia 12–17 y 7, 7–11 y 9, 1–6 y 12 mg/kg q24h.</t>
        </is>
      </c>
      <c r="I54" s="3" t="inlineStr">
        <is>
          <t>US FDA label §2.3, §2.5, §5.2, §5.7; TW insert 表一/表二; UK SmPC 4.2</t>
        </is>
      </c>
      <c r="J54" s="3" t="inlineStr">
        <is>
          <t>Open</t>
        </is>
      </c>
      <c r="K54" s="3" t="inlineStr"/>
    </row>
    <row r="55">
      <c r="A55" s="3" t="n">
        <v>353</v>
      </c>
      <c r="B55" s="3" t="inlineStr">
        <is>
          <t>Cubicin (Daptomycin) (CUB01)</t>
        </is>
      </c>
      <c r="C55" s="7" t="inlineStr">
        <is>
          <t>High</t>
        </is>
      </c>
      <c r="D55" s="3" t="inlineStr">
        <is>
          <t>Dosing – pediatric</t>
        </is>
      </c>
      <c r="E55" s="3" t="inlineStr"/>
      <c r="F55" s="3" t="inlineStr">
        <is>
          <t>Delete infant q12h/15 mg/kg doses; avoid &lt;12 months; use fixed label age-band q24h doses</t>
        </is>
      </c>
      <c r="G55" s="3" t="inlineStr">
        <is>
          <t>Infants: 6 mg/kg q12h (one infant 15 mg/kg q12h); infants 8-10 mg/kg q24h; children 7-11: 7-9 mg/kg q24h; ≥12 y and adolescents: 5-7 mg/kg q24h</t>
        </is>
      </c>
      <c r="H55" s="3" t="inlineStr">
        <is>
          <t>Avoid under 12 months (neuromuscular/nervous-system effects in neonatal dogs). Fixed age-band doses: cSSSI 12-17y 5, 7-11y 7, 2-6y 9, 1-&lt;2y 10 mg/kg q24h; SAB 12-17y 7, 7-11y 9, 1-6y 12 mg/kg q24h. Paediatric renal dosing not established.</t>
        </is>
      </c>
      <c r="I55" s="3" t="inlineStr">
        <is>
          <t>仿單 3.1.3, 3.1.5, 5.1.7; US label §2.3, §2.5, §5.7</t>
        </is>
      </c>
      <c r="J55" s="3" t="inlineStr">
        <is>
          <t>Open</t>
        </is>
      </c>
      <c r="K55" s="3" t="inlineStr"/>
    </row>
    <row r="56">
      <c r="A56" s="3" t="n">
        <v>145</v>
      </c>
      <c r="B56" s="3" t="inlineStr">
        <is>
          <t>Diflucan (Fluconazole) (DIF02, FLU22)</t>
        </is>
      </c>
      <c r="C56" s="7" t="inlineStr">
        <is>
          <t>High</t>
        </is>
      </c>
      <c r="D56" s="3" t="inlineStr">
        <is>
          <t>Contraindication/warning</t>
        </is>
      </c>
      <c r="E56" s="3" t="inlineStr"/>
      <c r="F56" s="3" t="inlineStr">
        <is>
          <t>Add azole hypersensitivity, terfenadine (≥400 mg/d), cisapride, astemizole contraindications</t>
        </is>
      </c>
      <c r="G56" s="3" t="inlineStr">
        <is>
          <t>Only CYP3A4-metabolised QT-prolonging drugs</t>
        </is>
      </c>
      <c r="H56" s="3" t="inlineStr">
        <is>
          <t>The TW insert §4 also contraindicates hypersensitivity to fluconazole or related azoles, terfenadine with fluconazole ≥400 mg/day, and names cisapride, astemizole, erythromycin, pimozide and quinidine. The UK SmPC 4.3 is the same.</t>
        </is>
      </c>
      <c r="I56" s="3" t="inlineStr">
        <is>
          <t>TW Diflucan IV insert §4 禁忌; UK SmPC §4.3</t>
        </is>
      </c>
      <c r="J56" s="3" t="inlineStr">
        <is>
          <t>Open</t>
        </is>
      </c>
      <c r="K56" s="3" t="inlineStr"/>
    </row>
    <row r="57">
      <c r="A57" s="3" t="n">
        <v>153</v>
      </c>
      <c r="B57" s="3" t="inlineStr">
        <is>
          <t>Diflucan (Fluconazole) (DIF02, FLU22)</t>
        </is>
      </c>
      <c r="C57" s="7" t="inlineStr">
        <is>
          <t>High</t>
        </is>
      </c>
      <c r="D57" s="3" t="inlineStr">
        <is>
          <t>Contraindication/warning</t>
        </is>
      </c>
      <c r="E57" s="3" t="inlineStr"/>
      <c r="F57" s="3" t="inlineStr">
        <is>
          <t>Add terfenadine, cisapride, astemizole contraindications; list azole hypersensitivity as contraindication</t>
        </is>
      </c>
      <c r="G57" s="3" t="inlineStr">
        <is>
          <t>Hypersensitivity (cross-reaction with other azoles: use caution); coadministration with CYP3A4 substrates that prolong QTc (eg, erythromycin, pimozide, quinidine)</t>
        </is>
      </c>
      <c r="H57" s="3" t="inlineStr">
        <is>
          <t>TW inserts §4 and UK SmPC 4.3 also contraindicate terfenadine (with fluconazole ≥400 mg/day multiple doses), cisapride and astemizole. They list hypersensitivity to related azole compounds as a contraindication, not just a caution (the US label says caution).</t>
        </is>
      </c>
      <c r="I57" s="3" t="inlineStr">
        <is>
          <t>TW 仿單 DIFLUCAN IV §4 禁忌; UK SmPC 4.3 https://www.medicines.org.uk/emc/product/15231/smpc</t>
        </is>
      </c>
      <c r="J57" s="3" t="inlineStr">
        <is>
          <t>Open</t>
        </is>
      </c>
      <c r="K57" s="3" t="inlineStr"/>
    </row>
    <row r="58">
      <c r="A58" s="3" t="n">
        <v>144</v>
      </c>
      <c r="B58" s="3" t="inlineStr">
        <is>
          <t>Diflucan (Fluconazole) (DIF02, FLU22)</t>
        </is>
      </c>
      <c r="C58" s="7" t="inlineStr">
        <is>
          <t>High</t>
        </is>
      </c>
      <c r="D58" s="3" t="inlineStr">
        <is>
          <t>Dosing – renal/dialysis</t>
        </is>
      </c>
      <c r="E58" s="3" t="inlineStr">
        <is>
          <t>Renal table outdated</t>
        </is>
      </c>
      <c r="F58" s="3" t="inlineStr">
        <is>
          <t>Align renal bands with TW inserts (incl. q72h/⅓ and q96h/¼ tiers); add HD dose after each session</t>
        </is>
      </c>
      <c r="G58" s="3" t="inlineStr">
        <is>
          <t>DIF02: CrCl &gt;50 no change, CrCl &lt;50 → 50% dose; FLU22: CrCl ≤50 → 50% reduction</t>
        </is>
      </c>
      <c r="H58" s="3" t="inlineStr">
        <is>
          <t>These values follow the US/UK labels (≤50 → 50%, HD 100% after each session), not the hospital's own TW inserts. DIF02 TW insert: &gt;40 normal; 21–40 q48h or ½; 10–20 q72h or ⅓; HD dose after each session. FLU22 TW insert: &gt;50 normal; 21–50 q48h or ½; 11–20 q96h or ¼. DIF02 also uses &lt;50 where the labels say ≤50, and gives no HD instruction.</t>
        </is>
      </c>
      <c r="I58" s="3" t="inlineStr">
        <is>
          <t>TW Diflucan IV insert §3.3; TW Fluene insert §3.3; US FDA label Dosage In Patients With Impaired Renal Function</t>
        </is>
      </c>
      <c r="J58" s="3" t="inlineStr">
        <is>
          <t>Open</t>
        </is>
      </c>
      <c r="K58" s="3" t="inlineStr"/>
    </row>
    <row r="59">
      <c r="A59" s="3" t="n">
        <v>151</v>
      </c>
      <c r="B59" s="3" t="inlineStr">
        <is>
          <t>Diflucan (Fluconazole) (DIF02, FLU22)</t>
        </is>
      </c>
      <c r="C59" s="7" t="inlineStr">
        <is>
          <t>High</t>
        </is>
      </c>
      <c r="D59" s="3" t="inlineStr">
        <is>
          <t>Dosing – renal/dialysis</t>
        </is>
      </c>
      <c r="E59" s="3" t="inlineStr">
        <is>
          <t>Renal table outdated</t>
        </is>
      </c>
      <c r="F59" s="3" t="inlineStr">
        <is>
          <t>Use TW Diflucan IV bands (&gt;40, 21–40, 10–20) after loading days; add HD dosing</t>
        </is>
      </c>
      <c r="G59" s="3" t="inlineStr">
        <is>
          <t>ClCr &gt;50: no adjustment; ClCr &lt;50: 50% of usual daily dose</t>
        </is>
      </c>
      <c r="H59" s="3" t="inlineStr">
        <is>
          <t>The TW insert of the stocked product (Diflucan IV) uses CrCl &gt;40 normal, 21–40 q48h or ½, 10–20 q72h or ⅓, with normal dose on days 1–2 and HD dosing after each session. The US/UK rule uses '≤50' (not '&lt;50') after a loading dose. The hospital entry has no HD guidance.</t>
        </is>
      </c>
      <c r="I59" s="3" t="inlineStr">
        <is>
          <t>TW 仿單 DIFLUCAN IV §3.3 腎功能受損病人 https://mcp.fda.gov.tw/im_detail_1/%E8%A1%9B%E7%BD%B2%E8%97%A5%E8%BC%B8%E5%AD%97%E7%AC%AC018790%E8%99%9F</t>
        </is>
      </c>
      <c r="J59" s="3" t="inlineStr">
        <is>
          <t>Open</t>
        </is>
      </c>
      <c r="K59" s="3" t="inlineStr"/>
    </row>
    <row r="60">
      <c r="A60" s="3" t="n">
        <v>152</v>
      </c>
      <c r="B60" s="3" t="inlineStr">
        <is>
          <t>Diflucan (Fluconazole) (DIF02, FLU22)</t>
        </is>
      </c>
      <c r="C60" s="7" t="inlineStr">
        <is>
          <t>High</t>
        </is>
      </c>
      <c r="D60" s="3" t="inlineStr">
        <is>
          <t>Dosing – renal/dialysis</t>
        </is>
      </c>
      <c r="E60" s="3" t="inlineStr">
        <is>
          <t>Renal table outdated</t>
        </is>
      </c>
      <c r="F60" s="3" t="inlineStr">
        <is>
          <t>Use TW Fluene bands (&gt;50, 21–50 ½, 11–20 ¼ or q96h); add HD full dose post-dialysis</t>
        </is>
      </c>
      <c r="G60" s="3" t="inlineStr">
        <is>
          <t>Maintenance dose: CrCl ≤50 mL/min: reduce dose by 50%</t>
        </is>
      </c>
      <c r="H60" s="3" t="inlineStr">
        <is>
          <t>TW Fluene insert: CrCl &gt;50 normal; 21–50 q48h or ½; 11–20 q96h or ¼; HD: normal dose after each dialysis. The hospital rule follows the US/UK label, not its own TW insert.</t>
        </is>
      </c>
      <c r="I60" s="3" t="inlineStr">
        <is>
          <t>TW 仿單 FLUENE 腎功能不全之劑量 https://mcp.fda.gov.tw/im_detail_1/%E8%A1%9B%E7%BD%B2%E8%97%A5%E8%A3%BD%E5%AD%97%E7%AC%AC041997%E8%99%9F</t>
        </is>
      </c>
      <c r="J60" s="3" t="inlineStr">
        <is>
          <t>Open</t>
        </is>
      </c>
      <c r="K60" s="3" t="inlineStr"/>
    </row>
    <row r="61">
      <c r="A61" s="3" t="n">
        <v>356</v>
      </c>
      <c r="B61" s="3" t="inlineStr">
        <is>
          <t>Ertapenem (ERT01)</t>
        </is>
      </c>
      <c r="C61" s="7" t="inlineStr">
        <is>
          <t>High</t>
        </is>
      </c>
      <c r="D61" s="3" t="inlineStr">
        <is>
          <t>Indication/coverage</t>
        </is>
      </c>
      <c r="E61" s="3" t="inlineStr"/>
      <c r="F61" s="3" t="inlineStr">
        <is>
          <t>Restrict pneumonia to community-acquired; state HAP/VAP not approved (no Pseudomonas/Acinetobacter cover)</t>
        </is>
      </c>
      <c r="G61" s="3" t="inlineStr">
        <is>
          <t>Pneumonia (unqualified)</t>
        </is>
      </c>
      <c r="H61" s="3" t="inlineStr">
        <is>
          <t>Community-acquired pneumonia only. HAP/VAP is not approved (P. aeruginosa and Acinetobacter are resistant).</t>
        </is>
      </c>
      <c r="I61" s="3" t="inlineStr">
        <is>
          <t>US FDA label §1.3; UK SmPC 4.1; TW 仿單 2 適應症 (感染性肺炎 Community Acquired Pneumonia)</t>
        </is>
      </c>
      <c r="J61" s="3" t="inlineStr">
        <is>
          <t>Open</t>
        </is>
      </c>
      <c r="K61" s="3" t="inlineStr"/>
    </row>
    <row r="62">
      <c r="A62" s="3" t="n">
        <v>365</v>
      </c>
      <c r="B62" s="3" t="inlineStr">
        <is>
          <t>Ertapenem (ERT01)</t>
        </is>
      </c>
      <c r="C62" s="7" t="inlineStr">
        <is>
          <t>High</t>
        </is>
      </c>
      <c r="D62" s="3" t="inlineStr">
        <is>
          <t>Indication/coverage</t>
        </is>
      </c>
      <c r="E62" s="3" t="inlineStr"/>
      <c r="F62" s="3" t="inlineStr">
        <is>
          <t>Restrict pneumonia to CAP; HAP/VAP not approved</t>
        </is>
      </c>
      <c r="G62" s="3" t="inlineStr">
        <is>
          <t>Pneumonia</t>
        </is>
      </c>
      <c r="H62" s="3" t="inlineStr">
        <is>
          <t>Community-acquired pneumonia only (HAP/VAP are not approved).</t>
        </is>
      </c>
      <c r="I62" s="3" t="inlineStr">
        <is>
          <t>US label 1.3; UK SmPC 4.1; TW insert 2 (感染性肺炎 Community Acquired Pneumonia)</t>
        </is>
      </c>
      <c r="J62" s="3" t="inlineStr">
        <is>
          <t>Open</t>
        </is>
      </c>
      <c r="K62" s="3" t="inlineStr"/>
    </row>
    <row r="63">
      <c r="A63" s="3" t="n">
        <v>381</v>
      </c>
      <c r="B63" s="3" t="inlineStr">
        <is>
          <t>Flumarin (Flomoxef) (FLU05)</t>
        </is>
      </c>
      <c r="C63" s="7" t="inlineStr">
        <is>
          <t>High</t>
        </is>
      </c>
      <c r="D63" s="3" t="inlineStr">
        <is>
          <t>Adverse effects</t>
        </is>
      </c>
      <c r="E63" s="3" t="inlineStr">
        <is>
          <t>Missing SCAR (SJS/TEN/DRESS)</t>
        </is>
      </c>
      <c r="F63" s="3" t="inlineStr">
        <is>
          <t>Add serious ADRs: anaphylaxis, AKI, cytopenias, C. difficile colitis, SJS/TEN, pneumonitis, vitamin K deficiency bleeding</t>
        </is>
      </c>
      <c r="G63" s="3" t="inlineStr">
        <is>
          <t>Eosinophilia, thrombocytosis, low RBC/Hb/WBC, raised liver enzymes, loose stools, stomatitis, numb tongue, rash/urticaria (no serious adverse effects listed)</t>
        </is>
      </c>
      <c r="H63" s="3" t="inlineStr">
        <is>
          <t>Serious adverse effects: shock/anaphylaxis, acute renal failure, pancytopenia/agranulocytosis/thrombocytopenia/haemolytic anaemia, pseudomembranous colitis, TEN/SJS, interstitial pneumonia/PIE, hepatic dysfunction/jaundice. Also vitamin K deficiency (hypoprothrombinaemia, bleeding) and vitamin B deficiency. The hospital list omits all of these.</t>
        </is>
      </c>
      <c r="I63" s="3" t="inlineStr">
        <is>
          <t>Taiwan insert, 【使用注意事項】六.副作用, https://mcp.fda.gov.tw/insert/pdfcasefile/f00601dd-69fd-4c6e-a282-74a0922a818d</t>
        </is>
      </c>
      <c r="J63" s="3" t="inlineStr">
        <is>
          <t>Open</t>
        </is>
      </c>
      <c r="K63" s="3" t="inlineStr"/>
    </row>
    <row r="64">
      <c r="A64" s="3" t="n">
        <v>388</v>
      </c>
      <c r="B64" s="3" t="inlineStr">
        <is>
          <t>Flumarin (Flomoxef) (FLU05)</t>
        </is>
      </c>
      <c r="C64" s="7" t="inlineStr">
        <is>
          <t>High</t>
        </is>
      </c>
      <c r="D64" s="3" t="inlineStr">
        <is>
          <t>Adverse effects</t>
        </is>
      </c>
      <c r="E64" s="3" t="inlineStr">
        <is>
          <t>Missing SCAR (SJS/TEN/DRESS)</t>
        </is>
      </c>
      <c r="F64" s="3" t="inlineStr">
        <is>
          <t>Add serious ADRs incl. anaphylaxis, AKI, cytopenias, C. difficile, SJS/TEN, vitamin K/B deficiency</t>
        </is>
      </c>
      <c r="G64" s="3" t="inlineStr">
        <is>
          <t>Eosinophilia, thrombocytosis, low RBC/Hb/WBC, raised liver enzymes, loose stools, stomatitis, numb tongue, rash/urticaria</t>
        </is>
      </c>
      <c r="H64" s="3" t="inlineStr">
        <is>
          <t>Also lists the serious ADRs: shock/anaphylaxis, acute kidney failure, pancytopenia/agranulocytosis, thrombocytopenia, haemolytic anaemia, pseudomembranous colitis, TEN/SJS, interstitial pneumonia/PIE and hepatic dysfunction/jaundice. It also warns of vitamin K deficiency (hypoprothrombinaemia, bleeding) and vitamin B deficiency. 'Numb tongue' is not a label term; the closest is 舌炎 under vitamin B deficiency.</t>
        </is>
      </c>
      <c r="I64" s="3" t="inlineStr">
        <is>
          <t>Taiwan insert Flumarin 1g, 使用注意事項 六.1-2 — https://mcp.fda.gov.tw/insert/pdfcasefile/f00601dd-69fd-4c6e-a282-74a0922a818d</t>
        </is>
      </c>
      <c r="J64" s="3" t="inlineStr">
        <is>
          <t>Open</t>
        </is>
      </c>
      <c r="K64" s="3" t="inlineStr"/>
    </row>
    <row r="65">
      <c r="A65" s="3" t="n">
        <v>377</v>
      </c>
      <c r="B65" s="3" t="inlineStr">
        <is>
          <t>Flumarin (Flomoxef) (FLU05)</t>
        </is>
      </c>
      <c r="C65" s="7" t="inlineStr">
        <is>
          <t>High</t>
        </is>
      </c>
      <c r="D65" s="3" t="inlineStr">
        <is>
          <t>Dosing – pediatric</t>
        </is>
      </c>
      <c r="E65" s="3" t="inlineStr"/>
      <c r="F65" s="3" t="inlineStr">
        <is>
          <t>Neonates: 20 mg/kg/dose, 2–3×/day ≤3 days old, 3–4×/day from day 4; remove 30 mg/kg</t>
        </is>
      </c>
      <c r="G65" s="3" t="inlineStr">
        <is>
          <t>Neonates 20-30 mg/kg 2-3 times a day</t>
        </is>
      </c>
      <c r="H65" s="3" t="inlineStr">
        <is>
          <t>Premature infants and neonates: 20 mg/kg per dose, 2-3×/day within the first 3 days of life and 3-4×/day from day 4. Can be increased to 150 mg/kg/day in 3-4 doses. There is no 30 mg/kg per-dose figure, and the hospital omits the day-4+ frequency.</t>
        </is>
      </c>
      <c r="I65" s="3" t="inlineStr">
        <is>
          <t>Taiwan insert, 【用法・用量】, https://mcp.fda.gov.tw/insert/pdfcasefile/f00601dd-69fd-4c6e-a282-74a0922a818d</t>
        </is>
      </c>
      <c r="J65" s="3" t="inlineStr">
        <is>
          <t>Open</t>
        </is>
      </c>
      <c r="K65" s="3" t="inlineStr"/>
    </row>
    <row r="66">
      <c r="A66" s="3" t="n">
        <v>384</v>
      </c>
      <c r="B66" s="3" t="inlineStr">
        <is>
          <t>Flumarin (Flomoxef) (FLU05)</t>
        </is>
      </c>
      <c r="C66" s="7" t="inlineStr">
        <is>
          <t>High</t>
        </is>
      </c>
      <c r="D66" s="3" t="inlineStr">
        <is>
          <t>Dosing – pediatric</t>
        </is>
      </c>
      <c r="E66" s="3" t="inlineStr"/>
      <c r="F66" s="3" t="inlineStr">
        <is>
          <t>Neonates 20 mg/kg/dose; 2–3×/day first 3 days, 3–4×/day from day 4; max 150 mg/kg/day</t>
        </is>
      </c>
      <c r="G66" s="3" t="inlineStr">
        <is>
          <t>20-30 mg/kg 2-3 times/day</t>
        </is>
      </c>
      <c r="H66" s="3" t="inlineStr">
        <is>
          <t>20 mg/kg per dose, 2-3×/day in the first 3 days and 3-4×/day from day 4. Only the daily total can rise, to 150 mg/kg/day in 3-4 doses.</t>
        </is>
      </c>
      <c r="I66" s="3" t="inlineStr">
        <is>
          <t>Taiwan insert Flumarin 1g, 【用法・用量】 — https://mcp.fda.gov.tw/insert/pdfcasefile/f00601dd-69fd-4c6e-a282-74a0922a818d</t>
        </is>
      </c>
      <c r="J66" s="3" t="inlineStr">
        <is>
          <t>Open</t>
        </is>
      </c>
      <c r="K66" s="3" t="inlineStr"/>
    </row>
    <row r="67">
      <c r="A67" s="3" t="n">
        <v>376</v>
      </c>
      <c r="B67" s="3" t="inlineStr">
        <is>
          <t>Flumarin (Flomoxef) (FLU05)</t>
        </is>
      </c>
      <c r="C67" s="7" t="inlineStr">
        <is>
          <t>High</t>
        </is>
      </c>
      <c r="D67" s="3" t="inlineStr">
        <is>
          <t>Dosing – renal/dialysis</t>
        </is>
      </c>
      <c r="E67" s="3" t="inlineStr">
        <is>
          <t>Renal table outdated</t>
        </is>
      </c>
      <c r="F67" s="3" t="inlineStr">
        <is>
          <t>Remove unsourced renal table (3 g/day exceeds usual 1–2 g/day); use label: reduce dose/extend interval</t>
        </is>
      </c>
      <c r="G67" s="3" t="inlineStr">
        <is>
          <t>CrCl 50-80 → 3 g/day; 25-50 → 2 g/day; 5-25 → 1 g/day; &lt;5 → 0.5 g/day</t>
        </is>
      </c>
      <c r="H67" s="3" t="inlineStr">
        <is>
          <t>No numeric renal dose table. Only 高度腎障害患者…需減低投與量或延長投與間隔, plus a half-life-by-CrCl table (1.31 h at &gt;70 up to 9.62 h at &lt;5). 3 g/day at CrCl 50-80 is above the label's usual adult dose of 1-2 g/day (4 g/day is only for refractory/severe infection).</t>
        </is>
      </c>
      <c r="I67" s="3" t="inlineStr">
        <is>
          <t>Taiwan insert Flumarin 1g, 【使用注意事項】三.3 and 【體內藥物動力學】表7, https://mcp.fda.gov.tw/insert/pdfcasefile/f00601dd-69fd-4c6e-a282-74a0922a818d</t>
        </is>
      </c>
      <c r="J67" s="3" t="inlineStr">
        <is>
          <t>Open</t>
        </is>
      </c>
      <c r="K67" s="3" t="inlineStr"/>
    </row>
    <row r="68">
      <c r="A68" s="3" t="n">
        <v>383</v>
      </c>
      <c r="B68" s="3" t="inlineStr">
        <is>
          <t>Flumarin (Flomoxef) (FLU05)</t>
        </is>
      </c>
      <c r="C68" s="7" t="inlineStr">
        <is>
          <t>High</t>
        </is>
      </c>
      <c r="D68" s="3" t="inlineStr">
        <is>
          <t>Dosing – renal/dialysis</t>
        </is>
      </c>
      <c r="E68" s="3" t="inlineStr">
        <is>
          <t>Renal table outdated</t>
        </is>
      </c>
      <c r="F68" s="3" t="inlineStr">
        <is>
          <t>Remove unsourced CrCl table (3 g/day &gt; usual dose); cite label reduce dose/extend interval</t>
        </is>
      </c>
      <c r="G68" s="3" t="inlineStr">
        <is>
          <t>CrCl 50-80 → 3 g/day; 25-50 → 2 g/day; 5-25 → 1 g/day; &lt;5 → 0.5 g/day</t>
        </is>
      </c>
      <c r="H68" s="3" t="inlineStr">
        <is>
          <t>No numeric renal dose table. Only 「高度腎障害患者…需減低投與量或延長投與間隔」 plus half-life by CrCl (表7). Usual adult dose is 1-2 g/day, so 3 g/day at CrCl 50-80 is above the usual dose.</t>
        </is>
      </c>
      <c r="I68" s="3" t="inlineStr">
        <is>
          <t>Taiwan insert Flumarin 1g, 使用注意事項 三.3 and 體內藥物動力學 4 — https://mcp.fda.gov.tw/insert/pdfcasefile/f00601dd-69fd-4c6e-a282-74a0922a818d</t>
        </is>
      </c>
      <c r="J68" s="3" t="inlineStr">
        <is>
          <t>Open</t>
        </is>
      </c>
      <c r="K68" s="3" t="inlineStr"/>
    </row>
    <row r="69">
      <c r="A69" s="3" t="n">
        <v>13</v>
      </c>
      <c r="B69" s="3" t="inlineStr">
        <is>
          <t>Imipenem/Cilastatin (CUL01)</t>
        </is>
      </c>
      <c r="C69" s="7" t="inlineStr">
        <is>
          <t>High</t>
        </is>
      </c>
      <c r="D69" s="3" t="inlineStr">
        <is>
          <t>Contraindication/warning</t>
        </is>
      </c>
      <c r="E69" s="3" t="inlineStr"/>
      <c r="F69" s="3" t="inlineStr">
        <is>
          <t>Add seizure/myoclonus/CNS warning (higher risk in renal impairment, CNS disease); not for meningitis</t>
        </is>
      </c>
      <c r="G69" s="3" t="inlineStr">
        <is>
          <t>Lists rash, GI, local reactions, leukopenia only</t>
        </is>
      </c>
      <c r="H69" s="3" t="inlineStr">
        <is>
          <t>**Seizures**, myoclonus, confusion (↑ with renal impairment, CNS disease); not for meningitis or pediatric CNS infections</t>
        </is>
      </c>
      <c r="I69" s="3" t="inlineStr">
        <is>
          <t>US label §1.9, §5.2</t>
        </is>
      </c>
      <c r="J69" s="3" t="inlineStr">
        <is>
          <t>Open</t>
        </is>
      </c>
      <c r="K69" s="3" t="inlineStr"/>
    </row>
    <row r="70">
      <c r="A70" s="3" t="n">
        <v>15</v>
      </c>
      <c r="B70" s="3" t="inlineStr">
        <is>
          <t>Imipenem/Cilastatin (CUL01)</t>
        </is>
      </c>
      <c r="C70" s="7" t="inlineStr">
        <is>
          <t>High</t>
        </is>
      </c>
      <c r="D70" s="3" t="inlineStr">
        <is>
          <t>Dosing – adult</t>
        </is>
      </c>
      <c r="E70" s="3" t="inlineStr"/>
      <c r="F70" s="3" t="inlineStr">
        <is>
          <t>Add maximum dose 4 g/day</t>
        </is>
      </c>
      <c r="G70" s="3" t="inlineStr">
        <is>
          <t>No maximum stated</t>
        </is>
      </c>
      <c r="H70" s="3" t="inlineStr">
        <is>
          <t>Max 4 g/day</t>
        </is>
      </c>
      <c r="I70" s="3" t="inlineStr">
        <is>
          <t>US label §2.1</t>
        </is>
      </c>
      <c r="J70" s="3" t="inlineStr">
        <is>
          <t>Open</t>
        </is>
      </c>
      <c r="K70" s="3" t="inlineStr"/>
    </row>
    <row r="71">
      <c r="A71" s="3" t="n">
        <v>11</v>
      </c>
      <c r="B71" s="3" t="inlineStr">
        <is>
          <t>Imipenem/Cilastatin (CUL01)</t>
        </is>
      </c>
      <c r="C71" s="7" t="inlineStr">
        <is>
          <t>High</t>
        </is>
      </c>
      <c r="D71" s="3" t="inlineStr">
        <is>
          <t>Dosing – renal/dialysis</t>
        </is>
      </c>
      <c r="E71" s="3" t="inlineStr">
        <is>
          <t>Renal table outdated</t>
        </is>
      </c>
      <c r="F71" s="3" t="inlineStr">
        <is>
          <t>Update renal table to US Table 3: reduce from CrCl 60–&lt;90; 30–&lt;60 and 15–&lt;30 doses revised</t>
        </is>
      </c>
      <c r="G71" s="3" t="inlineStr">
        <is>
          <t>CrCl 60–&lt;130: no adjustment; 30–60: 250 mg q6h or 500 mg q8h; 15–30: 250 mg q8h or 500 mg q12h</t>
        </is>
      </c>
      <c r="H71" s="3" t="inlineStr">
        <is>
          <t>CrCl 60–&lt;90 **requires reduction** (400 mg q6h, or 500 mg q6h / 750 mg q8h); 30–&lt;60: 300 mg q6h or 500 mg q8h; 15–&lt;30: 200 mg q6h or 500 mg q12h</t>
        </is>
      </c>
      <c r="I71" s="3" t="inlineStr">
        <is>
          <t>US label Table 3 (Primaxin, DailyMed 2025)</t>
        </is>
      </c>
      <c r="J71" s="3" t="inlineStr">
        <is>
          <t>Open</t>
        </is>
      </c>
      <c r="K71" s="3" t="inlineStr"/>
    </row>
    <row r="72">
      <c r="A72" s="3" t="n">
        <v>12</v>
      </c>
      <c r="B72" s="3" t="inlineStr">
        <is>
          <t>Imipenem/Cilastatin (CUL01)</t>
        </is>
      </c>
      <c r="C72" s="7" t="inlineStr">
        <is>
          <t>High</t>
        </is>
      </c>
      <c r="D72" s="3" t="inlineStr">
        <is>
          <t>Dosing – renal/dialysis</t>
        </is>
      </c>
      <c r="E72" s="3" t="inlineStr">
        <is>
          <t>Renal table outdated</t>
        </is>
      </c>
      <c r="F72" s="3" t="inlineStr">
        <is>
          <t>Add CrCl &lt;15 (avoid unless HD within 48 h) and HD dosing (15–&lt;30 dose, after HD)</t>
        </is>
      </c>
      <c r="G72" s="3" t="inlineStr">
        <is>
          <t>No guidance for CrCl &lt;15 or HD</t>
        </is>
      </c>
      <c r="H72" s="3" t="inlineStr">
        <is>
          <t>CrCl &lt;15: do not give unless HD within 48 h; HD: use the 15–&lt;30 dose, give after HD</t>
        </is>
      </c>
      <c r="I72" s="3" t="inlineStr">
        <is>
          <t>US label §2.3–2.4</t>
        </is>
      </c>
      <c r="J72" s="3" t="inlineStr">
        <is>
          <t>Open</t>
        </is>
      </c>
      <c r="K72" s="3" t="inlineStr"/>
    </row>
    <row r="73">
      <c r="A73" s="3" t="n">
        <v>14</v>
      </c>
      <c r="B73" s="3" t="inlineStr">
        <is>
          <t>Imipenem/Cilastatin (CUL01)</t>
        </is>
      </c>
      <c r="C73" s="7" t="inlineStr">
        <is>
          <t>High</t>
        </is>
      </c>
      <c r="D73" s="3" t="inlineStr">
        <is>
          <t>Drug interaction</t>
        </is>
      </c>
      <c r="E73" s="3" t="inlineStr">
        <is>
          <t>Interaction list incomplete</t>
        </is>
      </c>
      <c r="F73" s="3" t="inlineStr">
        <is>
          <t>Add interactions: valproate (avoid, seizure risk), ganciclovir (seizures), probenecid (not recommended)</t>
        </is>
      </c>
      <c r="G73" s="3" t="inlineStr">
        <is>
          <t>No interaction field</t>
        </is>
      </c>
      <c r="H73" s="3" t="inlineStr">
        <is>
          <t>Valproic acid/divalproex (generally not recommended), ganciclovir (seizures), probenecid (not recommended)</t>
        </is>
      </c>
      <c r="I73" s="3" t="inlineStr">
        <is>
          <t>US label §7</t>
        </is>
      </c>
      <c r="J73" s="3" t="inlineStr">
        <is>
          <t>Open</t>
        </is>
      </c>
      <c r="K73" s="3" t="inlineStr"/>
    </row>
    <row r="74">
      <c r="A74" s="3" t="n">
        <v>397</v>
      </c>
      <c r="B74" s="3" t="inlineStr">
        <is>
          <t>Menocik (minocycline) (MEN04, MER01)</t>
        </is>
      </c>
      <c r="C74" s="7" t="inlineStr">
        <is>
          <t>High</t>
        </is>
      </c>
      <c r="D74" s="3" t="inlineStr">
        <is>
          <t>Contraindication/warning</t>
        </is>
      </c>
      <c r="E74" s="3" t="inlineStr"/>
      <c r="F74" s="3" t="inlineStr">
        <is>
          <t>Add TW insert contraindication: avoid in pregnancy, infants and children (fetal toxicity, tooth discoloration)</t>
        </is>
      </c>
      <c r="G74" s="3" t="inlineStr">
        <is>
          <t>Hypersensitivity to any tetracycline or any component of the product (only)</t>
        </is>
      </c>
      <c r="H74" s="3" t="inlineStr">
        <is>
          <t>Mero Taiwan insert §4 禁忌 also lists '孕婦、嬰兒和孩童應避免使用本品，因四環素類製品具胎兒毒害，且會造成發育期牙齒的永久變色'.</t>
        </is>
      </c>
      <c r="I74" s="3" t="inlineStr">
        <is>
          <t>https://mcp.fda.gov.tw/im_detail_1/%E8%A1%9B%E7%BD%B2%E8%97%A5%E8%A3%BD%E5%AD%97%E7%AC%AC036940%E8%99%9F</t>
        </is>
      </c>
      <c r="J74" s="3" t="inlineStr">
        <is>
          <t>Open</t>
        </is>
      </c>
      <c r="K74" s="3" t="inlineStr"/>
    </row>
    <row r="75">
      <c r="A75" s="3" t="n">
        <v>391</v>
      </c>
      <c r="B75" s="3" t="inlineStr">
        <is>
          <t>Menocik (minocycline) (MEN04, MER01)</t>
        </is>
      </c>
      <c r="C75" s="7" t="inlineStr">
        <is>
          <t>High</t>
        </is>
      </c>
      <c r="D75" s="3" t="inlineStr">
        <is>
          <t>Dosing – pediatric</t>
        </is>
      </c>
      <c r="E75" s="3" t="inlineStr"/>
      <c r="F75" s="3" t="inlineStr">
        <is>
          <t>Pediatric max: not to exceed usual adult dose (200 mg load, then 100 mg q12h), not 400 mg/day</t>
        </is>
      </c>
      <c r="G75" s="3" t="inlineStr">
        <is>
          <t>Children &gt;8 y: 4 mg/kg once, then 2 mg/kg q12h (maximum: 400 mg daily)</t>
        </is>
      </c>
      <c r="H75" s="3" t="inlineStr">
        <is>
          <t>US FDA IV label: 'not to exceed the usual adult dose', i.e. 200 mg initially, then 100 mg q12h. The Menocik insert gives no pediatric maximum.</t>
        </is>
      </c>
      <c r="I75" s="3" t="inlineStr">
        <is>
          <t>https://dailymed.nlm.nih.gov/dailymed/drugInfo.cfm?setid=e415c323-8219-464b-9e3e-72c5a796cdaa</t>
        </is>
      </c>
      <c r="J75" s="3" t="inlineStr">
        <is>
          <t>Open</t>
        </is>
      </c>
      <c r="K75" s="3" t="inlineStr"/>
    </row>
    <row r="76">
      <c r="A76" s="3" t="n">
        <v>396</v>
      </c>
      <c r="B76" s="3" t="inlineStr">
        <is>
          <t>Menocik (minocycline) (MEN04, MER01)</t>
        </is>
      </c>
      <c r="C76" s="7" t="inlineStr">
        <is>
          <t>High</t>
        </is>
      </c>
      <c r="D76" s="3" t="inlineStr">
        <is>
          <t>Dosing – pediatric</t>
        </is>
      </c>
      <c r="E76" s="3" t="inlineStr"/>
      <c r="F76" s="3" t="inlineStr">
        <is>
          <t>Pediatric max: not to exceed usual adult dose (100 mg q12h after 200 mg load)</t>
        </is>
      </c>
      <c r="G76" s="3" t="inlineStr">
        <is>
          <t>Children &gt;8 y: 4 mg/kg once, then 2 mg/kg q12h (maximum: 400 mg daily) (UTD)</t>
        </is>
      </c>
      <c r="H76" s="3" t="inlineStr">
        <is>
          <t>US FDA oral label: '4 mg/kg initially followed by 2 mg/kg every 12 hours, not to exceed the usual adult dose', i.e. 200 mg initially, then 100 mg q12h. The Mero insert gives no maximum.</t>
        </is>
      </c>
      <c r="I76" s="3" t="inlineStr">
        <is>
          <t>https://dailymed.nlm.nih.gov/dailymed/drugInfo.cfm?setid=a5fc4d50-50b2-46e0-b722-4c6b2ec47d06</t>
        </is>
      </c>
      <c r="J76" s="3" t="inlineStr">
        <is>
          <t>Open</t>
        </is>
      </c>
      <c r="K76" s="3" t="inlineStr"/>
    </row>
    <row r="77">
      <c r="A77" s="3" t="n">
        <v>399</v>
      </c>
      <c r="B77" s="3" t="inlineStr">
        <is>
          <t>Menocik (minocycline) (MEN04, MER01)</t>
        </is>
      </c>
      <c r="C77" s="7" t="inlineStr">
        <is>
          <t>High</t>
        </is>
      </c>
      <c r="D77" s="3" t="inlineStr">
        <is>
          <t>Dosing – pediatric</t>
        </is>
      </c>
      <c r="E77" s="3" t="inlineStr"/>
      <c r="F77" s="3" t="inlineStr">
        <is>
          <t>Change pediatric max from 400 mg/day to usual adult dose (200 mg/day maintenance)</t>
        </is>
      </c>
      <c r="G77" s="3" t="inlineStr">
        <is>
          <t>Children &gt;8 y: 4 mg/kg then 2 mg/kg q12h (maximum: 400 mg daily)</t>
        </is>
      </c>
      <c r="H77" s="3" t="inlineStr">
        <is>
          <t>FDA IV and oral labels say 'not to exceed the usual adult dose' (usual adult maintenance is 100 mg q12h, i.e. 200 mg/day after the loading dose). The TW inserts give no pediatric maximum. A 400 mg/day maximum is the adult ceiling, not the usual adult dose.</t>
        </is>
      </c>
      <c r="I77" s="3" t="inlineStr">
        <is>
          <t>FDA MINOCIN IV label D&amp;A https://dailymed.nlm.nih.gov/dailymed/drugInfo.cfm?setid=e415c323-8219-464b-9e3e-72c5a796cdaa ; FDA oral label D&amp;A https://dailymed.nlm.nih.gov/dailymed/drugInfo.cfm?setid=a5fc4d50-50b2-46e0-b722-4c6b2ec47d06</t>
        </is>
      </c>
      <c r="J77" s="3" t="inlineStr">
        <is>
          <t>Open</t>
        </is>
      </c>
      <c r="K77" s="3" t="inlineStr"/>
    </row>
    <row r="78">
      <c r="A78" s="3" t="n">
        <v>3</v>
      </c>
      <c r="B78" s="3" t="inlineStr">
        <is>
          <t>Meropenem (MER02)</t>
        </is>
      </c>
      <c r="C78" s="7" t="inlineStr">
        <is>
          <t>High</t>
        </is>
      </c>
      <c r="D78" s="3" t="inlineStr">
        <is>
          <t>Administration/compatibility</t>
        </is>
      </c>
      <c r="E78" s="3" t="inlineStr"/>
      <c r="F78" s="3" t="inlineStr">
        <is>
          <t>Shorten stability: NS 1 h at ≤25 °C / 15 h at ≤5 °C; D5W use immediately (US label)</t>
        </is>
      </c>
      <c r="G78" s="3" t="inlineStr">
        <is>
          <t>NS: 2 h at 15–25 °C / 18 h at 4 °C; D5W: 1 h / 8 h</t>
        </is>
      </c>
      <c r="H78" s="3" t="inlineStr">
        <is>
          <t>Infusion in NS: 1 h at ≤25 °C / 15 h at ≤5 °C; in D5W: use immediately. Bolus vial in SWFI: 3 h / 13 h</t>
        </is>
      </c>
      <c r="I78" s="3" t="inlineStr">
        <is>
          <t>US label §2 (DailyMed 2026)</t>
        </is>
      </c>
      <c r="J78" s="3" t="inlineStr">
        <is>
          <t>Open</t>
        </is>
      </c>
      <c r="K78" s="3" t="inlineStr"/>
    </row>
    <row r="79">
      <c r="A79" s="3" t="n">
        <v>412</v>
      </c>
      <c r="B79" s="3" t="inlineStr">
        <is>
          <t>Pipe Tazo (Piperacillin/Tazobactam) (PIP01, TAP02)</t>
        </is>
      </c>
      <c r="C79" s="7" t="inlineStr">
        <is>
          <t>High</t>
        </is>
      </c>
      <c r="D79" s="3" t="inlineStr">
        <is>
          <t>Administration/compatibility</t>
        </is>
      </c>
      <c r="E79" s="3" t="inlineStr"/>
      <c r="F79" s="3" t="inlineStr">
        <is>
          <t>Add: stocked products lack EDTA—do not Y-site with aminoglycosides; give separately</t>
        </is>
      </c>
      <c r="G79" s="3" t="inlineStr">
        <is>
          <t>(no statement)</t>
        </is>
      </c>
      <c r="H79" s="3" t="inlineStr">
        <is>
          <t>Both stocked products contain no excipients, so no EDTA. Their inserts allow amikacin/gentamicin Y-site only for EDTA-containing formulations, so these products must be given separately from aminoglycosides.</t>
        </is>
      </c>
      <c r="I79" s="3" t="inlineStr">
        <is>
          <t>TW insert 帝斯坦 §1.2, §3.1.2; TW insert 達比黴素 §1.2, §3</t>
        </is>
      </c>
      <c r="J79" s="3" t="inlineStr">
        <is>
          <t>Open</t>
        </is>
      </c>
      <c r="K79" s="3" t="inlineStr"/>
    </row>
    <row r="80">
      <c r="A80" s="3" t="n">
        <v>410</v>
      </c>
      <c r="B80" s="3" t="inlineStr">
        <is>
          <t>Pipe Tazo (Piperacillin/Tazobactam) (PIP01, TAP02)</t>
        </is>
      </c>
      <c r="C80" s="7" t="inlineStr">
        <is>
          <t>High</t>
        </is>
      </c>
      <c r="D80" s="3" t="inlineStr">
        <is>
          <t>Contraindication/warning</t>
        </is>
      </c>
      <c r="E80" s="3" t="inlineStr">
        <is>
          <t>Interaction list incomplete</t>
        </is>
      </c>
      <c r="F80" s="3" t="inlineStr">
        <is>
          <t>Add HLH warning and vancomycin combination AKI interaction</t>
        </is>
      </c>
      <c r="G80" s="3" t="inlineStr">
        <is>
          <t>No HLH warning and no vancomycin–AKI interaction.</t>
        </is>
      </c>
      <c r="H80" s="3" t="inlineStr">
        <is>
          <t>HLH: US §5.3, SmPC §4.4, Tapimycin insert §5. Vancomycin combination increases AKI: US §5.7/§7.3, both Taiwan inserts §7.3. The Pipe Tazo insert (2024-01-24 PDF) still lacks the HLH warning even though the US label has it.</t>
        </is>
      </c>
      <c r="I80" s="3" t="inlineStr">
        <is>
          <t>US FDA label §5.3, §7.3 https://dailymed.nlm.nih.gov/dailymed/drugInfo.cfm?setid=a798faf5-cd97-4e35-a700-94c372978c46; TW insert 達比黴素 https://mcp.fda.gov.tw/im_detail_1/%E8%A1%9B%E7%BD%B2%E8%97%A5%E8%A3%BD%E5%AD%97%E7%AC%AC045704%E8%99%9F</t>
        </is>
      </c>
      <c r="J80" s="3" t="inlineStr">
        <is>
          <t>Open</t>
        </is>
      </c>
      <c r="K80" s="3" t="inlineStr"/>
    </row>
    <row r="81">
      <c r="A81" s="3" t="n">
        <v>419</v>
      </c>
      <c r="B81" s="3" t="inlineStr">
        <is>
          <t>Pipe Tazo (Piperacillin/Tazobactam) (PIP01, TAP02)</t>
        </is>
      </c>
      <c r="C81" s="7" t="inlineStr">
        <is>
          <t>High</t>
        </is>
      </c>
      <c r="D81" s="3" t="inlineStr">
        <is>
          <t>Contraindication/warning</t>
        </is>
      </c>
      <c r="E81" s="3" t="inlineStr">
        <is>
          <t>Interaction list incomplete</t>
        </is>
      </c>
      <c r="F81" s="3" t="inlineStr">
        <is>
          <t>Add HLH, rhabdomyolysis warnings and vancomycin–AKI interaction</t>
        </is>
      </c>
      <c r="G81" s="3" t="inlineStr">
        <is>
          <t>No mention of HLH, rhabdomyolysis, or the pip-tazo + vancomycin AKI interaction.</t>
        </is>
      </c>
      <c r="H81" s="3" t="inlineStr">
        <is>
          <t>FDA §5.3 HLH, §5.4 rhabdomyolysis, §7.3 vancomycin AKI; Tapimycin insert includes HLH (5.1.3) and the vancomycin–AKI interaction; Pipe Tazo insert includes the vancomycin–AKI interaction (§7.3) and critically-ill nephrotoxicity (§5.1.5).</t>
        </is>
      </c>
      <c r="I81" s="3" t="inlineStr">
        <is>
          <t>https://dailymed.nlm.nih.gov/dailymed/drugInfo.cfm?setid=a798faf5-cd97-4e35-a700-94c372978c46; https://mcp.fda.gov.tw/im_detail_1/%E8%A1%9B%E7%BD%B2%E8%97%A5%E8%A3%BD%E5%AD%97%E7%AC%AC045704%E8%99%9F</t>
        </is>
      </c>
      <c r="J81" s="3" t="inlineStr">
        <is>
          <t>Open</t>
        </is>
      </c>
      <c r="K81" s="3" t="inlineStr"/>
    </row>
    <row r="82">
      <c r="A82" s="3" t="n">
        <v>418</v>
      </c>
      <c r="B82" s="3" t="inlineStr">
        <is>
          <t>Pipe Tazo (Piperacillin/Tazobactam) (PIP01, TAP02)</t>
        </is>
      </c>
      <c r="C82" s="7" t="inlineStr">
        <is>
          <t>High</t>
        </is>
      </c>
      <c r="D82" s="3" t="inlineStr">
        <is>
          <t>Dosing – pediatric</t>
        </is>
      </c>
      <c r="E82" s="3" t="inlineStr"/>
      <c r="F82" s="3" t="inlineStr">
        <is>
          <t>Fix to label: &lt;2 mo not established; 2–9 mo 80 mg/kg q8h; &gt;9 mo 100 mg/kg q8h</t>
        </is>
      </c>
      <c r="G82" s="3" t="inlineStr">
        <is>
          <t>'Infants 6 months: IV: 240 to 300 mg piperacillin/kg/day...' followed by a separate 'Infants &gt;6 months' row; the '&lt;' sign is missing, so the first row reads as exactly 6 months.</t>
        </is>
      </c>
      <c r="H82" s="3" t="inlineStr">
        <is>
          <t>FDA §2.4/TW §3.1.4: 2–9 months 80 mg/kg pip q8h (IAI; q6h NP per FDA); &gt;9 months 100 mg/kg q8h (IAI; q6h NP per FDA); &lt;2 months not established.</t>
        </is>
      </c>
      <c r="I82" s="3" t="inlineStr">
        <is>
          <t>https://dailymed.nlm.nih.gov/dailymed/drugInfo.cfm?setid=a798faf5-cd97-4e35-a700-94c372978c46 (§2.4, §8.4)</t>
        </is>
      </c>
      <c r="J82" s="3" t="inlineStr">
        <is>
          <t>Open</t>
        </is>
      </c>
      <c r="K82" s="3" t="inlineStr"/>
    </row>
    <row r="83">
      <c r="A83" s="3" t="n">
        <v>406</v>
      </c>
      <c r="B83" s="3" t="inlineStr">
        <is>
          <t>Pipe Tazo (Piperacillin/Tazobactam) (PIP01, TAP02)</t>
        </is>
      </c>
      <c r="C83" s="7" t="inlineStr">
        <is>
          <t>High</t>
        </is>
      </c>
      <c r="D83" s="3" t="inlineStr">
        <is>
          <t>Dosing – renal/dialysis</t>
        </is>
      </c>
      <c r="E83" s="3" t="inlineStr">
        <is>
          <t>Renal table outdated</t>
        </is>
      </c>
      <c r="F83" s="3" t="inlineStr">
        <is>
          <t>Replace Lexicomp table with insert Table 1 incl. HD/CAPD rows and 0.75 g post-HD dose</t>
        </is>
      </c>
      <c r="G83" s="3" t="inlineStr">
        <is>
          <t>Lexicomp-style table (CrCl 100–&lt;130, 40–&lt;100, 20–&lt;40, &lt;20). For the 4.5 g q6h column: CrCl 20–&lt;40 → '4.5 g q8h or 3.375 g q6h'; CrCl &lt;20 → '4.5 g q12h or 2.25 g q6h'. No HD or CAPD rows and no post-HD 0.75 g dose.</t>
        </is>
      </c>
      <c r="H83" s="3" t="inlineStr">
        <is>
          <t>Stocked-product inserts (same as US Table 1): non-NP 20–40 → 2.25 g q6h; &lt;20 → 2.25 g q8h; HD/CAPD → 2.25 g q12h. NP 20–40 → 3.375 g q6h; &lt;20 → 2.25 g q6h; HD/CAPD → 2.25 g q8h. Plus 0.75 g after each HD session; no CAPD supplement.</t>
        </is>
      </c>
      <c r="I83" s="3" t="inlineStr">
        <is>
          <t>TW insert 帝斯坦 §3.1.3 表二 https://mcp.fda.gov.tw/im_detail_1/%E8%A1%9B%E7%BD%B2%E8%97%A5%E8%A3%BD%E5%AD%97%E7%AC%AC056759%E8%99%9F; TW insert 達比黴素 用法用量 腎功能不全 https://mcp.fda.gov.tw/im_detail_1/%E8%A1%9B%E7%BD%B2%E8%97%A5%E8%A3%BD%E5%AD%97%E7%AC%AC045704%E8%99%9F; US §2.3</t>
        </is>
      </c>
      <c r="J83" s="3" t="inlineStr">
        <is>
          <t>Open</t>
        </is>
      </c>
      <c r="K83" s="3" t="inlineStr"/>
    </row>
    <row r="84">
      <c r="A84" s="3" t="n">
        <v>415</v>
      </c>
      <c r="B84" s="3" t="inlineStr">
        <is>
          <t>Pipe Tazo (Piperacillin/Tazobactam) (PIP01, TAP02)</t>
        </is>
      </c>
      <c r="C84" s="7" t="inlineStr">
        <is>
          <t>High</t>
        </is>
      </c>
      <c r="D84" s="3" t="inlineStr">
        <is>
          <t>Dosing – renal/dialysis</t>
        </is>
      </c>
      <c r="E84" s="3" t="inlineStr">
        <is>
          <t>Renal table outdated</t>
        </is>
      </c>
      <c r="F84" s="3" t="inlineStr">
        <is>
          <t>Use insert/FDA Table 1 renal doses incl. HD/CAPD rows and 0.75 g post-HD supplement</t>
        </is>
      </c>
      <c r="G84" s="3" t="inlineStr">
        <is>
          <t>Lexicomp-style table by usual dose. For a usual 4.5 g q6h: CrCl 20–&lt;40 → '4.5 g every 8 hours or 3.375 g every 6 hours'; &lt;20 → '4.5 g every 12 hours or 2.25 g every 6 hours'. Extended-infusion column. No HD or CAPD rows, no 0.75 g post-HD supplement.</t>
        </is>
      </c>
      <c r="H84" s="3" t="inlineStr">
        <is>
          <t>Taiwan inserts (both products) = FDA Table 1. Non-NP: 20–40 2.25 g q6h; &lt;20 2.25 g q8h; HD 2.25 g q12h; CAPD 2.25 g q12h. NP: 20–40 3.375 g q6h; &lt;20 2.25 g q6h; HD/CAPD 2.25 g q8h. HD: +0.75 g after each session; CAPD: no supplement. (UK SmPC instead: 20–40 max 4.5 g q8h; &lt;20 max 4.5 g q12h; +2.25 g post-HD.)</t>
        </is>
      </c>
      <c r="I84" s="3" t="inlineStr">
        <is>
          <t>Taiwan insert Pipe Tazo 3.1.3 表二 – https://mcp.fda.gov.tw/im_detail_1/%E8%A1%9B%E7%BD%B2%E8%97%A5%E8%A3%BD%E5%AD%97%E7%AC%AC056759%E8%99%9F; FDA §2.3 – https://dailymed.nlm.nih.gov/dailymed/drugInfo.cfm?setid=a798faf5-cd97-4e35-a700-94c372978c46</t>
        </is>
      </c>
      <c r="J84" s="3" t="inlineStr">
        <is>
          <t>Open</t>
        </is>
      </c>
      <c r="K84" s="3" t="inlineStr"/>
    </row>
    <row r="85">
      <c r="A85" s="3" t="n">
        <v>72</v>
      </c>
      <c r="B85" s="3" t="inlineStr">
        <is>
          <t>Rapiacta (Peramivir) (RAP02)</t>
        </is>
      </c>
      <c r="C85" s="7" t="inlineStr">
        <is>
          <t>High</t>
        </is>
      </c>
      <c r="D85" s="3" t="inlineStr">
        <is>
          <t>Dosing – renal/dialysis</t>
        </is>
      </c>
      <c r="E85" s="3" t="inlineStr">
        <is>
          <t>Renal table outdated</t>
        </is>
      </c>
      <c r="F85" s="3" t="inlineStr">
        <is>
          <t>Renal: single dose only (US 200 mg CrCl 30–49, 100 mg 10–29); remove daily dosing</t>
        </is>
      </c>
      <c r="G85" s="3" t="inlineStr">
        <is>
          <t>Per the source brief: CrCl 31–49: 150 mg daily; CrCl 10–30: 100 mg daily; HD: 100 mg on day 1, then after each session; the CrCl &lt;10 line is truncated on the page.</t>
        </is>
      </c>
      <c r="H85" s="3" t="inlineStr">
        <is>
          <t>US FDA: single dose; CrCl 30–49 gets 200 mg and CrCl 10–29 gets 100 mg (for the 600 mg dose). On HD, give after dialysis at the renally adjusted dose. There is no daily repeat dosing and no recommendation below CrCl 10. The Taiwan Rapiacta 仿單 could not be retrieved to check the 300 mg-based values.</t>
        </is>
      </c>
      <c r="I85" s="3" t="inlineStr">
        <is>
          <t>DailyMed RAPIVAB §2.2 Table 1, §8.6 https://dailymed.nlm.nih.gov/dailymed/drugInfo.cfm?setid=fe04f6cd-e71c-4bd4-abac-97720bba2a0d</t>
        </is>
      </c>
      <c r="J85" s="3" t="inlineStr">
        <is>
          <t>Open</t>
        </is>
      </c>
      <c r="K85" s="3" t="inlineStr"/>
    </row>
    <row r="86">
      <c r="A86" s="3" t="n">
        <v>80</v>
      </c>
      <c r="B86" s="3" t="inlineStr">
        <is>
          <t>Rapiacta (Peramivir) (RAP02)</t>
        </is>
      </c>
      <c r="C86" s="7" t="inlineStr">
        <is>
          <t>High</t>
        </is>
      </c>
      <c r="D86" s="3" t="inlineStr">
        <is>
          <t>Dosing – renal/dialysis</t>
        </is>
      </c>
      <c r="E86" s="3" t="inlineStr">
        <is>
          <t>Renal table outdated</t>
        </is>
      </c>
      <c r="F86" s="3" t="inlineStr">
        <is>
          <t>Replace renal table with TW single doses (≥50 300, 30–&lt;50 100, 10–&lt;30 50 mg); HD after dialysis</t>
        </is>
      </c>
      <c r="G86" s="3" t="inlineStr">
        <is>
          <t>CrCl 31–49: 150 mg daily; CrCl 10–30: 100 mg daily; item 3 'CrCl' is blank/truncated; ESRD on HD: 100 mg on day 1, then 100 mg 2 h after each HD session</t>
        </is>
      </c>
      <c r="H86" s="3" t="inlineStr">
        <is>
          <t>Taiwan insert (stocked product, 300 mg basis): CrCl ≥50 300 mg; 30–&lt;50 100 mg; 10–&lt;30 50 mg, as single doses. For CrCl &lt;10 and HD there is no fixed dose: adjust carefully and give after dialysis (drug is rapidly removed by HD). US label (600 mg basis): 30–49 200 mg; 10–29 100 mg; HD after dialysis. The hospital values match neither label, and the 'daily' frequency and the HD 100 mg day-1 regimen are not in either label.</t>
        </is>
      </c>
      <c r="I86" s="3" t="inlineStr">
        <is>
          <t>Taiwan insert 衛部藥輸字第026649號 v4 §2.3 Table 1 (https://mcp.fda.gov.tw/insert/pdfcasefile/d2a947d2-b3f0-49fa-bb7a-ef8b0f0cb3de); US RAPIVAB §2.2 (https://dailymed.nlm.nih.gov/dailymed/drugInfo.cfm?setid=fe04f6cd-e71c-4bd4-abac-97720bba2a0d)</t>
        </is>
      </c>
      <c r="J86" s="3" t="inlineStr">
        <is>
          <t>Open</t>
        </is>
      </c>
      <c r="K86" s="3" t="inlineStr"/>
    </row>
    <row r="87">
      <c r="A87" s="3" t="n">
        <v>423</v>
      </c>
      <c r="B87" s="3" t="inlineStr">
        <is>
          <t>Seforce (ciprofloxacin) (SEF02, CIN02)</t>
        </is>
      </c>
      <c r="C87" s="7" t="inlineStr">
        <is>
          <t>High</t>
        </is>
      </c>
      <c r="D87" s="3" t="inlineStr">
        <is>
          <t>Dosing – adult</t>
        </is>
      </c>
      <c r="E87" s="3" t="inlineStr"/>
      <c r="F87" s="3" t="inlineStr">
        <is>
          <t>Remove 500 mg q12h typhoid dose from IV page (oral dose); IV is 200–400 mg</t>
        </is>
      </c>
      <c r="G87" s="3" t="inlineStr">
        <is>
          <t>Typhoid fever: 500 mg Q12H (listed on the IV product page)</t>
        </is>
      </c>
      <c r="H87" s="3" t="inlineStr">
        <is>
          <t>500 mg q12h is an oral tablet dose (US oral label Table 1: typhoid 500 mg q12h × 10 d; UK SmPC 4.2: 500 mg BID × 7 d). The US IV label has no typhoid indication, and the Seforce 仿單 IV doses are 200-400 mg.</t>
        </is>
      </c>
      <c r="I87" s="3" t="inlineStr">
        <is>
          <t>US FDA label (Aurobindo tablets) 2.1 - https://dailymed.nlm.nih.gov/dailymed/drugInfo.cfm?setid=6a935846-3c97-4517-bc4e-2377f673285e; US FDA label (Sagent IV) 2.1 - https://dailymed.nlm.nih.gov/dailymed/drugInfo.cfm?setid=f406e796-17d9-4465-b8a7-00d966a4ba74</t>
        </is>
      </c>
      <c r="J87" s="3" t="inlineStr">
        <is>
          <t>Open</t>
        </is>
      </c>
      <c r="K87" s="3" t="inlineStr"/>
    </row>
    <row r="88">
      <c r="A88" s="3" t="n">
        <v>428</v>
      </c>
      <c r="B88" s="3" t="inlineStr">
        <is>
          <t>Seforce (ciprofloxacin) (SEF02, CIN02)</t>
        </is>
      </c>
      <c r="C88" s="7" t="inlineStr">
        <is>
          <t>High</t>
        </is>
      </c>
      <c r="D88" s="3" t="inlineStr">
        <is>
          <t>Dosing – adult</t>
        </is>
      </c>
      <c r="E88" s="3" t="inlineStr"/>
      <c r="F88" s="3" t="inlineStr">
        <is>
          <t>Remove 500 mg IV typhoid dose; that is the oral regimen</t>
        </is>
      </c>
      <c r="G88" s="3" t="inlineStr">
        <is>
          <t>Typhoid fever: 500 mg Q12H (on the IV product page)</t>
        </is>
      </c>
      <c r="H88" s="3" t="inlineStr">
        <is>
          <t>500 mg q12h is the oral dose (UK SmPC 4.2: typhoid fever 500 mg twice daily × 7 days, tablets). US and TW IV dosing gives 200-400 mg IV; there is no 500 mg IV dose.</t>
        </is>
      </c>
      <c r="I88" s="3" t="inlineStr">
        <is>
          <t>UK SmPC 4.2 https://www.medicines.org.uk/emc/product/7256/smpc; Taiwan Seforce insert 3.1 https://mcp.fda.gov.tw/im_detail_1/%E8%A1%9B%E7%BD%B2%E8%97%A5%E8%A3%BD%E5%AD%97%E7%AC%AC044809%E8%99%9F</t>
        </is>
      </c>
      <c r="J88" s="3" t="inlineStr">
        <is>
          <t>Open</t>
        </is>
      </c>
      <c r="K88" s="3" t="inlineStr"/>
    </row>
    <row r="89">
      <c r="A89" s="3" t="n">
        <v>424</v>
      </c>
      <c r="B89" s="3" t="inlineStr">
        <is>
          <t>Seforce (ciprofloxacin) (SEF02, CIN02)</t>
        </is>
      </c>
      <c r="C89" s="7" t="inlineStr">
        <is>
          <t>High</t>
        </is>
      </c>
      <c r="D89" s="3" t="inlineStr">
        <is>
          <t>Dosing – renal/dialysis</t>
        </is>
      </c>
      <c r="E89" s="3" t="inlineStr"/>
      <c r="F89" s="3" t="inlineStr">
        <is>
          <t>Use insert: CrCl 31–60 max 800 mg/day; &lt;30 max 400 mg/day (US q18–24h); HD after dialysis</t>
        </is>
      </c>
      <c r="G89" s="3" t="inlineStr">
        <is>
          <t>CrCl 30-130: 400 mg q8-12h; CrCl &lt;30: 200-400 mg q12-24h (allows up to 800 mg/day); intermittent HD or PD: 200-400 mg q24h</t>
        </is>
      </c>
      <c r="H89" s="3" t="inlineStr">
        <is>
          <t>Seforce 仿單: CrCl 31-60 → max 800 mg/day; CrCl &lt;30 (SCr ≥2.0) → max 400 mg/day; HD → same maximum, given after dialysis; CAPD → 50 mg/L dialysate IP q6h. US IV label: CrCl 5-29 → 200-400 mg q18-24h. The hospital's 'q12h' at CrCl &lt;30 exceeds both labels, and its 30-130 band ignores the 800 mg/day cap at CrCl 31-60.</t>
        </is>
      </c>
      <c r="I89" s="3" t="inlineStr">
        <is>
          <t>Seforce 仿單 3.3 - https://mcp.fda.gov.tw/im_detail_1/%E8%A1%9B%E7%BD%B2%E8%97%A5%E8%A3%BD%E5%AD%97%E7%AC%AC044809%E8%99%9F; US FDA label (Sagent IV) 2.3 Table 4 - https://dailymed.nlm.nih.gov/dailymed/drugInfo.cfm?setid=f406e796-17d9-4465-b8a7-00d966a4ba74</t>
        </is>
      </c>
      <c r="J89" s="3" t="inlineStr">
        <is>
          <t>Open</t>
        </is>
      </c>
      <c r="K89" s="3" t="inlineStr"/>
    </row>
    <row r="90">
      <c r="A90" s="3" t="n">
        <v>429</v>
      </c>
      <c r="B90" s="3" t="inlineStr">
        <is>
          <t>Seforce (ciprofloxacin) (SEF02, CIN02)</t>
        </is>
      </c>
      <c r="C90" s="7" t="inlineStr">
        <is>
          <t>High</t>
        </is>
      </c>
      <c r="D90" s="3" t="inlineStr">
        <is>
          <t>Dosing – renal/dialysis</t>
        </is>
      </c>
      <c r="E90" s="3" t="inlineStr"/>
      <c r="F90" s="3" t="inlineStr">
        <is>
          <t>CrCl &lt;30: max 400 mg/day IV (TW) or 200–400 mg q18–24h (US); remove q12h</t>
        </is>
      </c>
      <c r="G90" s="3" t="inlineStr">
        <is>
          <t>CrCl &lt;30: 200-400 mg q12-24h (allows up to 800 mg/day)</t>
        </is>
      </c>
      <c r="H90" s="3" t="inlineStr">
        <is>
          <t>The TW Seforce insert caps the IV dose at 400 mg/day when CrCl &lt;30 mL/min/1.73 m² or SCr ≥2.0. The US IV label gives 200-400 mg q18-24h for CrCl 5-29.</t>
        </is>
      </c>
      <c r="I90" s="3" t="inlineStr">
        <is>
          <t>Taiwan Seforce insert 3.3 https://mcp.fda.gov.tw/im_detail_1/%E8%A1%9B%E7%BD%B2%E8%97%A5%E8%A3%BD%E5%AD%97%E7%AC%AC044809%E8%99%9F; US FDA label 2.3 Table 4 https://dailymed.nlm.nih.gov/dailymed/drugInfo.cfm?setid=f406e796-17d9-4465-b8a7-00d966a4ba74</t>
        </is>
      </c>
      <c r="J90" s="3" t="inlineStr">
        <is>
          <t>Open</t>
        </is>
      </c>
      <c r="K90" s="3" t="inlineStr"/>
    </row>
    <row r="91">
      <c r="A91" s="3" t="n">
        <v>430</v>
      </c>
      <c r="B91" s="3" t="inlineStr">
        <is>
          <t>Seforce (ciprofloxacin) (SEF02, CIN02)</t>
        </is>
      </c>
      <c r="C91" s="7" t="inlineStr">
        <is>
          <t>High</t>
        </is>
      </c>
      <c r="D91" s="3" t="inlineStr">
        <is>
          <t>Dosing – renal/dialysis</t>
        </is>
      </c>
      <c r="E91" s="3" t="inlineStr"/>
      <c r="F91" s="3" t="inlineStr">
        <is>
          <t>CrCl 31–60: cap IV at 800 mg/day per TW insert; remove 400 mg q8h</t>
        </is>
      </c>
      <c r="G91" s="3" t="inlineStr">
        <is>
          <t>CrCl 30-130: 400 mg q8-12h (allows 1200 mg/day at CrCl 31-60)</t>
        </is>
      </c>
      <c r="H91" s="3" t="inlineStr">
        <is>
          <t>The TW Seforce insert caps the IV dose at 800 mg/day when CrCl 31-60 mL/min/1.73 m² (SCr 1.4-1.9). 400 mg q8h exceeds this cap. (The US IV label adjusts only below 30.)</t>
        </is>
      </c>
      <c r="I91" s="3" t="inlineStr">
        <is>
          <t>Taiwan Seforce insert 3.3 https://mcp.fda.gov.tw/im_detail_1/%E8%A1%9B%E7%BD%B2%E8%97%A5%E8%A3%BD%E5%AD%97%E7%AC%AC044809%E8%99%9F</t>
        </is>
      </c>
      <c r="J91" s="3" t="inlineStr">
        <is>
          <t>Open</t>
        </is>
      </c>
      <c r="K91" s="3" t="inlineStr"/>
    </row>
    <row r="92">
      <c r="A92" s="3" t="n">
        <v>42</v>
      </c>
      <c r="B92" s="3" t="inlineStr">
        <is>
          <t>Sulampi (Ampicillin/Sulbactam) (SUL05)</t>
        </is>
      </c>
      <c r="C92" s="7" t="inlineStr">
        <is>
          <t>High</t>
        </is>
      </c>
      <c r="D92" s="3" t="inlineStr">
        <is>
          <t>Administration/compatibility</t>
        </is>
      </c>
      <c r="E92" s="3" t="inlineStr"/>
      <c r="F92" s="3" t="inlineStr">
        <is>
          <t>Remove IM route; stocked Sulampi product is IV only</t>
        </is>
      </c>
      <c r="G92" s="3" t="inlineStr">
        <is>
          <t>IM, IV: 1.5 to 3 g every 6 hours</t>
        </is>
      </c>
      <c r="H92" s="3" t="inlineStr">
        <is>
          <t>The stocked product's Taiwan insert (舒安比靜脈乾粉注射劑) describes IV administration only (bolus ≥3 min or 15–30 min infusion). IM use comes from US UNASYN labelling.</t>
        </is>
      </c>
      <c r="I92" s="3" t="inlineStr">
        <is>
          <t>Taiwan insert 【劑量與用法】 'Sulbactam sodium/Ampicillin sodium 靜脈注射劑可以用靜脈內注射的途徑給予' https://www.cth.org.tw/public/medi_news/9e24641f15ab702170213ee1b96e6469.pdf</t>
        </is>
      </c>
      <c r="J92" s="3" t="inlineStr">
        <is>
          <t>Open</t>
        </is>
      </c>
      <c r="K92" s="3" t="inlineStr"/>
    </row>
    <row r="93">
      <c r="A93" s="3" t="n">
        <v>44</v>
      </c>
      <c r="B93" s="3" t="inlineStr">
        <is>
          <t>Sulampi (Ampicillin/Sulbactam) (SUL05)</t>
        </is>
      </c>
      <c r="C93" s="7" t="inlineStr">
        <is>
          <t>High</t>
        </is>
      </c>
      <c r="D93" s="3" t="inlineStr">
        <is>
          <t>Administration/compatibility</t>
        </is>
      </c>
      <c r="E93" s="3" t="inlineStr"/>
      <c r="F93" s="3" t="inlineStr">
        <is>
          <t>Remove IM from adult and pediatric routes; IV only per Sulampi insert</t>
        </is>
      </c>
      <c r="G93" s="3" t="inlineStr">
        <is>
          <t>Adult 'IM, IV: 1.5 to 3 g every 6 hours'; pediatric mild-moderate 'IV, IM'</t>
        </is>
      </c>
      <c r="H93" s="3" t="inlineStr">
        <is>
          <t>The Sulampi insert describes an IV-only product: '靜脈乾粉注射劑 ... 可以用靜脈內注射的途徑給予'. The hospital's own 注射給藥指引 lists only IVF/IV bolus. FDA: 'safety and efficacy of UNASYN administered via intramuscular injection in pediatric patients have not been established'.</t>
        </is>
      </c>
      <c r="I93" s="3" t="inlineStr">
        <is>
          <t>Sulampi 仿單 https://www.cth.org.tw/public/medi_news/9e24641f15ab702170213ee1b96e6469.pdf ; FDA UNASYN Pediatric Patients https://dailymed.nlm.nih.gov/dailymed/drugInfo.cfm?setid=155c7ec0-5862-404f-b1d0-f278f8a8bbda</t>
        </is>
      </c>
      <c r="J93" s="3" t="inlineStr">
        <is>
          <t>Open</t>
        </is>
      </c>
      <c r="K93" s="3" t="inlineStr"/>
    </row>
    <row r="94">
      <c r="A94" s="3" t="n">
        <v>52</v>
      </c>
      <c r="B94" s="3" t="inlineStr">
        <is>
          <t>Sulampi (Ampicillin/Sulbactam) (SUL05)</t>
        </is>
      </c>
      <c r="C94" s="7" t="inlineStr">
        <is>
          <t>High</t>
        </is>
      </c>
      <c r="D94" s="3" t="inlineStr">
        <is>
          <t>Contraindication/warning</t>
        </is>
      </c>
      <c r="E94" s="3" t="inlineStr"/>
      <c r="F94" s="3" t="inlineStr">
        <is>
          <t>Add contraindication after prior amp/sulb cholestatic jaundice/hepatic dysfunction; monitor LFTs in hepatic impairment</t>
        </is>
      </c>
      <c r="G94" s="3" t="inlineStr">
        <is>
          <t>There is no dosage adjustment provided in the manufacturer's labeling</t>
        </is>
      </c>
      <c r="H94" s="3" t="inlineStr">
        <is>
          <t>Accurate, but it leaves out the FDA advice to monitor hepatic function regularly in hepatic impairment, and the contraindication after prior cholestatic jaundice/hepatic dysfunction with this drug.</t>
        </is>
      </c>
      <c r="I94" s="3" t="inlineStr">
        <is>
          <t>FDA UNASYN CONTRAINDICATIONS and WARNINGS–Hepatotoxicity</t>
        </is>
      </c>
      <c r="J94" s="3" t="inlineStr">
        <is>
          <t>Open</t>
        </is>
      </c>
      <c r="K94" s="3" t="inlineStr"/>
    </row>
    <row r="95">
      <c r="A95" s="3" t="n">
        <v>41</v>
      </c>
      <c r="B95" s="3" t="inlineStr">
        <is>
          <t>Sulampi (Ampicillin/Sulbactam) (SUL05)</t>
        </is>
      </c>
      <c r="C95" s="7" t="inlineStr">
        <is>
          <t>High</t>
        </is>
      </c>
      <c r="D95" s="3" t="inlineStr">
        <is>
          <t>Dosing – pediatric</t>
        </is>
      </c>
      <c r="E95" s="3" t="inlineStr"/>
      <c r="F95" s="3" t="inlineStr">
        <is>
          <t>Pediatric max 200 mg ampicillin/kg/day (US); flag 400 mg/kg/day as off-label</t>
        </is>
      </c>
      <c r="G95" s="3" t="inlineStr">
        <is>
          <t>IV: 200 to 400 mg ampicillin/kg/day divided every 6 hours (up to 400 for severe infection); usual maximum 2,000 mg ampicillin/dose</t>
        </is>
      </c>
      <c r="H95" s="3" t="inlineStr">
        <is>
          <t>US label: 300 mg/kg/day total = 200 mg ampicillin/kg/day, age ≥1 year, IV only. Taiwan insert: 150 mg/kg/day total (100 mg ampicillin/kg/day) q6–8h; neonates in the first week 75 mg/kg/day q12h. 400 mg ampicillin/kg/day is above both labels (off-label).</t>
        </is>
      </c>
      <c r="I95" s="3" t="inlineStr">
        <is>
          <t>DailyMed UNASYN Pediatric Patients 1 Year of Age or Older; Taiwan insert 使用於孩童、嬰兒和新生兒</t>
        </is>
      </c>
      <c r="J95" s="3" t="inlineStr">
        <is>
          <t>Open</t>
        </is>
      </c>
      <c r="K95" s="3" t="inlineStr"/>
    </row>
    <row r="96">
      <c r="A96" s="3" t="n">
        <v>50</v>
      </c>
      <c r="B96" s="3" t="inlineStr">
        <is>
          <t>Sulampi (Ampicillin/Sulbactam) (SUL05)</t>
        </is>
      </c>
      <c r="C96" s="7" t="inlineStr">
        <is>
          <t>High</t>
        </is>
      </c>
      <c r="D96" s="3" t="inlineStr">
        <is>
          <t>Dosing – pediatric</t>
        </is>
      </c>
      <c r="E96" s="3" t="inlineStr"/>
      <c r="F96" s="3" t="inlineStr">
        <is>
          <t>Align pediatric dosing: 200 mg ampicillin/kg/day q6h (US) or TW 100 mg/kg/day; no 400 mg/kg/day</t>
        </is>
      </c>
      <c r="G96" s="3" t="inlineStr">
        <is>
          <t>Mild-moderate 100–200 mg ampicillin/kg/day ÷ q6h; severe 200–400 mg ampicillin/kg/day</t>
        </is>
      </c>
      <c r="H96" s="3" t="inlineStr">
        <is>
          <t>FDA (≥1 yr): 200 mg ampicillin/kg/day (300 mg/kg/day combined) ÷ q6h; ≥40 kg use adult dose; sulbactam ≤4 g/day. Sulampi 仿單: 100 mg ampicillin/kg/day (150 combined) ÷ q6–8h; neonates ≤1 week 50 mg ampicillin/kg/day ÷ q12h. Neither label supports 400 mg/kg/day.</t>
        </is>
      </c>
      <c r="I96" s="3" t="inlineStr">
        <is>
          <t>FDA UNASYN Pediatric Patients 1 Year of Age or Older; Sulampi 仿單 使用於孩童、嬰兒和新生兒</t>
        </is>
      </c>
      <c r="J96" s="3" t="inlineStr">
        <is>
          <t>Open</t>
        </is>
      </c>
      <c r="K96" s="3" t="inlineStr"/>
    </row>
    <row r="97">
      <c r="A97" s="3" t="n">
        <v>35</v>
      </c>
      <c r="B97" s="3" t="inlineStr">
        <is>
          <t>Sulampi (Ampicillin/Sulbactam) (SUL05)</t>
        </is>
      </c>
      <c r="C97" s="7" t="inlineStr">
        <is>
          <t>High</t>
        </is>
      </c>
      <c r="D97" s="3" t="inlineStr">
        <is>
          <t>Indication/coverage</t>
        </is>
      </c>
      <c r="E97" s="3" t="inlineStr"/>
      <c r="F97" s="3" t="inlineStr">
        <is>
          <t>Remove C. difficile from covered anaerobes; list Clostridium spp.; amp/sulb causes CDAD</t>
        </is>
      </c>
      <c r="G97" s="3" t="inlineStr">
        <is>
          <t>Infections caused by ... Anaerobic bacteria (Bacteroides Fusobacterium, Clostridium difficile), and Branhumella catarrhalis</t>
        </is>
      </c>
      <c r="H97" s="3" t="inlineStr">
        <is>
          <t>US label lists 'Clostridium species' (non-β-lactamase producers) and names C. difficile only as the cause of CDAD (WARNINGS). The C. difficile text is copied from the old Taiwan insert's indication paragraph (confirmed on the PDF image) and is clinically wrong. 'Branhumella' is misspelled in the Taiwan insert itself; the correct genus is Branhamella, now Moraxella catarrhalis (US label MICROBIOLOGY).</t>
        </is>
      </c>
      <c r="I97" s="3" t="inlineStr">
        <is>
          <t>DailyMed UNASYN MICROBIOLOGY–Anaerobes, WARNINGS–CDAD https://dailymed.nlm.nih.gov/dailymed/drugInfo.cfm?setid=155c7ec0-5862-404f-b1d0-f278f8a8bbda; Taiwan insert 【適應症】 https://www.cth.org.tw/public/medi_news/9e24641f15ab702170213ee1b96e6469.pdf</t>
        </is>
      </c>
      <c r="J97" s="3" t="inlineStr">
        <is>
          <t>Open</t>
        </is>
      </c>
      <c r="K97" s="3" t="inlineStr"/>
    </row>
    <row r="98">
      <c r="A98" s="3" t="n">
        <v>45</v>
      </c>
      <c r="B98" s="3" t="inlineStr">
        <is>
          <t>Sulampi (Ampicillin/Sulbactam) (SUL05)</t>
        </is>
      </c>
      <c r="C98" s="7" t="inlineStr">
        <is>
          <t>High</t>
        </is>
      </c>
      <c r="D98" s="3" t="inlineStr">
        <is>
          <t>Indication/coverage</t>
        </is>
      </c>
      <c r="E98" s="3" t="inlineStr"/>
      <c r="F98" s="3" t="inlineStr">
        <is>
          <t>Delete Clostridium difficile from coverage list; note CDAD warning</t>
        </is>
      </c>
      <c r="G98" s="3" t="inlineStr">
        <is>
          <t>Lists 'Clostridium difficile' among covered anaerobes</t>
        </is>
      </c>
      <c r="H98" s="3" t="inlineStr">
        <is>
          <t>The error comes from the Taiwan insert's own 適應症 text. Clinically, ampicillin/sulbactam causes CDAD (FDA Warnings: Clostridioides difficile-Associated Diarrhea); the FDA microbiology list names only 'Clostridium species'.</t>
        </is>
      </c>
      <c r="I98" s="3" t="inlineStr">
        <is>
          <t>FDA UNASYN WARNINGS–CDAD and MICROBIOLOGY https://dailymed.nlm.nih.gov/dailymed/drugInfo.cfm?setid=155c7ec0-5862-404f-b1d0-f278f8a8bbda</t>
        </is>
      </c>
      <c r="J98" s="3" t="inlineStr">
        <is>
          <t>Open</t>
        </is>
      </c>
      <c r="K98" s="3" t="inlineStr"/>
    </row>
    <row r="99">
      <c r="A99" s="3" t="n">
        <v>132</v>
      </c>
      <c r="B99" s="3" t="inlineStr">
        <is>
          <t>Taigexyn (Nemonoxacin) (TAI05, TAI06)</t>
        </is>
      </c>
      <c r="C99" s="7" t="inlineStr">
        <is>
          <t>High</t>
        </is>
      </c>
      <c r="D99" s="3" t="inlineStr">
        <is>
          <t>Breastfeeding</t>
        </is>
      </c>
      <c r="E99" s="3" t="inlineStr"/>
      <c r="F99" s="3" t="inlineStr">
        <is>
          <t>State contraindicated in breastfeeding; interrupt breastfeeding if used (replace generic caution text)</t>
        </is>
      </c>
      <c r="G99" s="3" t="inlineStr">
        <is>
          <t>Generic LactMed/Micromedex-style caution wording</t>
        </is>
      </c>
      <c r="H99" s="3" t="inlineStr">
        <is>
          <t>Contraindicated during breastfeeding; if benefit outweighs risk, breastfeeding must be interrupted (應暫停哺乳). There is no LactMed record for nemonoxacin.</t>
        </is>
      </c>
      <c r="I99" s="3" t="inlineStr">
        <is>
          <t>TFDA 仿單 §4, §6.2 (both products) — https://mcp.fda.gov.tw/im_detail_1/%E8%A1%9B%E9%83%A8%E8%97%A5%E8%A3%BD%E5%AD%97%E7%AC%AC058540%E8%99%9F</t>
        </is>
      </c>
      <c r="J99" s="3" t="inlineStr">
        <is>
          <t>Open</t>
        </is>
      </c>
      <c r="K99" s="3" t="inlineStr"/>
    </row>
    <row r="100">
      <c r="A100" s="3" t="n">
        <v>137</v>
      </c>
      <c r="B100" s="3" t="inlineStr">
        <is>
          <t>Taigexyn (Nemonoxacin) (TAI05, TAI06)</t>
        </is>
      </c>
      <c r="C100" s="7" t="inlineStr">
        <is>
          <t>High</t>
        </is>
      </c>
      <c r="D100" s="3" t="inlineStr">
        <is>
          <t>Breastfeeding</t>
        </is>
      </c>
      <c r="E100" s="3" t="inlineStr"/>
      <c r="F100" s="3" t="inlineStr">
        <is>
          <t>Replace Micromedex rating with: contraindicated in breastfeeding; stop breastfeeding if used</t>
        </is>
      </c>
      <c r="G100" s="3" t="inlineStr">
        <is>
          <t>'Available evidence and/or expert consensus is inconclusive… Use during breastfeeding is not recommended' (Micromedex-style rating text)</t>
        </is>
      </c>
      <c r="H100" s="3" t="inlineStr">
        <is>
          <t>哺乳中婦女禁用 (contraindicated); if the drug is used, 應暫停哺乳 (breastfeeding must stop)</t>
        </is>
      </c>
      <c r="I100" s="3" t="inlineStr">
        <is>
          <t>TFDA 仿單 6.2 — https://mcp.fda.gov.tw/im_detail_1/%E8%A1%9B%E9%83%A8%E8%97%A5%E8%A3%BD%E5%AD%97%E7%AC%AC060558%E8%99%9F</t>
        </is>
      </c>
      <c r="J100" s="3" t="inlineStr">
        <is>
          <t>Open</t>
        </is>
      </c>
      <c r="K100" s="3" t="inlineStr"/>
    </row>
    <row r="101">
      <c r="A101" s="3" t="n">
        <v>129</v>
      </c>
      <c r="B101" s="3" t="inlineStr">
        <is>
          <t>Taigexyn (Nemonoxacin) (TAI05, TAI06)</t>
        </is>
      </c>
      <c r="C101" s="7" t="inlineStr">
        <is>
          <t>High</t>
        </is>
      </c>
      <c r="D101" s="3" t="inlineStr">
        <is>
          <t>Contraindication/warning</t>
        </is>
      </c>
      <c r="E101" s="3" t="inlineStr"/>
      <c r="F101" s="3" t="inlineStr">
        <is>
          <t>Add contraindication: children and adolescents (plus quinolone hypersensitivity) per TW insert §4</t>
        </is>
      </c>
      <c r="G101" s="3" t="inlineStr">
        <is>
          <t>Contraindications list pregnancy and breastfeeding only; pediatric field says use is not established</t>
        </is>
      </c>
      <c r="H101" s="3" t="inlineStr">
        <is>
          <t>Contraindicated in quinolone hypersensitivity, in pregnancy or breastfeeding, and in children or adolescents (§4 禁忌: '◎兒童或青少年')</t>
        </is>
      </c>
      <c r="I101" s="3" t="inlineStr">
        <is>
          <t>TFDA 仿單 §4 (both products) — https://mcp.fda.gov.tw/im_detail_1/%E8%A1%9B%E9%83%A8%E8%97%A5%E8%A3%BD%E5%AD%97%E7%AC%AC058540%E8%99%9F ; https://mcp.fda.gov.tw/im_detail_1/%E8%A1%9B%E9%83%A8%E8%97%A5%E8%A3%BD%E5%AD%97%E7%AC%AC060558%E8%99%9F</t>
        </is>
      </c>
      <c r="J101" s="3" t="inlineStr">
        <is>
          <t>Open</t>
        </is>
      </c>
      <c r="K101" s="3" t="inlineStr"/>
    </row>
    <row r="102">
      <c r="A102" s="3" t="n">
        <v>135</v>
      </c>
      <c r="B102" s="3" t="inlineStr">
        <is>
          <t>Taigexyn (Nemonoxacin) (TAI05, TAI06)</t>
        </is>
      </c>
      <c r="C102" s="7" t="inlineStr">
        <is>
          <t>High</t>
        </is>
      </c>
      <c r="D102" s="3" t="inlineStr">
        <is>
          <t>Contraindication/warning</t>
        </is>
      </c>
      <c r="E102" s="3" t="inlineStr"/>
      <c r="F102" s="3" t="inlineStr">
        <is>
          <t>Add children/adolescents contraindication to TAI05/TAI06 禁忌症 and pediatric fields</t>
        </is>
      </c>
      <c r="G102" s="3" t="inlineStr">
        <is>
          <t>Contraindications list only quinolone hypersensitivity and pregnancy/breastfeeding. The pediatric field says only 'no adequate studies' (TAI05) or 'efficacy and safety not established' (TAI06).</t>
        </is>
      </c>
      <c r="H102" s="3" t="inlineStr">
        <is>
          <t>4 禁忌 also lists ◎兒童或青少年 (children and adolescents are contraindicated)</t>
        </is>
      </c>
      <c r="I102" s="3" t="inlineStr">
        <is>
          <t>TFDA 仿單 4 禁忌 (both products) — https://mcp.fda.gov.tw/im_detail_1/%E8%A1%9B%E9%83%A8%E8%97%A5%E8%A3%BD%E5%AD%97%E7%AC%AC060558%E8%99%9F</t>
        </is>
      </c>
      <c r="J102" s="3" t="inlineStr">
        <is>
          <t>Open</t>
        </is>
      </c>
      <c r="K102" s="3" t="inlineStr"/>
    </row>
    <row r="103">
      <c r="A103" s="3" t="n">
        <v>136</v>
      </c>
      <c r="B103" s="3" t="inlineStr">
        <is>
          <t>Taigexyn (Nemonoxacin) (TAI05, TAI06)</t>
        </is>
      </c>
      <c r="C103" s="7" t="inlineStr">
        <is>
          <t>High</t>
        </is>
      </c>
      <c r="D103" s="3" t="inlineStr">
        <is>
          <t>Pregnancy</t>
        </is>
      </c>
      <c r="E103" s="3" t="inlineStr"/>
      <c r="F103" s="3" t="inlineStr">
        <is>
          <t>TAI05: state contraindicated in pregnancy (align with TAI06 and insert)</t>
        </is>
      </c>
      <c r="G103" s="3" t="inlineStr">
        <is>
          <t>'Use during pregnancy is not recommended'</t>
        </is>
      </c>
      <c r="H103" s="3" t="inlineStr">
        <is>
          <t>懷孕或有可能懷孕的女性禁用 (contraindicated). TAI06 correctly says contraindicated, so the two pages are inconsistent.</t>
        </is>
      </c>
      <c r="I103" s="3" t="inlineStr">
        <is>
          <t>TFDA 仿單 Taigexyn Capsule 4, 6.1 — https://mcp.fda.gov.tw/im_detail_1/%E8%A1%9B%E9%83%A8%E8%97%A5%E8%A3%BD%E5%AD%97%E7%AC%AC058540%E8%99%9F</t>
        </is>
      </c>
      <c r="J103" s="3" t="inlineStr">
        <is>
          <t>Open</t>
        </is>
      </c>
      <c r="K103" s="3" t="inlineStr"/>
    </row>
    <row r="104">
      <c r="A104" s="3" t="n">
        <v>202</v>
      </c>
      <c r="B104" s="3" t="inlineStr">
        <is>
          <t>UFO (Fosfomycin) (UFO02)</t>
        </is>
      </c>
      <c r="C104" s="7" t="inlineStr">
        <is>
          <t>High</t>
        </is>
      </c>
      <c r="D104" s="3" t="inlineStr">
        <is>
          <t>Contraindication/warning</t>
        </is>
      </c>
      <c r="E104" s="3" t="inlineStr"/>
      <c r="F104" s="3" t="inlineStr">
        <is>
          <t>Add sodium load (14.5 mEq/g), hypokalaemia, neutropenia warnings and combination-therapy advice</t>
        </is>
      </c>
      <c r="G104" s="3" t="inlineStr">
        <is>
          <t>No sodium-load, hypokalaemia, neutropenia/agranulocytosis or combination-therapy warnings</t>
        </is>
      </c>
      <c r="H104" s="3" t="inlineStr">
        <is>
          <t>14.5 mEq Na/g: monitor Na/K, low-sodium diet, K supplementation; monitor WBC; combine with another antibiotic</t>
        </is>
      </c>
      <c r="I104" s="3" t="inlineStr">
        <is>
          <t>Taiwan insert §5.1</t>
        </is>
      </c>
      <c r="J104" s="3" t="inlineStr">
        <is>
          <t>Open</t>
        </is>
      </c>
      <c r="K104" s="3" t="inlineStr"/>
    </row>
    <row r="105">
      <c r="A105" s="3" t="n">
        <v>212</v>
      </c>
      <c r="B105" s="3" t="inlineStr">
        <is>
          <t>UFO (Fosfomycin) (UFO02)</t>
        </is>
      </c>
      <c r="C105" s="7" t="inlineStr">
        <is>
          <t>High</t>
        </is>
      </c>
      <c r="D105" s="3" t="inlineStr">
        <is>
          <t>Contraindication/warning</t>
        </is>
      </c>
      <c r="E105" s="3" t="inlineStr"/>
      <c r="F105" s="3" t="inlineStr">
        <is>
          <t>Add sodium-load/K monitoring warning and combination-therapy recommendation</t>
        </is>
      </c>
      <c r="G105" s="3" t="inlineStr">
        <is>
          <t>Not mentioned</t>
        </is>
      </c>
      <c r="H105" s="3" t="inlineStr">
        <is>
          <t>14.5 mEq sodium per g: monitor Na and K, low-sodium diet, consider K supplements. Combination with another antibiotic is recommended because resistance is selected quickly.</t>
        </is>
      </c>
      <c r="I105" s="3" t="inlineStr">
        <is>
          <t>Taiwan insert UFO §5.1; UK SmPC §4.4</t>
        </is>
      </c>
      <c r="J105" s="3" t="inlineStr">
        <is>
          <t>Open</t>
        </is>
      </c>
      <c r="K105" s="3" t="inlineStr"/>
    </row>
    <row r="106">
      <c r="A106" s="3" t="n">
        <v>200</v>
      </c>
      <c r="B106" s="3" t="inlineStr">
        <is>
          <t>UFO (Fosfomycin) (UFO02)</t>
        </is>
      </c>
      <c r="C106" s="7" t="inlineStr">
        <is>
          <t>High</t>
        </is>
      </c>
      <c r="D106" s="3" t="inlineStr">
        <is>
          <t>Dosing – adult</t>
        </is>
      </c>
      <c r="E106" s="3" t="inlineStr"/>
      <c r="F106" s="3" t="inlineStr">
        <is>
          <t>Remove IM route; IV only 2–4 g/day per TW insert</t>
        </is>
      </c>
      <c r="G106" s="3" t="inlineStr">
        <is>
          <t>Micromedex-style text: disodium fosfomycin 2–4 g/day IV and IM; up to 16 g/day IV in severe infection; mentions vein/tissue irritation</t>
        </is>
      </c>
      <c r="H106" s="3" t="inlineStr">
        <is>
          <t>Taiwan insert: IV only (IVD or slow IV push), 2–4 g/day; no intramuscular route. UK: 12–24 g/day IV; US: 6 g q8h IV.</t>
        </is>
      </c>
      <c r="I106" s="3" t="inlineStr">
        <is>
          <t>Taiwan insert §3.1; UK SmPC §4.2; US Contepo §2.1</t>
        </is>
      </c>
      <c r="J106" s="3" t="inlineStr">
        <is>
          <t>Open</t>
        </is>
      </c>
      <c r="K106" s="3" t="inlineStr"/>
    </row>
    <row r="107">
      <c r="A107" s="3" t="n">
        <v>207</v>
      </c>
      <c r="B107" s="3" t="inlineStr">
        <is>
          <t>UFO (Fosfomycin) (UFO02)</t>
        </is>
      </c>
      <c r="C107" s="7" t="inlineStr">
        <is>
          <t>High</t>
        </is>
      </c>
      <c r="D107" s="3" t="inlineStr">
        <is>
          <t>Dosing – adult</t>
        </is>
      </c>
      <c r="E107" s="3" t="inlineStr"/>
      <c r="F107" s="3" t="inlineStr">
        <is>
          <t>Remove IM route; IV infusion/push only 2–4 g/day</t>
        </is>
      </c>
      <c r="G107" s="3" t="inlineStr">
        <is>
          <t>Micromedex-style text: disodium fosfomycin 2–4 g/day IV or IM in divided doses; up to 16 g/day IV in severe infection</t>
        </is>
      </c>
      <c r="H107" s="3" t="inlineStr">
        <is>
          <t>IV infusion or IV push only: 2–4 g/day (IVD in 2 doses; IV push in 2–4 doses). The insert has no IM route. The UK SmPC gives 12–24 g/day IV.</t>
        </is>
      </c>
      <c r="I107" s="3" t="inlineStr">
        <is>
          <t>Taiwan insert UFO §3.1; UK SmPC §4.2</t>
        </is>
      </c>
      <c r="J107" s="3" t="inlineStr">
        <is>
          <t>Open</t>
        </is>
      </c>
      <c r="K107" s="3" t="inlineStr"/>
    </row>
    <row r="108">
      <c r="A108" s="3" t="n">
        <v>196</v>
      </c>
      <c r="B108" s="3" t="inlineStr">
        <is>
          <t>UFO (Fosfomycin) (UFO02)</t>
        </is>
      </c>
      <c r="C108" s="7" t="inlineStr">
        <is>
          <t>High</t>
        </is>
      </c>
      <c r="D108" s="3" t="inlineStr">
        <is>
          <t>Dosing – renal/dialysis</t>
        </is>
      </c>
      <c r="E108" s="3" t="inlineStr">
        <is>
          <t>Renal table outdated</t>
        </is>
      </c>
      <c r="F108" s="3" t="inlineStr">
        <is>
          <t>Add CrCl &lt;40 table (70/60/40/20%), HD 2 g q48h post-dialysis, CVVH no change</t>
        </is>
      </c>
      <c r="G108" s="3" t="inlineStr">
        <is>
          <t>There are no dosage adjustments provided in the manufacturer's labeling.</t>
        </is>
      </c>
      <c r="H108" s="3" t="inlineStr">
        <is>
          <t>CrCl &lt;40: 20–70% of daily dose (40→70%, 30→60%, 20→40%, 10→20%); intermittent HD q48h: 2 g after dialysis; CVVH: no adjustment. The UK SmPC agrees; US Contepo adjusts at CrCl ≤50.</t>
        </is>
      </c>
      <c r="I108" s="3" t="inlineStr">
        <is>
          <t>Taiwan insert §3.1; UK SmPC §4.2 — https://www.medicines.org.uk/emc/product/100356/smpc; US Contepo §2.2 — https://dailymed.nlm.nih.gov/dailymed/drugInfo.cfm?setid=855574f2-39f8-43bc-a3d2-79dbb578cb94</t>
        </is>
      </c>
      <c r="J108" s="3" t="inlineStr">
        <is>
          <t>Open</t>
        </is>
      </c>
      <c r="K108" s="3" t="inlineStr"/>
    </row>
    <row r="109">
      <c r="A109" s="3" t="n">
        <v>206</v>
      </c>
      <c r="B109" s="3" t="inlineStr">
        <is>
          <t>UFO (Fosfomycin) (UFO02)</t>
        </is>
      </c>
      <c r="C109" s="7" t="inlineStr">
        <is>
          <t>High</t>
        </is>
      </c>
      <c r="D109" s="3" t="inlineStr">
        <is>
          <t>Dosing – renal/dialysis</t>
        </is>
      </c>
      <c r="E109" s="3" t="inlineStr">
        <is>
          <t>Renal table outdated</t>
        </is>
      </c>
      <c r="F109" s="3" t="inlineStr">
        <is>
          <t>Add CrCl &lt;40 dose % table and HD 2 g q48h post-dialysis</t>
        </is>
      </c>
      <c r="G109" s="3" t="inlineStr">
        <is>
          <t>There are no dosage adjustments provided in the manufacturer's labeling</t>
        </is>
      </c>
      <c r="H109" s="3" t="inlineStr">
        <is>
          <t>For CrCl &lt;40, give 20–70% of the daily dose (40→70%, 30→60%, 20→40%, 10→20%). Intermittent HD every 48 h: 2 g after dialysis. CVVH: no adjustment.</t>
        </is>
      </c>
      <c r="I109" s="3" t="inlineStr">
        <is>
          <t>Taiwan insert UFO §3.1; UK SmPC §4.2 https://www.medicines.org.uk/emc/product/100356/smpc</t>
        </is>
      </c>
      <c r="J109" s="3" t="inlineStr">
        <is>
          <t>Open</t>
        </is>
      </c>
      <c r="K109" s="3" t="inlineStr"/>
    </row>
    <row r="110">
      <c r="A110" s="3" t="n">
        <v>436</v>
      </c>
      <c r="B110" s="3" t="inlineStr">
        <is>
          <t>Vancomycin (UVA01)</t>
        </is>
      </c>
      <c r="C110" s="7" t="inlineStr">
        <is>
          <t>High</t>
        </is>
      </c>
      <c r="D110" s="3" t="inlineStr">
        <is>
          <t>Dosing – adult</t>
        </is>
      </c>
      <c r="E110" s="3" t="inlineStr"/>
      <c r="F110" s="3" t="inlineStr">
        <is>
          <t>Align to label usual 2 g/day (≥15 mg/kg initial); &gt;2 g/day TDM-guided; infuse ≤10 mg/min or ≥60 min</t>
        </is>
      </c>
      <c r="G110" s="3" t="inlineStr">
        <is>
          <t>2-3 g/day (30-60 mg/kg/day) divided q8-12h, each gram over ≥60 min</t>
        </is>
      </c>
      <c r="H110" s="3" t="inlineStr">
        <is>
          <t>The 仿單 for the stocked product and the US FDA label give a usual dose of 2 g/day (500 mg q6h or 1 g q12h), initial dose at least 15 mg/kg. UK SmPC: 15-20 mg/kg q8-12h, max 2 g/dose (overlaps the 30-60 mg/kg/day range), with a 25-30 mg/kg loading dose in seriously ill patients. A fixed 3 g/day is not in the label for the stocked product. Infusion should be at no more than 10 mg/min or over at least 60 min, whichever is longer, which is stricter than 'each gram over ≥60 min' for doses above 600 mg.</t>
        </is>
      </c>
      <c r="I110" s="3" t="inlineStr">
        <is>
          <t>Taiwan 仿單 3.1 https://mcp.fda.gov.tw/im_detail_1/%E8%A1%9B%E7%BD%B2%E8%97%A5%E8%A3%BD%E5%AD%97%E7%AC%AC041443%E8%99%9F ; US FDA D&amp;A https://dailymed.nlm.nih.gov/dailymed/drugInfo.cfm?setid=2dc7b3d6-3874-40ac-b8aa-7bcfe2dc0cdf ; UK SmPC 4.2 https://www.medicines.org.uk/emc/product/15737/smpc</t>
        </is>
      </c>
      <c r="J110" s="3" t="inlineStr">
        <is>
          <t>Open</t>
        </is>
      </c>
      <c r="K110" s="3" t="inlineStr"/>
    </row>
    <row r="111">
      <c r="A111" s="3" t="n">
        <v>442</v>
      </c>
      <c r="B111" s="3" t="inlineStr">
        <is>
          <t>Vancomycin (UVA01)</t>
        </is>
      </c>
      <c r="C111" s="7" t="inlineStr">
        <is>
          <t>High</t>
        </is>
      </c>
      <c r="D111" s="3" t="inlineStr">
        <is>
          <t>Dosing – adult</t>
        </is>
      </c>
      <c r="E111" s="3" t="inlineStr"/>
      <c r="F111" s="3" t="inlineStr">
        <is>
          <t>Usual 2 g/day per stocked insert; doses &gt;2 g/day only with TDM</t>
        </is>
      </c>
      <c r="G111" s="3" t="inlineStr">
        <is>
          <t>2-3 g/day (30-60 mg/kg/day) divided q8-12h</t>
        </is>
      </c>
      <c r="H111" s="3" t="inlineStr">
        <is>
          <t>Taiwan insert (same product) and US label: usual 2 g/day (500 mg q6h or 1 g q12h). UK: 15-20 mg/kg q8-12h, max 2 g/dose, which overlaps with 30-60 mg/kg/day only for the weight-based range. Doses above 2 g/day need TDM support.</t>
        </is>
      </c>
      <c r="I111" s="3" t="inlineStr">
        <is>
          <t>Taiwan insert 3.1 https://mcp.fda.gov.tw/im_detail_1/%E8%A1%9B%E7%BD%B2%E8%97%A5%E8%A3%BD%E5%AD%97%E7%AC%AC041443%E8%99%9F; US D&amp;A; UK SmPC 4.2</t>
        </is>
      </c>
      <c r="J111" s="3" t="inlineStr">
        <is>
          <t>Open</t>
        </is>
      </c>
      <c r="K111" s="3" t="inlineStr"/>
    </row>
    <row r="112">
      <c r="A112" s="3" t="n">
        <v>437</v>
      </c>
      <c r="B112" s="3" t="inlineStr">
        <is>
          <t>Vancomycin (UVA01)</t>
        </is>
      </c>
      <c r="C112" s="7" t="inlineStr">
        <is>
          <t>High</t>
        </is>
      </c>
      <c r="D112" s="3" t="inlineStr">
        <is>
          <t>Dosing – renal/dialysis</t>
        </is>
      </c>
      <c r="E112" s="3" t="inlineStr">
        <is>
          <t>Renal table outdated</t>
        </is>
      </c>
      <c r="F112" s="3" t="inlineStr">
        <is>
          <t>Replace unsourced day 1/4/weekly ESRD regimen with label regimen or cited guideline; level-guided redosing</t>
        </is>
      </c>
      <c r="G112" s="3" t="inlineStr">
        <is>
          <t>ESRD: 15 mg/kg day 1, 15 mg/kg day 4, then 15 mg/kg every 7 days</t>
        </is>
      </c>
      <c r="H112" s="3" t="inlineStr">
        <is>
          <t>仿單/FDA: functionally anephric, 15 mg/kg then 1.9 mg/kg/24h; severe impairment, 250-1000 mg every several days; anuria, 1 g every 7-10 days. SmPC: in CrCl &lt;20 or RRT, re-dose based on levels, and high-flux HD needs post-HD replacement dosing. The day 1/day 4/weekly regimen matches no label. It needs a guideline citation, or it should be flagged.</t>
        </is>
      </c>
      <c r="I112" s="3" t="inlineStr">
        <is>
          <t>Taiwan 仿單 3.3 ; US FDA D&amp;A (impaired renal function) ; UK SmPC 4.2 Renal impairment</t>
        </is>
      </c>
      <c r="J112" s="3" t="inlineStr">
        <is>
          <t>Open</t>
        </is>
      </c>
      <c r="K112" s="3" t="inlineStr"/>
    </row>
    <row r="113">
      <c r="A113" s="3" t="n">
        <v>438</v>
      </c>
      <c r="B113" s="3" t="inlineStr">
        <is>
          <t>Vancomycin (UVA01)</t>
        </is>
      </c>
      <c r="C113" s="7" t="inlineStr">
        <is>
          <t>High</t>
        </is>
      </c>
      <c r="D113" s="3" t="inlineStr">
        <is>
          <t>Dosing – renal/dialysis</t>
        </is>
      </c>
      <c r="E113" s="3" t="inlineStr"/>
      <c r="F113" s="3" t="inlineStr">
        <is>
          <t>Add: high-flux HD and CRRT increase clearance; replacement dosing after HD needed</t>
        </is>
      </c>
      <c r="G113" s="3" t="inlineStr">
        <is>
          <t>Conventional hemodialysis does not clear vancomycin (stated without qualification)</t>
        </is>
      </c>
      <c r="H113" s="3" t="inlineStr">
        <is>
          <t>The labels agree that conventional HD and PD remove little vancomycin. However, the SmPC states that 'use of high-flux membranes and continuous renal replacement therapy (CRRT) increases vancomycin clearance and generally requires replacement dosing (usually after the haemodialysis session)'. The FDA label notes increased clearance with hemofiltration and hemoperfusion.</t>
        </is>
      </c>
      <c r="I113" s="3" t="inlineStr">
        <is>
          <t>UK SmPC 4.2 &amp; 5.2 https://www.medicines.org.uk/emc/product/15737/smpc ; US FDA OVERDOSAGE https://dailymed.nlm.nih.gov/dailymed/drugInfo.cfm?setid=2dc7b3d6-3874-40ac-b8aa-7bcfe2dc0cdf</t>
        </is>
      </c>
      <c r="J113" s="3" t="inlineStr">
        <is>
          <t>Open</t>
        </is>
      </c>
      <c r="K113" s="3" t="inlineStr"/>
    </row>
    <row r="114">
      <c r="A114" s="3" t="n">
        <v>443</v>
      </c>
      <c r="B114" s="3" t="inlineStr">
        <is>
          <t>Vancomycin (UVA01)</t>
        </is>
      </c>
      <c r="C114" s="7" t="inlineStr">
        <is>
          <t>High</t>
        </is>
      </c>
      <c r="D114" s="3" t="inlineStr">
        <is>
          <t>Dosing – renal/dialysis</t>
        </is>
      </c>
      <c r="E114" s="3" t="inlineStr">
        <is>
          <t>Renal table outdated</t>
        </is>
      </c>
      <c r="F114" s="3" t="inlineStr">
        <is>
          <t>Replace day-1/day-4/weekly ESRD regimen with label dosing or cited guideline</t>
        </is>
      </c>
      <c r="G114" s="3" t="inlineStr">
        <is>
          <t>15 mg/kg day 1, 15 mg/kg day 4, then 15 mg/kg every 7 days</t>
        </is>
      </c>
      <c r="H114" s="3" t="inlineStr">
        <is>
          <t>Taiwan insert/US: anephric 15 mg/kg then 1.9 mg/kg/24h; marked impairment 250-1000 mg every several days; anuria 1 g every 7-10 days. UK: initial dose, then re-dose by levels for CrCl &lt;20 or RRT. No label gives the day-1/day-4/weekly regimen; it needs a guideline citation or a flag.</t>
        </is>
      </c>
      <c r="I114" s="3" t="inlineStr">
        <is>
          <t>Taiwan insert 3.3; US D&amp;A Impaired Renal Function; UK SmPC 4.2</t>
        </is>
      </c>
      <c r="J114" s="3" t="inlineStr">
        <is>
          <t>Open</t>
        </is>
      </c>
      <c r="K114" s="3" t="inlineStr"/>
    </row>
    <row r="115">
      <c r="A115" s="3" t="n">
        <v>444</v>
      </c>
      <c r="B115" s="3" t="inlineStr">
        <is>
          <t>Vancomycin (UVA01)</t>
        </is>
      </c>
      <c r="C115" s="7" t="inlineStr">
        <is>
          <t>High</t>
        </is>
      </c>
      <c r="D115" s="3" t="inlineStr">
        <is>
          <t>Dosing – renal/dialysis</t>
        </is>
      </c>
      <c r="E115" s="3" t="inlineStr"/>
      <c r="F115" s="3" t="inlineStr">
        <is>
          <t>Add high-flux HD/CRRT clearance with post-HD replacement dosing</t>
        </is>
      </c>
      <c r="G115" s="3" t="inlineStr">
        <is>
          <t>Conventional haemodialysis does not clear vancomycin (no further qualification)</t>
        </is>
      </c>
      <c r="H115" s="3" t="inlineStr">
        <is>
          <t>UK SmPC: poorly dialyzable by intermittent HD, BUT high-flux membranes and CRRT increase clearance and generally need replacement dosing after HD.</t>
        </is>
      </c>
      <c r="I115" s="3" t="inlineStr">
        <is>
          <t>UK SmPC 4.2 Renal impairment https://www.medicines.org.uk/emc/product/15737/smpc</t>
        </is>
      </c>
      <c r="J115" s="3" t="inlineStr">
        <is>
          <t>Open</t>
        </is>
      </c>
      <c r="K115" s="3" t="inlineStr"/>
    </row>
    <row r="116">
      <c r="A116" s="3" t="n">
        <v>31</v>
      </c>
      <c r="B116" s="3" t="inlineStr">
        <is>
          <t>Vfend (Voriconazole) (VFE01, VFE02, VOR03)</t>
        </is>
      </c>
      <c r="C116" s="7" t="inlineStr">
        <is>
          <t>High</t>
        </is>
      </c>
      <c r="D116" s="3" t="inlineStr">
        <is>
          <t>Dosing – adult</t>
        </is>
      </c>
      <c r="E116" s="3" t="inlineStr"/>
      <c r="F116" s="3" t="inlineStr">
        <is>
          <t>Make candidemia IV dosing weight-based (6 mg/kg q12h ×2, then 3–4 mg/kg); fixed doses are oral</t>
        </is>
      </c>
      <c r="G116" s="3" t="inlineStr">
        <is>
          <t>'Initial 400 mg IV twice daily for 2 doses, then 200 to 300 mg IV or orally twice daily'</t>
        </is>
      </c>
      <c r="H116" s="3" t="inlineStr">
        <is>
          <t>Label IV dosing is weight-based: 6 mg/kg q12h × 2, then 3–4 mg/kg q12h. The fixed 400 mg and 200–300 mg doses are oral regimens in the labels (UK/TW). IDSA 2016 gives '400 mg (6 mg/kg) ... then 200 mg (3 mg/kg)' without naming a route.</t>
        </is>
      </c>
      <c r="I116" s="3" t="inlineStr">
        <is>
          <t>US §2.3 Table 1; UK SmPC §4.2; IDSA Candidiasis 2016 https://www.idsociety.org/practice-guideline/candidiasis/</t>
        </is>
      </c>
      <c r="J116" s="3" t="inlineStr">
        <is>
          <t>Open</t>
        </is>
      </c>
      <c r="K116" s="3" t="inlineStr"/>
    </row>
    <row r="117">
      <c r="A117" s="3" t="n">
        <v>32</v>
      </c>
      <c r="B117" s="3" t="inlineStr">
        <is>
          <t>Vfend (Voriconazole) (VFE01, VFE02, VOR03)</t>
        </is>
      </c>
      <c r="C117" s="7" t="inlineStr">
        <is>
          <t>High</t>
        </is>
      </c>
      <c r="D117" s="3" t="inlineStr">
        <is>
          <t>Dosing – adult</t>
        </is>
      </c>
      <c r="E117" s="3" t="inlineStr"/>
      <c r="F117" s="3" t="inlineStr">
        <is>
          <t>Add oral loading dose 400 mg q12h ×24 h (200 mg if &lt;40 kg) per UK/TW</t>
        </is>
      </c>
      <c r="G117" s="3" t="inlineStr">
        <is>
          <t>Aspergillosis: 200 mg twice daily (may increase to 300 mg per TDM); no loading dose stated</t>
        </is>
      </c>
      <c r="H117" s="3" t="inlineStr">
        <is>
          <t>UK and TW: start oral therapy with a 400 mg q12h loading dose for the first 24 h (200 mg q12h if &lt;40 kg). The US label uses IV loading for IA and keeps IV going for at least 7 days before switching.</t>
        </is>
      </c>
      <c r="I117" s="3" t="inlineStr">
        <is>
          <t>UK SmPC (tablet) §4.2 https://www.medicines.org.uk/emc/product/8408/smpc; Taiwan 仿單 §3.1; US §2.3</t>
        </is>
      </c>
      <c r="J117" s="3" t="inlineStr">
        <is>
          <t>Open</t>
        </is>
      </c>
      <c r="K117" s="3" t="inlineStr"/>
    </row>
    <row r="118">
      <c r="A118" s="3" t="n">
        <v>19</v>
      </c>
      <c r="B118" s="3" t="inlineStr">
        <is>
          <t>Vfend (Voriconazole) (VFE01, VFE02, VOR03)</t>
        </is>
      </c>
      <c r="C118" s="7" t="inlineStr">
        <is>
          <t>High</t>
        </is>
      </c>
      <c r="D118" s="3" t="inlineStr">
        <is>
          <t>Drug interaction</t>
        </is>
      </c>
      <c r="E118" s="3" t="inlineStr">
        <is>
          <t>Interaction list incomplete</t>
        </is>
      </c>
      <c r="F118" s="3" t="inlineStr">
        <is>
          <t>Add contraindicated: lurasidone, naloxegol, finerenone, eplerenone, voclosporin, venetoclax ramp-up, St John's wort; tolvaptan on VFE02</t>
        </is>
      </c>
      <c r="G118" s="3" t="inlineStr">
        <is>
          <t>Lists terfenadine, astemizole, cisapride, pimozide, quinidine, ivabradine, sirolimus, efavirenz, rifabutin, tolvaptan (VFE01 only) and ergot alkaloids</t>
        </is>
      </c>
      <c r="H118" s="3" t="inlineStr">
        <is>
          <t>Current US/UK/TW contraindications also include lurasidone, naloxegol, finerenone, eplerenone, voclosporin, and venetoclax (initiation/ramp-up), and St John's wort among the inducers. Tolvaptan is contraindicated in every label but is missing from the VFE02 list.</t>
        </is>
      </c>
      <c r="I118" s="3" t="inlineStr">
        <is>
          <t>US label 4; UK SmPC 4.3; TW insert 4 禁忌</t>
        </is>
      </c>
      <c r="J118" s="3" t="inlineStr">
        <is>
          <t>Open</t>
        </is>
      </c>
      <c r="K118" s="3" t="inlineStr"/>
    </row>
    <row r="119">
      <c r="A119" s="3" t="n">
        <v>28</v>
      </c>
      <c r="B119" s="3" t="inlineStr">
        <is>
          <t>Vfend (Voriconazole) (VFE01, VFE02, VOR03)</t>
        </is>
      </c>
      <c r="C119" s="7" t="inlineStr">
        <is>
          <t>High</t>
        </is>
      </c>
      <c r="D119" s="3" t="inlineStr">
        <is>
          <t>Drug interaction</t>
        </is>
      </c>
      <c r="E119" s="3" t="inlineStr">
        <is>
          <t>Interaction list incomplete</t>
        </is>
      </c>
      <c r="F119" s="3" t="inlineStr">
        <is>
          <t>Complete contraindicated drug list (St John's wort, lurasidone, naloxegol, etc.; tolvaptan on tablets); dose-qualify efavirenz/ritonavir</t>
        </is>
      </c>
      <c r="G119" s="3" t="inlineStr">
        <is>
          <t>Lists terfenadine, astemizole, cisapride, pimozide, quinidine, ivabradine; rifampin, carbamazepine, long-acting barbiturates, ritonavir, efavirenz, rifabutin; sirolimus, efavirenz, rifabutin, ergot alkaloids (tolvaptan appears only on VFE01).</t>
        </is>
      </c>
      <c r="H119" s="3" t="inlineStr">
        <is>
          <t>The list is missing St John's wort, lurasidone, naloxegol, eplerenone, finerenone, voclosporin and venetoclax (initiation/ramp-up), and tolvaptan on the tablet records. Efavirenz and ritonavir are contraindicated only at efavirenz ≥400 mg/day and ritonavir ≥400 mg q12h. Low-dose ritonavir should be avoided, and efavirenz 300 mg/day can be used with voriconazole 400 mg q12h. Rifabutin is contraindicated in the US and TW but only 'avoid' in the UK.</t>
        </is>
      </c>
      <c r="I119" s="3" t="inlineStr">
        <is>
          <t>US FDA label §4 and §7; UK SmPC §4.3; Taiwan 仿單 §4 https://mcp.fda.gov.tw/im_detail_1/%E8%A1%9B%E7%BD%B2%E8%97%A5%E8%BC%B8%E5%AD%97%E7%AC%AC023648%E8%99%9F</t>
        </is>
      </c>
      <c r="J119" s="3" t="inlineStr">
        <is>
          <t>Open</t>
        </is>
      </c>
      <c r="K119" s="3" t="inlineStr"/>
    </row>
    <row r="120">
      <c r="A120" s="3" t="n">
        <v>70</v>
      </c>
      <c r="B120" s="3" t="inlineStr">
        <is>
          <t>Zavicefta (Ceftazidime-Avibactam) (ZAV04)</t>
        </is>
      </c>
      <c r="C120" s="7" t="inlineStr">
        <is>
          <t>High</t>
        </is>
      </c>
      <c r="D120" s="3" t="inlineStr">
        <is>
          <t>Contraindication/warning</t>
        </is>
      </c>
      <c r="E120" s="3" t="inlineStr"/>
      <c r="F120" s="3" t="inlineStr">
        <is>
          <t>Add contraindication: severe hypersensitivity to any other β-lactam (TW/UK)</t>
        </is>
      </c>
      <c r="G120" s="3" t="inlineStr">
        <is>
          <t>Known serious hypersensitivity to ceftazidime, avibactam, other cephalosporins, or any component</t>
        </is>
      </c>
      <c r="H120" s="3" t="inlineStr">
        <is>
          <t>The Taiwan/UK label also contraindicates use after severe hypersensitivity (anaphylaxis, severe skin reaction) to any other β-lactam (penicillins, monobactams, carbapenems).</t>
        </is>
      </c>
      <c r="I120" s="3" t="inlineStr">
        <is>
          <t>Taiwan 仿單 §4 禁忌; UK SmPC §4.3</t>
        </is>
      </c>
      <c r="J120" s="3" t="inlineStr">
        <is>
          <t>Open</t>
        </is>
      </c>
      <c r="K120" s="3" t="inlineStr"/>
    </row>
    <row r="121">
      <c r="A121" s="3" t="n">
        <v>55</v>
      </c>
      <c r="B121" s="3" t="inlineStr">
        <is>
          <t>Zavicefta (Ceftazidime-Avibactam) (ZAV04)</t>
        </is>
      </c>
      <c r="C121" s="7" t="inlineStr">
        <is>
          <t>High</t>
        </is>
      </c>
      <c r="D121" s="3" t="inlineStr">
        <is>
          <t>Dosing – renal/dialysis</t>
        </is>
      </c>
      <c r="E121" s="3" t="inlineStr">
        <is>
          <t>Renal table outdated</t>
        </is>
      </c>
      <c r="F121" s="3" t="inlineStr">
        <is>
          <t>Add CrCl ≤5/ESRD row: 0.94 g q48h, after HD</t>
        </is>
      </c>
      <c r="G121" s="3" t="inlineStr">
        <is>
          <t>Row cut off / missing</t>
        </is>
      </c>
      <c r="H121" s="3" t="inlineStr">
        <is>
          <t>0.94 g (0.75 g/0.1875 g) q48h; ESRD incl. HD q48h, dosed after HD (US Table 3; TW 表9; SmPC Table 4)</t>
        </is>
      </c>
      <c r="I121" s="3" t="inlineStr">
        <is>
          <t>US 2.3 Table 3; TW 表9 https://mcp.fda.gov.tw/im_detail_1/%E8%A1%9B%E9%83%A8%E8%97%A5%E8%BC%B8%E5%AD%97%E7%AC%AC027705%E8%99%9F</t>
        </is>
      </c>
      <c r="J121" s="3" t="inlineStr">
        <is>
          <t>Open</t>
        </is>
      </c>
      <c r="K121" s="3" t="inlineStr"/>
    </row>
    <row r="122">
      <c r="A122" s="3" t="n">
        <v>56</v>
      </c>
      <c r="B122" s="3" t="inlineStr">
        <is>
          <t>Zavicefta (Ceftazidime-Avibactam) (ZAV04)</t>
        </is>
      </c>
      <c r="C122" s="7" t="inlineStr">
        <is>
          <t>High</t>
        </is>
      </c>
      <c r="D122" s="3" t="inlineStr">
        <is>
          <t>Dosing – renal/dialysis</t>
        </is>
      </c>
      <c r="E122" s="3" t="inlineStr">
        <is>
          <t>Renal table outdated</t>
        </is>
      </c>
      <c r="F122" s="3" t="inlineStr">
        <is>
          <t>HD dosing: 0.94 g q48h after HD; remove q24h option</t>
        </is>
      </c>
      <c r="G122" s="3" t="inlineStr">
        <is>
          <t>0.94 g q24-48h after dialysis</t>
        </is>
      </c>
      <c r="H122" s="3" t="inlineStr">
        <is>
          <t>Stocked product (TW) and SmPC: ESRD including HD q48h, given after HD. In the US table, q24h applies only to CrCl 6-15.</t>
        </is>
      </c>
      <c r="I122" s="3" t="inlineStr">
        <is>
          <t>TW 表9 footnote 3; SmPC 4.2 Table 4 https://www.medicines.org.uk/emc/product/2465/smpc</t>
        </is>
      </c>
      <c r="J122" s="3" t="inlineStr">
        <is>
          <t>Open</t>
        </is>
      </c>
      <c r="K122" s="3" t="inlineStr"/>
    </row>
    <row r="123">
      <c r="A123" s="3" t="n">
        <v>64</v>
      </c>
      <c r="B123" s="3" t="inlineStr">
        <is>
          <t>Zavicefta (Ceftazidime-Avibactam) (ZAV04)</t>
        </is>
      </c>
      <c r="C123" s="7" t="inlineStr">
        <is>
          <t>High</t>
        </is>
      </c>
      <c r="D123" s="3" t="inlineStr">
        <is>
          <t>Dosing – renal/dialysis</t>
        </is>
      </c>
      <c r="E123" s="3" t="inlineStr">
        <is>
          <t>Renal table outdated</t>
        </is>
      </c>
      <c r="F123" s="3" t="inlineStr">
        <is>
          <t>Add CrCl ≤5/ESRD: 0.94 g q48h, given after HD</t>
        </is>
      </c>
      <c r="G123" s="3" t="inlineStr">
        <is>
          <t>List stops at CrCl 6–15 mL/min; no CrCl ≤5 row</t>
        </is>
      </c>
      <c r="H123" s="3" t="inlineStr">
        <is>
          <t>CrCl ≤5 (US) or ESRD (Taiwan/UK): 0.94 g (0.75/0.1875 g) q48h, given after HD on dialysis days</t>
        </is>
      </c>
      <c r="I123" s="3" t="inlineStr">
        <is>
          <t>US AVYCAZ §2.3 Table 3; Taiwan 仿單 §3.3 表9</t>
        </is>
      </c>
      <c r="J123" s="3" t="inlineStr">
        <is>
          <t>Open</t>
        </is>
      </c>
      <c r="K123" s="3" t="inlineStr"/>
    </row>
    <row r="124">
      <c r="A124" s="3" t="n">
        <v>65</v>
      </c>
      <c r="B124" s="3" t="inlineStr">
        <is>
          <t>Zavicefta (Ceftazidime-Avibactam) (ZAV04)</t>
        </is>
      </c>
      <c r="C124" s="7" t="inlineStr">
        <is>
          <t>High</t>
        </is>
      </c>
      <c r="D124" s="3" t="inlineStr">
        <is>
          <t>Dosing – renal/dialysis</t>
        </is>
      </c>
      <c r="E124" s="3" t="inlineStr">
        <is>
          <t>Renal table outdated</t>
        </is>
      </c>
      <c r="F124" s="3" t="inlineStr">
        <is>
          <t>HD: 0.94 g q48h after dialysis; delete q24h</t>
        </is>
      </c>
      <c r="G124" s="3" t="inlineStr">
        <is>
          <t>0.94 g every 24 to 48 hours depending on residual kidney function, after HD</t>
        </is>
      </c>
      <c r="H124" s="3" t="inlineStr">
        <is>
          <t>ESRD including haemodialysis: q48h, dosed after HD (no q24h option)</t>
        </is>
      </c>
      <c r="I124" s="3" t="inlineStr">
        <is>
          <t>Taiwan 仿單 §3.3 表9 footnote 3; UK SmPC §4.2 Table 4</t>
        </is>
      </c>
      <c r="J124" s="3" t="inlineStr">
        <is>
          <t>Open</t>
        </is>
      </c>
      <c r="K124" s="3" t="inlineStr"/>
    </row>
    <row r="125">
      <c r="A125" s="3" t="n">
        <v>159</v>
      </c>
      <c r="B125" s="3" t="inlineStr">
        <is>
          <t>Zerbaxa (Ceftolozane-tazobactam) (ZER01)</t>
        </is>
      </c>
      <c r="C125" s="7" t="inlineStr">
        <is>
          <t>High</t>
        </is>
      </c>
      <c r="D125" s="3" t="inlineStr">
        <is>
          <t>Dosing – adult</t>
        </is>
      </c>
      <c r="E125" s="3" t="inlineStr"/>
      <c r="F125" s="3" t="inlineStr">
        <is>
          <t>cIAI: 1.5 g q8h with metronidazole for 4–14 days; remove 3 g dose and 4–5 day limit</t>
        </is>
      </c>
      <c r="G125" s="3" t="inlineStr">
        <is>
          <t>1.5–3 g q8h for 4–5 days</t>
        </is>
      </c>
      <c r="H125" s="3" t="inlineStr">
        <is>
          <t>1.5 g q8h over 1 h with metronidazole 500 mg q8h, for 4–14 days</t>
        </is>
      </c>
      <c r="I125" s="3" t="inlineStr">
        <is>
          <t>US label §2.1 Table 1; Taiwan insert 表1 – https://mcp.fda.gov.tw/insert/pdfcasefile/i_455030c1-46d0-4eb4-8b58-92493c5ed054</t>
        </is>
      </c>
      <c r="J125" s="3" t="inlineStr">
        <is>
          <t>Open</t>
        </is>
      </c>
      <c r="K125" s="3" t="inlineStr"/>
    </row>
    <row r="126">
      <c r="A126" s="3" t="n">
        <v>169</v>
      </c>
      <c r="B126" s="3" t="inlineStr">
        <is>
          <t>Zerbaxa (Ceftolozane-tazobactam) (ZER01)</t>
        </is>
      </c>
      <c r="C126" s="7" t="inlineStr">
        <is>
          <t>High</t>
        </is>
      </c>
      <c r="D126" s="3" t="inlineStr">
        <is>
          <t>Dosing – adult</t>
        </is>
      </c>
      <c r="E126" s="3" t="inlineStr"/>
      <c r="F126" s="3" t="inlineStr">
        <is>
          <t>cIAI: 1.5 g q8h with metronidazole for 4–14 days; no 3 g dose</t>
        </is>
      </c>
      <c r="G126" s="3" t="inlineStr">
        <is>
          <t>1.5 to 3 g q8h with metronidazole for 4 to 5 days</t>
        </is>
      </c>
      <c r="H126" s="3" t="inlineStr">
        <is>
          <t>1.5 g q8h with metronidazole for 4–14 days. No label gives 3 g for cIAI.</t>
        </is>
      </c>
      <c r="I126" s="3" t="inlineStr">
        <is>
          <t>Taiwan insert §2.1 表1; US §2.1 Table 1; UK §4.2 Table 1</t>
        </is>
      </c>
      <c r="J126" s="3" t="inlineStr">
        <is>
          <t>Open</t>
        </is>
      </c>
      <c r="K126" s="3" t="inlineStr"/>
    </row>
    <row r="127">
      <c r="A127" s="3" t="n">
        <v>163</v>
      </c>
      <c r="B127" s="3" t="inlineStr">
        <is>
          <t>Zerbaxa (Ceftolozane-tazobactam) (ZER01)</t>
        </is>
      </c>
      <c r="C127" s="7" t="inlineStr">
        <is>
          <t>High</t>
        </is>
      </c>
      <c r="D127" s="3" t="inlineStr">
        <is>
          <t>Dosing – renal/dialysis</t>
        </is>
      </c>
      <c r="E127" s="3" t="inlineStr">
        <is>
          <t>Renal table outdated</t>
        </is>
      </c>
      <c r="F127" s="3" t="inlineStr">
        <is>
          <t>Replace fractions with fixed doses by band and indication; add HD LD + maintenance after dialysis</t>
        </is>
      </c>
      <c r="G127" s="3" t="inlineStr">
        <is>
          <t>'Half' or '1/4 of usual dose' by CrCl band; for CrCl &lt;15 'no adjustment provided'</t>
        </is>
      </c>
      <c r="H127" s="3" t="inlineStr">
        <is>
          <t>Fixed doses: CrCl 30–50 → 750 mg (HAP 1.5 g); CrCl 15–29 → 375 mg (HAP 750 mg); on HD → LD 750 mg then 150 mg q8h (HAP: LD 2.25 g then 450 mg q8h), given after dialysis. CrCl &lt;15 without HD: dose not established. The '1/4' reading of 15–29 does match 375 mg for cIAI/cUTI, but the site gives no HD dosing.</t>
        </is>
      </c>
      <c r="I127" s="3" t="inlineStr">
        <is>
          <t>US label §2.3 Table 3; Taiwan insert §2.2 表2; UK SmPC §4.2 Table 3</t>
        </is>
      </c>
      <c r="J127" s="3" t="inlineStr">
        <is>
          <t>Open</t>
        </is>
      </c>
      <c r="K127" s="3" t="inlineStr"/>
    </row>
    <row r="128">
      <c r="A128" s="3" t="n">
        <v>173</v>
      </c>
      <c r="B128" s="3" t="inlineStr">
        <is>
          <t>Zerbaxa (Ceftolozane-tazobactam) (ZER01)</t>
        </is>
      </c>
      <c r="C128" s="7" t="inlineStr">
        <is>
          <t>High</t>
        </is>
      </c>
      <c r="D128" s="3" t="inlineStr">
        <is>
          <t>Dosing – renal/dialysis</t>
        </is>
      </c>
      <c r="E128" s="3" t="inlineStr">
        <is>
          <t>Renal table outdated</t>
        </is>
      </c>
      <c r="F128" s="3" t="inlineStr">
        <is>
          <t>Add HD dosing: LD 750 mg then 150 mg q8h (HAP: 2.25 g then 450 mg q8h) after dialysis</t>
        </is>
      </c>
      <c r="G128" s="3" t="inlineStr">
        <is>
          <t>CrCl &lt;15: 'There are no dosage adjustments provided in the manufacturer's labeling.'</t>
        </is>
      </c>
      <c r="H128" s="3" t="inlineStr">
        <is>
          <t>For ESRD on haemodialysis the labels give a 750 mg loading dose then 150 mg q8h (cIAI/cUTI), or 2.25 g then 450 mg q8h (HAP/VAP), dosed after HD. Without HD the dose is not established (US). The CrCl 30–50 and 15–29 'half' / '1/4' statements are numerically correct.</t>
        </is>
      </c>
      <c r="I128" s="3" t="inlineStr">
        <is>
          <t>Taiwan insert §2.2 表2; US §2.3 Table 3; UK §4.2 Table 3</t>
        </is>
      </c>
      <c r="J128" s="3" t="inlineStr">
        <is>
          <t>Open</t>
        </is>
      </c>
      <c r="K128" s="3" t="inlineStr"/>
    </row>
    <row r="129">
      <c r="A129" s="3" t="n">
        <v>93</v>
      </c>
      <c r="B129" s="3" t="inlineStr">
        <is>
          <t>Zinforo (Ceftaroline) (ZIN04)</t>
        </is>
      </c>
      <c r="C129" s="7" t="inlineStr">
        <is>
          <t>High</t>
        </is>
      </c>
      <c r="D129" s="3" t="inlineStr">
        <is>
          <t>Dosing – pediatric</t>
        </is>
      </c>
      <c r="E129" s="3" t="inlineStr"/>
      <c r="F129" s="3" t="inlineStr">
        <is>
          <t>Add maximum 400 mg per dose for 12 mg/kg q8h standard pediatric dose</t>
        </is>
      </c>
      <c r="G129" s="3" t="inlineStr">
        <is>
          <t>2-12 years of old: 12 mg/kg Q8H (no maximum)</t>
        </is>
      </c>
      <c r="H129" s="3" t="inlineStr">
        <is>
          <t>12 mg/kg q8h to a maximum of 400 mg (standard dose) for ≥2 to &lt;12 y and for 12 to &lt;18 y weighing &lt;33 kg</t>
        </is>
      </c>
      <c r="I129" s="3" t="inlineStr">
        <is>
          <t>Taiwan insert 3.1 表1 — https://mcp.fda.gov.tw/im_detail_1/%E8%A1%9B%E9%83%A8%E8%97%A5%E8%BC%B8%E5%AD%97%E7%AC%AC026611%E8%99%9F</t>
        </is>
      </c>
      <c r="J129" s="3" t="inlineStr">
        <is>
          <t>Open</t>
        </is>
      </c>
      <c r="K129" s="3" t="inlineStr"/>
    </row>
    <row r="130">
      <c r="A130" s="3" t="n">
        <v>94</v>
      </c>
      <c r="B130" s="3" t="inlineStr">
        <is>
          <t>Zinforo (Ceftaroline) (ZIN04)</t>
        </is>
      </c>
      <c r="C130" s="7" t="inlineStr">
        <is>
          <t>High</t>
        </is>
      </c>
      <c r="D130" s="3" t="inlineStr">
        <is>
          <t>Dosing – pediatric</t>
        </is>
      </c>
      <c r="E130" s="3" t="inlineStr"/>
      <c r="F130" s="3" t="inlineStr">
        <is>
          <t>Fix truncated rows: 12–&lt;18 y ≥33 kg 600 mg q12h, &lt;33 kg 12 mg/kg max 400 mg; ESRD 200 mg q12h</t>
        </is>
      </c>
      <c r="G130" s="3" t="inlineStr">
        <is>
          <t>'12-18 years of old, weight' (cut off); renal table header '12-18 years old (weight' and the 'CrCl' row for &lt;15 cut off</t>
        </is>
      </c>
      <c r="H130" s="3" t="inlineStr">
        <is>
          <t>12 to &lt;18 y and ≥33 kg: 600 mg q12h; 12 to &lt;18 y and &lt;33 kg: 12 mg/kg (max 400 mg) q8h; renal ESRD 200 mg q12h for adults and adolescents ≥12 y and ≥33 kg only</t>
        </is>
      </c>
      <c r="I130" s="3" t="inlineStr">
        <is>
          <t>Taiwan insert 3.1 表1, 3.3 表2 — https://mcp.fda.gov.tw/im_detail_1/%E8%A1%9B%E9%83%A8%E8%97%A5%E8%BC%B8%E5%AD%97%E7%AC%AC026611%E8%99%9F</t>
        </is>
      </c>
      <c r="J130" s="3" t="inlineStr">
        <is>
          <t>Open</t>
        </is>
      </c>
      <c r="K130" s="3" t="inlineStr"/>
    </row>
    <row r="131">
      <c r="A131" s="3" t="n">
        <v>108</v>
      </c>
      <c r="B131" s="3" t="inlineStr">
        <is>
          <t>Zinforo (Ceftaroline) (ZIN04)</t>
        </is>
      </c>
      <c r="C131" s="7" t="inlineStr">
        <is>
          <t>High</t>
        </is>
      </c>
      <c r="D131" s="3" t="inlineStr">
        <is>
          <t>Dosing – pediatric</t>
        </is>
      </c>
      <c r="E131" s="3" t="inlineStr"/>
      <c r="F131" s="3" t="inlineStr">
        <is>
          <t>Fix rendering loss of '&lt;': restore &lt;33 kg, CrCl &lt;15/ESRD, and 600 mg q12h rows</t>
        </is>
      </c>
      <c r="G131" s="3" t="inlineStr">
        <is>
          <t>'12-18 years of old, weight 2-12 years of old: 12 mg/kg' and 'CrCl 200mg Q12H': text after '&lt;' is lost, so the &lt;33 kg and CrCl &lt;15/ESRD labels disappear, and the 12–&lt;18 y ≥33 kg 600 mg q12h row is unreadable</t>
        </is>
      </c>
      <c r="H131" s="3" t="inlineStr">
        <is>
          <t>12–&lt;18y ≥33 kg: 600 mg q12h; 12–&lt;18y &lt;33 kg and 2–&lt;12y: 12 mg/kg (max 400 mg) q8h; ESRD incl. HD: 200 mg q12h</t>
        </is>
      </c>
      <c r="I131" s="3" t="inlineStr">
        <is>
          <t>Taiwan insert 表1, 表2</t>
        </is>
      </c>
      <c r="J131" s="3" t="inlineStr">
        <is>
          <t>Open</t>
        </is>
      </c>
      <c r="K131" s="3" t="inlineStr"/>
    </row>
    <row r="132">
      <c r="A132" s="3" t="n">
        <v>109</v>
      </c>
      <c r="B132" s="3" t="inlineStr">
        <is>
          <t>Zinforo (Ceftaroline) (ZIN04)</t>
        </is>
      </c>
      <c r="C132" s="7" t="inlineStr">
        <is>
          <t>High</t>
        </is>
      </c>
      <c r="D132" s="3" t="inlineStr">
        <is>
          <t>Dosing – pediatric</t>
        </is>
      </c>
      <c r="E132" s="3" t="inlineStr"/>
      <c r="F132" s="3" t="inlineStr">
        <is>
          <t>Add max 400 mg per dose to 12 mg/kg q8h pediatric regimen</t>
        </is>
      </c>
      <c r="G132" s="3" t="inlineStr">
        <is>
          <t>2-12 years: 12 mg/kg Q8H (no maximum)</t>
        </is>
      </c>
      <c r="H132" s="3" t="inlineStr">
        <is>
          <t>12 mg/kg to a maximum of 400 mg q8h (standard dose)</t>
        </is>
      </c>
      <c r="I132" s="3" t="inlineStr">
        <is>
          <t>Taiwan insert 表1; UK SmPC Table 2</t>
        </is>
      </c>
      <c r="J132" s="3" t="inlineStr">
        <is>
          <t>Open</t>
        </is>
      </c>
      <c r="K132" s="3" t="inlineStr"/>
    </row>
    <row r="133">
      <c r="A133" s="3" t="n">
        <v>113</v>
      </c>
      <c r="B133" s="3" t="inlineStr">
        <is>
          <t>Zovirax (Acyclovir) (ZOV01, ACY01)</t>
        </is>
      </c>
      <c r="C133" s="7" t="inlineStr">
        <is>
          <t>High</t>
        </is>
      </c>
      <c r="D133" s="3" t="inlineStr">
        <is>
          <t>Dosing – adult</t>
        </is>
      </c>
      <c r="E133" s="3" t="inlineStr"/>
      <c r="F133" s="3" t="inlineStr">
        <is>
          <t>Adult varicella: 800 mg 4 times daily for 5 days (FDA)</t>
        </is>
      </c>
      <c r="G133" s="3" t="inlineStr">
        <is>
          <t>Varicella (chickenpox): 800 mg 5 times daily for &gt;5 to 7 days</t>
        </is>
      </c>
      <c r="H133" s="3" t="inlineStr">
        <is>
          <t>FDA tablet label: adults and children &gt;40 kg 800 mg 4 times daily for 5 days (Acylete insert gives no adult varicella regimen)</t>
        </is>
      </c>
      <c r="I133" s="3" t="inlineStr">
        <is>
          <t>https://dailymed.nlm.nih.gov/dailymed/drugInfo.cfm?setid=05f42300-2a06-45f1-a9b9-6e5c84ae58ec</t>
        </is>
      </c>
      <c r="J133" s="3" t="inlineStr">
        <is>
          <t>Open</t>
        </is>
      </c>
      <c r="K133" s="3" t="inlineStr"/>
    </row>
    <row r="134">
      <c r="A134" s="3" t="n">
        <v>125</v>
      </c>
      <c r="B134" s="3" t="inlineStr">
        <is>
          <t>Zovirax (Acyclovir) (ZOV01, ACY01)</t>
        </is>
      </c>
      <c r="C134" s="7" t="inlineStr">
        <is>
          <t>High</t>
        </is>
      </c>
      <c r="D134" s="3" t="inlineStr">
        <is>
          <t>Dosing – adult</t>
        </is>
      </c>
      <c r="E134" s="3" t="inlineStr"/>
      <c r="F134" s="3" t="inlineStr">
        <is>
          <t>VZV in immunocompetent: 5 mg/kg q8h; restrict 10 mg/kg q8h to immunocompromised VZV and HSE</t>
        </is>
      </c>
      <c r="G134" s="3" t="inlineStr">
        <is>
          <t>Herpes zoster: 10 mg/kg q8h; Varicella: 10 mg/kg q8h for 7 to 10 days (no immune-status qualifier)</t>
        </is>
      </c>
      <c r="H134" s="3" t="inlineStr">
        <is>
          <t>SmPC and TW 仿單: VZV in patients who are not immunocompromised is 5 mg/kg q8h; 10 mg/kg q8h is for immunocompromised patients with VZV, and for HSE.</t>
        </is>
      </c>
      <c r="I134" s="3" t="inlineStr">
        <is>
          <t>https://www.medicines.org.uk/emc/product/5472/smpc ; https://mcp.fda.gov.tw/insert/pdfcasefile/i_43ee63d3-02bb-4b8b-956a-0d7296e71d7e</t>
        </is>
      </c>
      <c r="J134" s="3" t="inlineStr">
        <is>
          <t>Open</t>
        </is>
      </c>
      <c r="K134" s="3" t="inlineStr"/>
    </row>
    <row r="135">
      <c r="A135" s="3" t="n">
        <v>121</v>
      </c>
      <c r="B135" s="3" t="inlineStr">
        <is>
          <t>Zovirax (Acyclovir) (ZOV01, ACY01)</t>
        </is>
      </c>
      <c r="C135" s="7" t="inlineStr">
        <is>
          <t>High</t>
        </is>
      </c>
      <c r="D135" s="3" t="inlineStr">
        <is>
          <t>Dosing – pediatric</t>
        </is>
      </c>
      <c r="E135" s="3" t="inlineStr"/>
      <c r="F135" s="3" t="inlineStr">
        <is>
          <t>Remove zoster 800 mg 5×/day from pediatric section; oral pediatric dosing only chickenpox 20 mg/kg QID ≥2 y</t>
        </is>
      </c>
      <c r="G135" s="3" t="inlineStr">
        <is>
          <t>Herpes zoster (shingles): 800 mg every 4 hours (5 doses per day) for 5 to 7 days (listed under pediatric dosing)</t>
        </is>
      </c>
      <c r="H135" s="3" t="inlineStr">
        <is>
          <t>Acylete 仿單: 對免疫功能健全的兒童…治療帶狀疱疹感染，尚無資料可查. The FDA tablet label gives oral paediatric dosing only for chickenpox (≥2 y, 20 mg/kg QID × 5 d).</t>
        </is>
      </c>
      <c r="I135" s="3" t="inlineStr">
        <is>
          <t>https://mcp.fda.gov.tw/insert/pdfcasefile/i_846aed79-8984-4d2b-8863-39852b6a0175 ; https://dailymed.nlm.nih.gov/dailymed/drugInfo.cfm?setid=05f42300-2a06-45f1-a9b9-6e5c84ae58ec</t>
        </is>
      </c>
      <c r="J135" s="3" t="inlineStr">
        <is>
          <t>Open</t>
        </is>
      </c>
      <c r="K135" s="3" t="inlineStr"/>
    </row>
    <row r="136">
      <c r="A136" s="3" t="n">
        <v>110</v>
      </c>
      <c r="B136" s="3" t="inlineStr">
        <is>
          <t>Zovirax (Acyclovir) (ZOV01, ACY01)</t>
        </is>
      </c>
      <c r="C136" s="7" t="inlineStr">
        <is>
          <t>High</t>
        </is>
      </c>
      <c r="D136" s="3" t="inlineStr">
        <is>
          <t>Dosing – renal/dialysis</t>
        </is>
      </c>
      <c r="E136" s="3" t="inlineStr">
        <is>
          <t>Renal table outdated</t>
        </is>
      </c>
      <c r="F136" s="3" t="inlineStr">
        <is>
          <t>ACY01 CrCl &lt;10 (usual 800 mg 5×/day): 800 mg q12h, not 200–400 mg</t>
        </is>
      </c>
      <c r="G136" s="3" t="inlineStr">
        <is>
          <t>CrCl&lt;10: 200 mg every 12 hours or 400 mg every 12 hours</t>
        </is>
      </c>
      <c r="H136" s="3" t="inlineStr">
        <is>
          <t>800 mg every 12 hours (FDA tablet label Table 3; Acylete TW insert: CrCl &lt;10 每日 2 次，每次 800mg)</t>
        </is>
      </c>
      <c r="I136" s="3" t="inlineStr">
        <is>
          <t>https://dailymed.nlm.nih.gov/dailymed/drugInfo.cfm?setid=05f42300-2a06-45f1-a9b9-6e5c84ae58ec ; https://mcp.fda.gov.tw/insert/pdfcasefile/i_846aed79-8984-4d2b-8863-39852b6a0175</t>
        </is>
      </c>
      <c r="J136" s="3" t="inlineStr">
        <is>
          <t>Open</t>
        </is>
      </c>
      <c r="K136" s="3" t="inlineStr"/>
    </row>
    <row r="137">
      <c r="A137" s="3" t="n">
        <v>111</v>
      </c>
      <c r="B137" s="3" t="inlineStr">
        <is>
          <t>Zovirax (Acyclovir) (ZOV01, ACY01)</t>
        </is>
      </c>
      <c r="C137" s="7" t="inlineStr">
        <is>
          <t>High</t>
        </is>
      </c>
      <c r="D137" s="3" t="inlineStr">
        <is>
          <t>Dosing – renal/dialysis</t>
        </is>
      </c>
      <c r="E137" s="3" t="inlineStr">
        <is>
          <t>Renal table outdated</t>
        </is>
      </c>
      <c r="F137" s="3" t="inlineStr">
        <is>
          <t>No adjustment at CrCl 10–25; reduce to 200 mg q12h only at CrCl &lt;10</t>
        </is>
      </c>
      <c r="G137" s="3" t="inlineStr">
        <is>
          <t>CrCl 10-25: No dosage adjustment necessary or reduce to 200 mg Q12H</t>
        </is>
      </c>
      <c r="H137" s="3" t="inlineStr">
        <is>
          <t>No adjustment at CrCl &gt;10; reduce to 200 mg q12h only at CrCl 0–10 (FDA tablet label Table 3; Acylete insert: adjust only when CrCl &lt;10)</t>
        </is>
      </c>
      <c r="I137" s="3" t="inlineStr">
        <is>
          <t>https://dailymed.nlm.nih.gov/dailymed/drugInfo.cfm?setid=05f42300-2a06-45f1-a9b9-6e5c84ae58ec ; https://mcp.fda.gov.tw/insert/pdfcasefile/i_846aed79-8984-4d2b-8863-39852b6a0175</t>
        </is>
      </c>
      <c r="J137" s="3" t="inlineStr">
        <is>
          <t>Open</t>
        </is>
      </c>
      <c r="K137" s="3" t="inlineStr"/>
    </row>
    <row r="138">
      <c r="A138" s="3" t="n">
        <v>114</v>
      </c>
      <c r="B138" s="3" t="inlineStr">
        <is>
          <t>Zovirax (Acyclovir) (ZOV01, ACY01)</t>
        </is>
      </c>
      <c r="C138" s="7" t="inlineStr">
        <is>
          <t>High</t>
        </is>
      </c>
      <c r="D138" s="3" t="inlineStr">
        <is>
          <t>Dosing – renal/dialysis</t>
        </is>
      </c>
      <c r="E138" s="3" t="inlineStr">
        <is>
          <t>Renal table outdated</t>
        </is>
      </c>
      <c r="F138" s="3" t="inlineStr">
        <is>
          <t>Apply renal steps to 10 mg/kg regimen too; add HD half dose q24h after dialysis</t>
        </is>
      </c>
      <c r="G138" s="3" t="inlineStr">
        <is>
          <t>ClCr 25–50: 5 mg/kg Q12H; 10–25: 5 mg/kg Q24H; &lt;10: 2.5 mg/kg Q24H (5 mg/kg regimen only; no HD instruction)</t>
        </is>
      </c>
      <c r="H138" s="3" t="inlineStr">
        <is>
          <t>TW insert 表1, UK SmPC and FDA all apply the steps to both the 5 and the 10 mg/kg regimens: 10 mg/kg q12h, then 10 mg/kg q24h, then 5 mg/kg q24h for HSE or immunocompromised VZV. HD: half dose q24h, given after dialysis. Following the hospital text for HSE would underdose by 50%.</t>
        </is>
      </c>
      <c r="I138" s="3" t="inlineStr">
        <is>
          <t>https://mcp.fda.gov.tw/insert/pdfcasefile/i_43ee63d3-02bb-4b8b-956a-0d7296e71d7e ; https://www.medicines.org.uk/emc/product/5472/smpc</t>
        </is>
      </c>
      <c r="J138" s="3" t="inlineStr">
        <is>
          <t>Open</t>
        </is>
      </c>
      <c r="K138" s="3" t="inlineStr"/>
    </row>
    <row r="139">
      <c r="A139" s="3" t="n">
        <v>118</v>
      </c>
      <c r="B139" s="3" t="inlineStr">
        <is>
          <t>Zovirax (Acyclovir) (ZOV01, ACY01)</t>
        </is>
      </c>
      <c r="C139" s="7" t="inlineStr">
        <is>
          <t>High</t>
        </is>
      </c>
      <c r="D139" s="3" t="inlineStr">
        <is>
          <t>Dosing – renal/dialysis</t>
        </is>
      </c>
      <c r="E139" s="3" t="inlineStr">
        <is>
          <t>Renal table outdated</t>
        </is>
      </c>
      <c r="F139" s="3" t="inlineStr">
        <is>
          <t>ACY01 800 mg regimen CrCl &lt;10: change to 800 mg q12h (FDA/TW insert); current text underdoses</t>
        </is>
      </c>
      <c r="G139" s="3" t="inlineStr">
        <is>
          <t>CrCl&lt;10: 200 mg every 12 hours or 400 mg every 12 hours</t>
        </is>
      </c>
      <c r="H139" s="3" t="inlineStr">
        <is>
          <t>800 mg every 12 hours (FDA tablet Table 3; Acylete 仿單: 嚴重腎衰竭 &lt;10 mL/min → 每日2次每次800mg). The hospital's text under-doses zoster four- to twofold.</t>
        </is>
      </c>
      <c r="I139" s="3" t="inlineStr">
        <is>
          <t>https://dailymed.nlm.nih.gov/dailymed/drugInfo.cfm?setid=05f42300-2a06-45f1-a9b9-6e5c84ae58ec ; https://mcp.fda.gov.tw/insert/pdfcasefile/i_846aed79-8984-4d2b-8863-39852b6a0175</t>
        </is>
      </c>
      <c r="J139" s="3" t="inlineStr">
        <is>
          <t>Open</t>
        </is>
      </c>
      <c r="K139" s="3" t="inlineStr"/>
    </row>
    <row r="140">
      <c r="A140" s="3" t="n">
        <v>119</v>
      </c>
      <c r="B140" s="3" t="inlineStr">
        <is>
          <t>Zovirax (Acyclovir) (ZOV01, ACY01)</t>
        </is>
      </c>
      <c r="C140" s="7" t="inlineStr">
        <is>
          <t>High</t>
        </is>
      </c>
      <c r="D140" s="3" t="inlineStr">
        <is>
          <t>Dosing – renal/dialysis</t>
        </is>
      </c>
      <c r="E140" s="3" t="inlineStr">
        <is>
          <t>Renal table outdated</t>
        </is>
      </c>
      <c r="F140" s="3" t="inlineStr">
        <is>
          <t>CrCl 10–25 HSV regimens: no adjustment; reduce to 200 mg q12h only at CrCl &lt;10</t>
        </is>
      </c>
      <c r="G140" s="3" t="inlineStr">
        <is>
          <t>CrCl 10-25: No dosage adjustment necessary or reduce to 200 mg Q12H</t>
        </is>
      </c>
      <c r="H140" s="3" t="inlineStr">
        <is>
          <t>No change for CrCl &gt;10; reduce to 200 mg q12h only at CrCl 0–10 (FDA tablet Table 3). Acylete 仿單 also reduces HSV dosing only at &lt;10 mL/min.</t>
        </is>
      </c>
      <c r="I140" s="3" t="inlineStr">
        <is>
          <t>https://dailymed.nlm.nih.gov/dailymed/drugInfo.cfm?setid=05f42300-2a06-45f1-a9b9-6e5c84ae58ec</t>
        </is>
      </c>
      <c r="J140" s="3" t="inlineStr">
        <is>
          <t>Open</t>
        </is>
      </c>
      <c r="K140" s="3" t="inlineStr"/>
    </row>
    <row r="141">
      <c r="A141" s="3" t="n">
        <v>123</v>
      </c>
      <c r="B141" s="3" t="inlineStr">
        <is>
          <t>Zovirax (Acyclovir) (ZOV01, ACY01)</t>
        </is>
      </c>
      <c r="C141" s="7" t="inlineStr">
        <is>
          <t>High</t>
        </is>
      </c>
      <c r="D141" s="3" t="inlineStr">
        <is>
          <t>Dosing – renal/dialysis</t>
        </is>
      </c>
      <c r="E141" s="3" t="inlineStr">
        <is>
          <t>Renal table outdated</t>
        </is>
      </c>
      <c r="F141" s="3" t="inlineStr">
        <is>
          <t>Add 10 mg/kg regimen renal bands, HD dosing (half dose q24h post-HD) and pediatric renal table</t>
        </is>
      </c>
      <c r="G141" s="3" t="inlineStr">
        <is>
          <t>ClCr 25–50: 5 mg/kg Q12H; 10–25: 5 mg/kg Q24H; &lt;10: 2.5 mg/kg Q24H (5 mg/kg regimen only; no HD guidance)</t>
        </is>
      </c>
      <c r="H141" s="3" t="inlineStr">
        <is>
          <t>Correct for the 5 mg/kg regimen. The page omits the 10 mg/kg regimen (HSE, or VZV in immunocompromised patients), which is 10 mg/kg q12h / 10 mg/kg q24h / 5 mg/kg q24h, even though its own dosing section uses 10 mg/kg. It also omits haemodialysis: half dose q24h after dialysis. Paediatric renal Table 2 (20 → 20 q12h → 10 q12h → 5 mg/kg q12h) is absent and the 小兒調整劑量 field is empty.</t>
        </is>
      </c>
      <c r="I141" s="3" t="inlineStr">
        <is>
          <t>https://mcp.fda.gov.tw/insert/pdfcasefile/i_43ee63d3-02bb-4b8b-956a-0d7296e71d7e ; https://www.medicines.org.uk/emc/product/5472/smpc</t>
        </is>
      </c>
      <c r="J141" s="3" t="inlineStr">
        <is>
          <t>Open</t>
        </is>
      </c>
      <c r="K141" s="3" t="inlineStr"/>
    </row>
    <row r="142">
      <c r="A142" s="3" t="n">
        <v>449</v>
      </c>
      <c r="B142" s="3" t="inlineStr">
        <is>
          <t>Zyvox (Linezolid) (ZYV01, ZYV02)</t>
        </is>
      </c>
      <c r="C142" s="7" t="inlineStr">
        <is>
          <t>High</t>
        </is>
      </c>
      <c r="D142" s="3" t="inlineStr">
        <is>
          <t>Contraindication/warning</t>
        </is>
      </c>
      <c r="E142" s="3" t="inlineStr"/>
      <c r="F142" s="3" t="inlineStr">
        <is>
          <t>Add contraindication: MAO-A/B inhibitors or within 2 weeks; fill ZYV02 field</t>
        </is>
      </c>
      <c r="G142" s="3" t="inlineStr">
        <is>
          <t>ZYV01: hypersensitivity only; ZYV02: blank</t>
        </is>
      </c>
      <c r="H142" s="3" t="inlineStr">
        <is>
          <t>US label §4 / Taiwan insert §4: (4.1) hypersensitivity to linezolid or product components; (4.2) patients taking any MAO-A/B inhibitor (e.g., phenelzine, isocarboxazid) or within two weeks of taking one. UK SmPC 4.3 adds conditional contraindications: uncontrolled hypertension, pheochromocytoma, carcinoid, thyrotoxicosis, and serotonergic/adrenergic co-medication unless close monitoring is available.</t>
        </is>
      </c>
      <c r="I142" s="3" t="inlineStr">
        <is>
          <t>US FDA label §4; Taiwan insert §4 禁忌 - https://mcp.fda.gov.tw/im_detail_1/%E8%A1%9B%E7%BD%B2%E8%97%A5%E8%BC%B8%E5%AD%97%E7%AC%AC023181%E8%99%9F; UK SmPC §4.3 - https://www.medicines.org.uk/emc/product/1688/smpc</t>
        </is>
      </c>
      <c r="J142" s="3" t="inlineStr">
        <is>
          <t>Open</t>
        </is>
      </c>
      <c r="K142" s="3" t="inlineStr"/>
    </row>
    <row r="143">
      <c r="A143" s="3" t="n">
        <v>451</v>
      </c>
      <c r="B143" s="3" t="inlineStr">
        <is>
          <t>Zyvox (Linezolid) (ZYV01, ZYV02)</t>
        </is>
      </c>
      <c r="C143" s="7" t="inlineStr">
        <is>
          <t>High</t>
        </is>
      </c>
      <c r="D143" s="3" t="inlineStr">
        <is>
          <t>Contraindication/warning</t>
        </is>
      </c>
      <c r="E143" s="3" t="inlineStr"/>
      <c r="F143" s="3" t="inlineStr">
        <is>
          <t>Add weekly CBC monitoring, visual monitoring ≥3 months, sodium, BP with adrenergics</t>
        </is>
      </c>
      <c r="G143" s="3" t="inlineStr">
        <is>
          <t>No CBC monitoring recommendation (ZYV02 notes only that myelosuppression is more common beyond 2 weeks)</t>
        </is>
      </c>
      <c r="H143" s="3" t="inlineStr">
        <is>
          <t>Monitor complete blood counts weekly in all patients, particularly with therapy &gt;2 weeks, pre-existing myelosuppression, severe renal or moderate–severe hepatic impairment, or myelosuppressive co-medication. Also: visual function with therapy ≥3 months, serum sodium in at-risk patients, and blood pressure with adrenergic agents.</t>
        </is>
      </c>
      <c r="I143" s="3" t="inlineStr">
        <is>
          <t>US FDA label §5.1, §5.2, §5.6, §5.11; Taiwan insert 5.1.1 (應每週監測全血球計數)</t>
        </is>
      </c>
      <c r="J143" s="3" t="inlineStr">
        <is>
          <t>Open</t>
        </is>
      </c>
      <c r="K143" s="3" t="inlineStr"/>
    </row>
    <row r="144">
      <c r="A144" s="3" t="n">
        <v>456</v>
      </c>
      <c r="B144" s="3" t="inlineStr">
        <is>
          <t>Zyvox (Linezolid) (ZYV01, ZYV02)</t>
        </is>
      </c>
      <c r="C144" s="7" t="inlineStr">
        <is>
          <t>High</t>
        </is>
      </c>
      <c r="D144" s="3" t="inlineStr">
        <is>
          <t>Contraindication/warning</t>
        </is>
      </c>
      <c r="E144" s="3" t="inlineStr"/>
      <c r="F144" s="3" t="inlineStr">
        <is>
          <t>Add MAOI contraindication (within 2 weeks); UK conditional contraindications</t>
        </is>
      </c>
      <c r="G144" s="3" t="inlineStr">
        <is>
          <t>ZYV01 lists only hypersensitivity; ZYV02 lists nothing</t>
        </is>
      </c>
      <c r="H144" s="3" t="inlineStr">
        <is>
          <t>Also contraindicated in patients taking any MAO-A/B inhibitor (e.g., phenelzine, isocarboxazid) or within 2 weeks of taking one. The UK SmPC also contraindicates use, unless blood pressure and the patient can be closely monitored, with uncontrolled hypertension, pheochromocytoma, carcinoid, thyrotoxicosis, or concomitant SSRIs/TCAs/triptans/sympathomimetics/vasopressors/dopaminergics/pethidine/buspirone.</t>
        </is>
      </c>
      <c r="I144" s="3" t="inlineStr">
        <is>
          <t>US label §4.2; Taiwan 仿單 §4.2; UK SmPC 4.3</t>
        </is>
      </c>
      <c r="J144" s="3" t="inlineStr">
        <is>
          <t>Open</t>
        </is>
      </c>
      <c r="K144" s="3" t="inlineStr"/>
    </row>
    <row r="145">
      <c r="A145" s="3" t="n">
        <v>458</v>
      </c>
      <c r="B145" s="3" t="inlineStr">
        <is>
          <t>Zyvox (Linezolid) (ZYV01, ZYV02)</t>
        </is>
      </c>
      <c r="C145" s="7" t="inlineStr">
        <is>
          <t>High</t>
        </is>
      </c>
      <c r="D145" s="3" t="inlineStr">
        <is>
          <t>Contraindication/warning</t>
        </is>
      </c>
      <c r="E145" s="3" t="inlineStr"/>
      <c r="F145" s="3" t="inlineStr">
        <is>
          <t>Add weekly CBC monitoring and related monitoring warnings</t>
        </is>
      </c>
      <c r="G145" s="3" t="inlineStr">
        <is>
          <t>No mention of weekly CBC monitoring</t>
        </is>
      </c>
      <c r="H145" s="3" t="inlineStr">
        <is>
          <t>Monitor CBC weekly in all patients, particularly with therapy &gt;2 weeks, pre-existing myelosuppression, severe renal or moderate–severe hepatic impairment, or concomitant myelosuppressive drugs. Also: visual function with therapy ≥3 months, serum sodium in at-risk patients, and blood pressure with adrenergic agents.</t>
        </is>
      </c>
      <c r="I145" s="3" t="inlineStr">
        <is>
          <t>US label §5.1, §5.2, §5.6, §5.11; Taiwan 仿單 §5.1.1; UK SmPC 4.4</t>
        </is>
      </c>
      <c r="J145" s="3" t="inlineStr">
        <is>
          <t>Open</t>
        </is>
      </c>
      <c r="K145" s="3" t="inlineStr"/>
    </row>
    <row r="146">
      <c r="A146" s="3" t="n">
        <v>450</v>
      </c>
      <c r="B146" s="3" t="inlineStr">
        <is>
          <t>Zyvox (Linezolid) (ZYV01, ZYV02)</t>
        </is>
      </c>
      <c r="C146" s="7" t="inlineStr">
        <is>
          <t>High</t>
        </is>
      </c>
      <c r="D146" s="3" t="inlineStr">
        <is>
          <t>Dosing – pediatric</t>
        </is>
      </c>
      <c r="E146" s="3" t="inlineStr"/>
      <c r="F146" s="3" t="inlineStr">
        <is>
          <t>Fix neonatal dosing: 10 mg/kg q8h birth–11 y; preterm &lt;7 days start q12h</t>
        </is>
      </c>
      <c r="G146" s="3" t="inlineStr">
        <is>
          <t>ZYV01: 'Neonates 10 mg/kg Q12H'; ZYV02: 'neonates 7 days of age: 10 mg/kg Q8H' (garbled)</t>
        </is>
      </c>
      <c r="H146" s="3" t="inlineStr">
        <is>
          <t>Birth–11 y: 10 mg/kg IV/PO q8h. Preterm neonates (GA &lt;34 wk) &lt;7 days: start 10 mg/kg q12h, consider q8h if response is suboptimal; all neonates should be on 10 mg/kg q8h by 7 days of life. uSSSI: &lt;5 y 10 mg/kg PO q8h, 5–11 y 10 mg/kg PO q12h. ≥12 y: 600 mg q12h.</t>
        </is>
      </c>
      <c r="I146" s="3" t="inlineStr">
        <is>
          <t>US FDA label §2.1 Table 1, §8.4; Taiwan insert §3.1 表一 footnote †</t>
        </is>
      </c>
      <c r="J146" s="3" t="inlineStr">
        <is>
          <t>Open</t>
        </is>
      </c>
      <c r="K146" s="3" t="inlineStr"/>
    </row>
    <row r="147">
      <c r="A147" s="3" t="n">
        <v>457</v>
      </c>
      <c r="B147" s="3" t="inlineStr">
        <is>
          <t>Zyvox (Linezolid) (ZYV01, ZYV02)</t>
        </is>
      </c>
      <c r="C147" s="7" t="inlineStr">
        <is>
          <t>High</t>
        </is>
      </c>
      <c r="D147" s="3" t="inlineStr">
        <is>
          <t>Dosing – pediatric</t>
        </is>
      </c>
      <c r="E147" s="3" t="inlineStr"/>
      <c r="F147" s="3" t="inlineStr">
        <is>
          <t>Fix neonatal dosing per label: q8h by day 7; birth–11 y 10 mg/kg q8h</t>
        </is>
      </c>
      <c r="G147" s="3" t="inlineStr">
        <is>
          <t>ZYV01: 'Neonates 10 mg/kg Q12H'; ZYV02: 'neonates 7 days of age: 10 mg/kg Q8H'</t>
        </is>
      </c>
      <c r="H147" s="3" t="inlineStr">
        <is>
          <t>Preterm neonates (&lt;34 wk GA) under 7 days old start at 10 mg/kg q12h and may move to q8h if response is poor; all neonates should be on 10 mg/kg q8h by day 7 of life. Birth to 11 years: 10 mg/kg q8h. For uSSSI: under 5 y 10 mg/kg PO q8h; 5–11 y 10 mg/kg PO q12h. ≥12 y: 600 mg q12h.</t>
        </is>
      </c>
      <c r="I147" s="3" t="inlineStr">
        <is>
          <t>US label §2.1 Table 1, §8.4; Taiwan 仿單 §3.1 表一 footnote †</t>
        </is>
      </c>
      <c r="J147" s="3" t="inlineStr">
        <is>
          <t>Open</t>
        </is>
      </c>
      <c r="K147" s="3" t="inlineStr"/>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4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10" customWidth="1" min="3" max="3"/>
    <col width="22" customWidth="1" min="4" max="4"/>
    <col width="20" customWidth="1" min="5" max="5"/>
    <col width="40" customWidth="1" min="6" max="6"/>
    <col width="45" customWidth="1" min="7" max="7"/>
    <col width="45" customWidth="1" min="8" max="8"/>
    <col width="40" customWidth="1" min="9" max="9"/>
    <col width="14" customWidth="1" min="10" max="10"/>
    <col width="30" customWidth="1" min="11" max="11"/>
  </cols>
  <sheetData>
    <row r="1">
      <c r="A1" s="6" t="inlineStr">
        <is>
          <t>ID</t>
        </is>
      </c>
      <c r="B1" s="6" t="inlineStr">
        <is>
          <t>Drug (hospital code)</t>
        </is>
      </c>
      <c r="C1" s="6" t="inlineStr">
        <is>
          <t>Severity</t>
        </is>
      </c>
      <c r="D1" s="6" t="inlineStr">
        <is>
          <t>Category</t>
        </is>
      </c>
      <c r="E1" s="6" t="inlineStr">
        <is>
          <t>Recurring pattern</t>
        </is>
      </c>
      <c r="F1" s="6" t="inlineStr">
        <is>
          <t>Suggested action</t>
        </is>
      </c>
      <c r="G1" s="6" t="inlineStr">
        <is>
          <t>Hospital database says</t>
        </is>
      </c>
      <c r="H1" s="6" t="inlineStr">
        <is>
          <t>Official source says</t>
        </is>
      </c>
      <c r="I1" s="6" t="inlineStr">
        <is>
          <t>Source</t>
        </is>
      </c>
      <c r="J1" s="6" t="inlineStr">
        <is>
          <t>DI team status</t>
        </is>
      </c>
      <c r="K1" s="6" t="inlineStr">
        <is>
          <t>DI team notes</t>
        </is>
      </c>
    </row>
    <row r="2">
      <c r="A2" s="3" t="n">
        <v>223</v>
      </c>
      <c r="B2" s="3" t="inlineStr">
        <is>
          <t>Amikacin (AMI12)</t>
        </is>
      </c>
      <c r="C2" s="7" t="inlineStr">
        <is>
          <t>High</t>
        </is>
      </c>
      <c r="D2" s="3" t="inlineStr">
        <is>
          <t>Dosing – adult</t>
        </is>
      </c>
      <c r="E2" s="3" t="inlineStr"/>
      <c r="F2" s="3" t="inlineStr">
        <is>
          <t>State label max 15 mg/kg/day (≤1.5 g/day); mark higher/intrathecal regimens off-label with citations</t>
        </is>
      </c>
      <c r="G2" s="3" t="inlineStr">
        <is>
          <t>Bloodstream infection IV 15–30 mg/kg once daily; CF 30–35 mg/kg once daily; intraventricular/intrathecal 5–50 mg/day; other off-label regimens</t>
        </is>
      </c>
      <c r="H2" s="3" t="inlineStr">
        <is>
          <t>US: total daily dose ≤15 mg/kg/day in 2–3 doses; heavy patients ≤1.5 g/day. UK: 15 mg/kg/day (once daily only if CrCl ≥50), ≤1.5 g/day. TW (stocked product): 7.5–15 mg/kg/day ÷2, ≤1.5 g/day. No label gives an intrathecal dose; the UK SmPC mentions only 0.25% irrigation of the cerebral ventricles.</t>
        </is>
      </c>
      <c r="I2" s="3" t="inlineStr">
        <is>
          <t>US D&amp;A; UK SmPC 4.2; Taiwan insert 3.1 – https://mcp.fda.gov.tw/im_detail_1/%E8%A1%9B%E7%BD%B2%E8%97%A5%E8%A3%BD%E5%AD%97%E7%AC%AC024198%E8%99%9F</t>
        </is>
      </c>
      <c r="J2" s="3" t="inlineStr">
        <is>
          <t>Open</t>
        </is>
      </c>
      <c r="K2" s="3" t="inlineStr"/>
    </row>
    <row r="3">
      <c r="A3" s="3" t="n">
        <v>229</v>
      </c>
      <c r="B3" s="3" t="inlineStr">
        <is>
          <t>Amikacin (AMI12)</t>
        </is>
      </c>
      <c r="C3" s="7" t="inlineStr">
        <is>
          <t>High</t>
        </is>
      </c>
      <c r="D3" s="3" t="inlineStr">
        <is>
          <t>Dosing – adult</t>
        </is>
      </c>
      <c r="E3" s="3" t="inlineStr"/>
      <c r="F3" s="3" t="inlineStr">
        <is>
          <t>Cap at label 15 mg/kg/day; mark 15–35 mg/kg regimens off-label with citations</t>
        </is>
      </c>
      <c r="G3" s="3" t="inlineStr">
        <is>
          <t>Bloodstream infection, and sepsis/septic shock: IV 15 to 30 mg/kg once daily. HAP/VAP and plague: 15–20 mg/kg once daily. CF: 30–35 mg/kg once daily.</t>
        </is>
      </c>
      <c r="H3" s="3" t="inlineStr">
        <is>
          <t>US: total daily dose must not exceed 15 mg/kg/day, and heavier patients ≤1.5 g/day. UK: 15 mg/kg/day, ≤1.5 g/day. TW insert: 7.5–15 mg/kg/day ÷ bid; life-threatening or Pseudomonas up to 500 mg q8h, ≤1.5 g/day. Doses above this are off-label and need a guideline or PubMed source (e.g. Taccone 2010, PMID 20370907, for ≥25 mg/kg in septic shock).</t>
        </is>
      </c>
      <c r="I3" s="3" t="inlineStr">
        <is>
          <t>US label DOSAGE AND ADMINISTRATION; UK SmPC 4.2; TW insert 3.1, https://mcp.fda.gov.tw/im_detail_1/%E8%A1%9B%E7%BD%B2%E8%97%A5%E8%A3%BD%E5%AD%97%E7%AC%AC024198%E8%99%9F</t>
        </is>
      </c>
      <c r="J3" s="3" t="inlineStr">
        <is>
          <t>Open</t>
        </is>
      </c>
      <c r="K3" s="3" t="inlineStr"/>
    </row>
    <row r="4">
      <c r="A4" s="3" t="n">
        <v>231</v>
      </c>
      <c r="B4" s="3" t="inlineStr">
        <is>
          <t>Amikacin (AMI12)</t>
        </is>
      </c>
      <c r="C4" s="7" t="inlineStr">
        <is>
          <t>High</t>
        </is>
      </c>
      <c r="D4" s="3" t="inlineStr">
        <is>
          <t>Dosing – adult</t>
        </is>
      </c>
      <c r="E4" s="3" t="inlineStr"/>
      <c r="F4" s="3" t="inlineStr">
        <is>
          <t>Add limits: high-dose 500 mg q8h max 1.5 g/day, ≤10 days, total course ≤15 g (TW/UK); reassess beyond 10 days</t>
        </is>
      </c>
      <c r="G4" s="3" t="inlineStr">
        <is>
          <t>No maximum daily dose, treatment duration, or total-course limit stated.</t>
        </is>
      </c>
      <c r="H4" s="3" t="inlineStr">
        <is>
          <t>TW insert 3.1 and UK SmPC 4.2: escalated regimen (500 mg q8h) ≤1.5 g/day, ≤10 days, total ≤15 g. US: usual 7–10 days; reassess if &gt;10 days; safety &gt;14 days not established.</t>
        </is>
      </c>
      <c r="I4" s="3" t="inlineStr">
        <is>
          <t>TW insert 3.1; UK SmPC 4.2; US label DOSAGE AND ADMINISTRATION and WARNINGS box</t>
        </is>
      </c>
      <c r="J4" s="3" t="inlineStr">
        <is>
          <t>Open</t>
        </is>
      </c>
      <c r="K4" s="3" t="inlineStr"/>
    </row>
    <row r="5">
      <c r="A5" s="3" t="n">
        <v>224</v>
      </c>
      <c r="B5" s="3" t="inlineStr">
        <is>
          <t>Amikacin (AMI12)</t>
        </is>
      </c>
      <c r="C5" s="7" t="inlineStr">
        <is>
          <t>High</t>
        </is>
      </c>
      <c r="D5" s="3" t="inlineStr">
        <is>
          <t>Dosing – renal/dialysis</t>
        </is>
      </c>
      <c r="E5" s="3" t="inlineStr">
        <is>
          <t>Renal table outdated</t>
        </is>
      </c>
      <c r="F5" s="3" t="inlineStr">
        <is>
          <t>Replace unsourced GFR/CRRT table with label method or cite source; reconcile CRRT with Notion</t>
        </is>
      </c>
      <c r="G5" s="3" t="inlineStr">
        <is>
          <t>GFR 30–50: 5–7.5 mg/kg q12–18h; GFR 10–29: q18–24h; GFR &lt;10: q48–72h; HD/PD 5 mg/kg then redose by level; CRRT 7.5 mg/kg q12h</t>
        </is>
      </c>
      <c r="H5" s="3" t="inlineStr">
        <is>
          <t>No label has GFR tiers or CRRT dosing. US: 7.5 mg/kg every (SCr × 9) h, or 7.5 mg/kg LD then reduced q12h dose in proportion to CrCl; neither method during dialysis. UK: same methods, and no once-daily total dose if CrCl &lt;50. TW insert: no renal table. The hospital CRRT dose (7.5 mg/kg q12h) also disagrees with the Notion CRRT entry (LD 10 mg/kg then TDM). Both need a guideline or PubMed source.</t>
        </is>
      </c>
      <c r="I5" s="3" t="inlineStr">
        <is>
          <t>US D&amp;A renal sections – https://dailymed.nlm.nih.gov/dailymed/drugInfo.cfm?setid=f260ff2a-76a0-4672-9516-91c344b67890; UK SmPC 4.2</t>
        </is>
      </c>
      <c r="J5" s="3" t="inlineStr">
        <is>
          <t>Open</t>
        </is>
      </c>
      <c r="K5" s="3" t="inlineStr"/>
    </row>
    <row r="6">
      <c r="A6" s="3" t="n">
        <v>230</v>
      </c>
      <c r="B6" s="3" t="inlineStr">
        <is>
          <t>Amikacin (AMI12)</t>
        </is>
      </c>
      <c r="C6" s="7" t="inlineStr">
        <is>
          <t>High</t>
        </is>
      </c>
      <c r="D6" s="3" t="inlineStr">
        <is>
          <t>Dosing – renal/dialysis</t>
        </is>
      </c>
      <c r="E6" s="3" t="inlineStr">
        <is>
          <t>Renal table outdated</t>
        </is>
      </c>
      <c r="F6" s="3" t="inlineStr">
        <is>
          <t>Replace pediatric-unit GFR table with adult label renal method; CRRT per evidence with TDM</t>
        </is>
      </c>
      <c r="G6" s="3" t="inlineStr">
        <is>
          <t>GFR 30–50 mL/min/1.73 m²: 5–7.5 mg/kg q12–18h; GFR 10–29: q18–24h; GFR &lt;10: q48–72h; IHD 5 mg/kg, redose by level; CRRT 7.5 mg/kg q12h. This sits right after the paediatric section, and the units (per 1.73 m²) suggest a paediatric table shown as the general renal adjustment.</t>
        </is>
      </c>
      <c r="H6" s="3" t="inlineStr">
        <is>
          <t>No label gives GFR tiers or CRRT dosing. US label (fallback, since the TW insert has none): 7.5 mg/kg every SCr×9 h, or a 7.5 mg/kg loading dose then reduced q12h doses in proportion to CrCl; neither method during dialysis. UK SmPC: no once-daily dosing if CrCl &lt;50. CRRT evidence (Roger 2016, PMID 27270279) supports 25 mg/kg about q48h with TDM, not 7.5 mg/kg q12h.</t>
        </is>
      </c>
      <c r="I6" s="3" t="inlineStr">
        <is>
          <t>US label Impaired Renal Function sections; UK SmPC 4.2; Roger C 2016, https://pubmed.ncbi.nlm.nih.gov/27270279/</t>
        </is>
      </c>
      <c r="J6" s="3" t="inlineStr">
        <is>
          <t>Open</t>
        </is>
      </c>
      <c r="K6" s="3" t="inlineStr"/>
    </row>
    <row r="7">
      <c r="A7" s="3" t="n">
        <v>235</v>
      </c>
      <c r="B7" s="3" t="inlineStr">
        <is>
          <t>AmoClav (Amoxicillin/clavulanate) (AMO04, AMO08)</t>
        </is>
      </c>
      <c r="C7" s="7" t="inlineStr">
        <is>
          <t>High</t>
        </is>
      </c>
      <c r="D7" s="3" t="inlineStr">
        <is>
          <t>Dosing – adult</t>
        </is>
      </c>
      <c r="E7" s="3" t="inlineStr"/>
      <c r="F7" s="3" t="inlineStr">
        <is>
          <t>Remove q6h option: 1.2 g q8h only (max 600 mg clavulanate/day); use other IV amoxicillin if more needed</t>
        </is>
      </c>
      <c r="G7" s="3" t="inlineStr">
        <is>
          <t>1.2 g every 8 hours; in severe infections, administer every 6 hours</t>
        </is>
      </c>
      <c r="H7" s="3" t="inlineStr">
        <is>
          <t>1000 mg/200 mg every 8 hours only. This product delivers at most 3000 mg amoxicillin + 600 mg clavulanate a day; if more amoxicillin is needed, use an alternative IV formulation. q6h would give 800 mg/day clavulanate.</t>
        </is>
      </c>
      <c r="I7" s="3" t="inlineStr">
        <is>
          <t>UK SmPC 4.2 — https://www.medicines.org.uk/emc/product/7211/smpc</t>
        </is>
      </c>
      <c r="J7" s="3" t="inlineStr">
        <is>
          <t>Open</t>
        </is>
      </c>
      <c r="K7" s="3" t="inlineStr"/>
    </row>
    <row r="8">
      <c r="A8" s="3" t="n">
        <v>236</v>
      </c>
      <c r="B8" s="3" t="inlineStr">
        <is>
          <t>AmoClav (Amoxicillin/clavulanate) (AMO04, AMO08)</t>
        </is>
      </c>
      <c r="C8" s="7" t="inlineStr">
        <is>
          <t>High</t>
        </is>
      </c>
      <c r="D8" s="3" t="inlineStr">
        <is>
          <t>Dosing – adult</t>
        </is>
      </c>
      <c r="E8" s="3" t="inlineStr"/>
      <c r="F8" s="3" t="inlineStr">
        <is>
          <t>Fix prophylaxis: &lt;1 h single 1.2–2.2 g at induction; &gt;1 h up to 3 doses total in 24 h</t>
        </is>
      </c>
      <c r="G8" s="3" t="inlineStr">
        <is>
          <t>1.2 g at induction of anesthesia for procedures 1 hour, may administer up to 2-3 additional doses in 24 hours (the &lt; or &gt; sign is missing)</t>
        </is>
      </c>
      <c r="H8" s="3" t="inlineStr">
        <is>
          <t>Procedures &lt;1 h: 1000/200 to 2000/200 mg at induction. Procedures &gt;1 h: same at induction, with up to 3 doses of 1000/200 mg in 24 hours (3 in total, not 2–3 additional).</t>
        </is>
      </c>
      <c r="I8" s="3" t="inlineStr">
        <is>
          <t>UK SmPC 4.2 — https://www.medicines.org.uk/emc/product/7211/smpc</t>
        </is>
      </c>
      <c r="J8" s="3" t="inlineStr">
        <is>
          <t>Open</t>
        </is>
      </c>
      <c r="K8" s="3" t="inlineStr"/>
    </row>
    <row r="9">
      <c r="A9" s="3" t="n">
        <v>246</v>
      </c>
      <c r="B9" s="3" t="inlineStr">
        <is>
          <t>AmoClav (Amoxicillin/clavulanate) (AMO04, AMO08)</t>
        </is>
      </c>
      <c r="C9" s="7" t="inlineStr">
        <is>
          <t>High</t>
        </is>
      </c>
      <c r="D9" s="3" t="inlineStr">
        <is>
          <t>Dosing – adult</t>
        </is>
      </c>
      <c r="E9" s="3" t="inlineStr"/>
      <c r="F9" s="3" t="inlineStr">
        <is>
          <t>Remove q6h option: 1.2 g q8h only (max 600 mg clavulanate/day)</t>
        </is>
      </c>
      <c r="G9" s="3" t="inlineStr">
        <is>
          <t>1.2 g every 8 hours; in severe infections, administer every 6 hours</t>
        </is>
      </c>
      <c r="H9" s="3" t="inlineStr">
        <is>
          <t>1000/200 mg every 8 hours only. The vial is designed for at most 3000 mg amoxicillin + 600 mg clavulanate a day (q6h gives 800 mg clavulanate). If more amoxicillin is needed, use an alternative IV formulation.</t>
        </is>
      </c>
      <c r="I9" s="3" t="inlineStr">
        <is>
          <t>UK SmPC §4.2, https://www.medicines.org.uk/emc/product/7211/smpc</t>
        </is>
      </c>
      <c r="J9" s="3" t="inlineStr">
        <is>
          <t>Open</t>
        </is>
      </c>
      <c r="K9" s="3" t="inlineStr"/>
    </row>
    <row r="10">
      <c r="A10" s="3" t="n">
        <v>247</v>
      </c>
      <c r="B10" s="3" t="inlineStr">
        <is>
          <t>AmoClav (Amoxicillin/clavulanate) (AMO04, AMO08)</t>
        </is>
      </c>
      <c r="C10" s="7" t="inlineStr">
        <is>
          <t>High</t>
        </is>
      </c>
      <c r="D10" s="3" t="inlineStr">
        <is>
          <t>Dosing – adult</t>
        </is>
      </c>
      <c r="E10" s="3" t="inlineStr"/>
      <c r="F10" s="3" t="inlineStr">
        <is>
          <t>Restore '&lt;'/'&gt;' and state max 3 doses total in 24 h for procedures &gt;1 h</t>
        </is>
      </c>
      <c r="G10" s="3" t="inlineStr">
        <is>
          <t>1.2 g at induction of anesthesia for procedures [sign missing] 1 hour, may administer up to 2-3 additional doses in 24 hours</t>
        </is>
      </c>
      <c r="H10" s="3" t="inlineStr">
        <is>
          <t>Procedures &lt;1 h: 1000/200–2000/200 mg at induction. Procedures &gt;1 h: same, with up to 3 doses of 1000/200 mg in 24 h in total. The '&lt;'/'&gt;' sign is lost in the hospital text, and '2-3 additional doses' could exceed 3 doses in total.</t>
        </is>
      </c>
      <c r="I10" s="3" t="inlineStr">
        <is>
          <t>UK SmPC §4.2, https://www.medicines.org.uk/emc/product/7211/smpc</t>
        </is>
      </c>
      <c r="J10" s="3" t="inlineStr">
        <is>
          <t>Open</t>
        </is>
      </c>
      <c r="K10" s="3" t="inlineStr"/>
    </row>
    <row r="11">
      <c r="A11" s="3" t="n">
        <v>237</v>
      </c>
      <c r="B11" s="3" t="inlineStr">
        <is>
          <t>AmoClav (Amoxicillin/clavulanate) (AMO04, AMO08)</t>
        </is>
      </c>
      <c r="C11" s="7" t="inlineStr">
        <is>
          <t>High</t>
        </is>
      </c>
      <c r="D11" s="3" t="inlineStr">
        <is>
          <t>Dosing – pediatric</t>
        </is>
      </c>
      <c r="E11" s="3" t="inlineStr"/>
      <c r="F11" s="3" t="inlineStr">
        <is>
          <t>Pediatric &lt;40 kg: ≥3 mo 30 mg/kg q8h; &lt;3 mo or &lt;4 kg 30 mg/kg q12h infusion; remove q6h and titration</t>
        </is>
      </c>
      <c r="G11" s="3" t="inlineStr">
        <is>
          <t>3 months to 12 years: 30 mg/kg every 8 hours; in severe infections, administer every 6 hours. 30 mg/kg every 12 hours; then titrate to every 8 hours (no age/weight condition).</t>
        </is>
      </c>
      <c r="H11" s="3" t="inlineStr">
        <is>
          <t>Children &lt;40 kg (weight-based, not 'to 12 years'): ≥3 months 25/5 mg/kg (30 mg/kg combined) q8h. Children &lt;3 months or &lt;4 kg: 25/5 mg/kg q12h, infusion only. There is no q6h option and no 'titrate to q8h' step. The pediatric q6h-in-severe-infection line was not in the source brief; I found it on the live page.</t>
        </is>
      </c>
      <c r="I11" s="3" t="inlineStr">
        <is>
          <t>UK SmPC 4.2 Paediatric population — https://www.medicines.org.uk/emc/product/7211/smpc</t>
        </is>
      </c>
      <c r="J11" s="3" t="inlineStr">
        <is>
          <t>Open</t>
        </is>
      </c>
      <c r="K11" s="3" t="inlineStr"/>
    </row>
    <row r="12">
      <c r="A12" s="3" t="n">
        <v>248</v>
      </c>
      <c r="B12" s="3" t="inlineStr">
        <is>
          <t>AmoClav (Amoxicillin/clavulanate) (AMO04, AMO08)</t>
        </is>
      </c>
      <c r="C12" s="7" t="inlineStr">
        <is>
          <t>High</t>
        </is>
      </c>
      <c r="D12" s="3" t="inlineStr">
        <is>
          <t>Dosing – pediatric</t>
        </is>
      </c>
      <c r="E12" s="3" t="inlineStr"/>
      <c r="F12" s="3" t="inlineStr">
        <is>
          <t>Weight-based &lt;40 kg dosing; no q6h; q12h only for &lt;3 mo or &lt;4 kg by infusion</t>
        </is>
      </c>
      <c r="G12" s="3" t="inlineStr">
        <is>
          <t>3 months to 12 years: 30 mg/kg every 8 hours; in severe infections every 6 hours / 30 mg/kg every 12 hours; then titrate to every 8 hours</t>
        </is>
      </c>
      <c r="H12" s="3" t="inlineStr">
        <is>
          <t>Children &lt;40 kg: ≥3 months, 25/5 mg/kg (=30 mg/kg combined) q8h; &lt;3 months or &lt;4 kg, 25/5 mg/kg q12h by infusion only. No q6h regimen. The q12h line in the hospital entry has no age or weight condition, and the limit is weight-based (&lt;40 kg), not 12 years.</t>
        </is>
      </c>
      <c r="I12" s="3" t="inlineStr">
        <is>
          <t>UK SmPC §4.2 Paediatric population and Method of administration, https://www.medicines.org.uk/emc/product/7211/smpc</t>
        </is>
      </c>
      <c r="J12" s="3" t="inlineStr">
        <is>
          <t>Open</t>
        </is>
      </c>
      <c r="K12" s="3" t="inlineStr"/>
    </row>
    <row r="13">
      <c r="A13" s="3" t="n">
        <v>238</v>
      </c>
      <c r="B13" s="3" t="inlineStr">
        <is>
          <t>AmoClav (Amoxicillin/clavulanate) (AMO04, AMO08)</t>
        </is>
      </c>
      <c r="C13" s="7" t="inlineStr">
        <is>
          <t>High</t>
        </is>
      </c>
      <c r="D13" s="3" t="inlineStr">
        <is>
          <t>Dosing – renal/dialysis</t>
        </is>
      </c>
      <c r="E13" s="3" t="inlineStr">
        <is>
          <t>Renal table outdated</t>
        </is>
      </c>
      <c r="F13" s="3" t="inlineStr">
        <is>
          <t>HD: 1.2 g once, then 600 mg q24h plus 600 mg after dialysis; remove q12h option; use combined units</t>
        </is>
      </c>
      <c r="G13" s="3" t="inlineStr">
        <is>
          <t>1 g followed by 500 mg every 12 to 24 hours; if utilizing a 24-hour interval, administer dose after dialysis or give an additional 500 mg after dialysis (units switch from 1.2 g product to amoxicillin-only mg)</t>
        </is>
      </c>
      <c r="H13" s="3" t="inlineStr">
        <is>
          <t>1000/200 mg (1.2 g) initially, then 500/100 mg (600 mg) every 24 h, plus 500/100 mg at the end of dialysis. No q12h option.</t>
        </is>
      </c>
      <c r="I13" s="3" t="inlineStr">
        <is>
          <t>UK SmPC 4.2 Renal impairment — https://www.medicines.org.uk/emc/product/7211/smpc</t>
        </is>
      </c>
      <c r="J13" s="3" t="inlineStr">
        <is>
          <t>Open</t>
        </is>
      </c>
      <c r="K13" s="3" t="inlineStr"/>
    </row>
    <row r="14">
      <c r="A14" s="3" t="n">
        <v>239</v>
      </c>
      <c r="B14" s="3" t="inlineStr">
        <is>
          <t>AmoClav (Amoxicillin/clavulanate) (AMO04, AMO08)</t>
        </is>
      </c>
      <c r="C14" s="7" t="inlineStr">
        <is>
          <t>High</t>
        </is>
      </c>
      <c r="D14" s="3" t="inlineStr">
        <is>
          <t>Dosing – renal/dialysis</t>
        </is>
      </c>
      <c r="E14" s="3" t="inlineStr">
        <is>
          <t>Renal table outdated</t>
        </is>
      </c>
      <c r="F14" s="3" t="inlineStr">
        <is>
          <t>Remove unsupported PD q12h regimen; no label PD dose (CrCl &lt;10 maintenance is 600 mg q24h)</t>
        </is>
      </c>
      <c r="G14" s="3" t="inlineStr">
        <is>
          <t>1 g followed by 500 mg every 12 hours</t>
        </is>
      </c>
      <c r="H14" s="3" t="inlineStr">
        <is>
          <t>No peritoneal dialysis dose in the UK SmPC or US label. For CrCl &lt;10 the SmPC gives 600 mg q24h maintenance, so a q12h PD regimen is unsupported.</t>
        </is>
      </c>
      <c r="I14" s="3" t="inlineStr">
        <is>
          <t>UK SmPC 4.2 — https://www.medicines.org.uk/emc/product/7211/smpc; US label 2.6 — https://dailymed.nlm.nih.gov/dailymed/drugInfo.cfm?setid=80bef3fd-4f6f-4190-8865-9ac46c8947a3</t>
        </is>
      </c>
      <c r="J14" s="3" t="inlineStr">
        <is>
          <t>Open</t>
        </is>
      </c>
      <c r="K14" s="3" t="inlineStr"/>
    </row>
    <row r="15">
      <c r="A15" s="3" t="n">
        <v>240</v>
      </c>
      <c r="B15" s="3" t="inlineStr">
        <is>
          <t>AmoClav (Amoxicillin/clavulanate) (AMO04, AMO08)</t>
        </is>
      </c>
      <c r="C15" s="7" t="inlineStr">
        <is>
          <t>High</t>
        </is>
      </c>
      <c r="D15" s="3" t="inlineStr">
        <is>
          <t>Dosing – renal/dialysis</t>
        </is>
      </c>
      <c r="E15" s="3" t="inlineStr"/>
      <c r="F15" s="3" t="inlineStr">
        <is>
          <t>Escape '&lt;' in HTML so CrCl &lt;10 band (1.2 g then 600 mg q24h) displays</t>
        </is>
      </c>
      <c r="G15" s="3" t="inlineStr">
        <is>
          <t>Rendered page shows only '3. CrCl' followed by '4. Hemodialysis'. The unescaped '&lt;' cuts the text off; it reads in full only in the raw source ('CrCl &lt;10 mL/min: 1.2 g followed by 600 mg every 24 hours').</t>
        </is>
      </c>
      <c r="H15" s="3" t="inlineStr">
        <is>
          <t>The dose itself matches the SmPC (1.2 g, then 600 mg q24h). The defect is HTML escaping: the CrCl &lt;10 line is invisible to users.</t>
        </is>
      </c>
      <c r="I15" s="3" t="inlineStr">
        <is>
          <t>UK SmPC 4.2 — https://www.medicines.org.uk/emc/product/7211/smpc</t>
        </is>
      </c>
      <c r="J15" s="3" t="inlineStr">
        <is>
          <t>Open</t>
        </is>
      </c>
      <c r="K15" s="3" t="inlineStr"/>
    </row>
    <row r="16">
      <c r="A16" s="3" t="n">
        <v>249</v>
      </c>
      <c r="B16" s="3" t="inlineStr">
        <is>
          <t>AmoClav (Amoxicillin/clavulanate) (AMO04, AMO08)</t>
        </is>
      </c>
      <c r="C16" s="7" t="inlineStr">
        <is>
          <t>High</t>
        </is>
      </c>
      <c r="D16" s="3" t="inlineStr">
        <is>
          <t>Dosing – renal/dialysis</t>
        </is>
      </c>
      <c r="E16" s="3" t="inlineStr">
        <is>
          <t>Renal table outdated</t>
        </is>
      </c>
      <c r="F16" s="3" t="inlineStr">
        <is>
          <t>HD: 1.2 g once, then 600 mg q24h plus 600 mg after dialysis; no q12h</t>
        </is>
      </c>
      <c r="G16" s="3" t="inlineStr">
        <is>
          <t>1 g followed by 500 mg every 12 to 24 hours; if 24-hour interval, dose after dialysis or extra 500 mg after dialysis</t>
        </is>
      </c>
      <c r="H16" s="3" t="inlineStr">
        <is>
          <t>1000/200 mg once, then 500/100 mg every 24 h, plus 500/100 mg at the end of dialysis. Units should be 1.2 g/600 mg to match the combined-strength convention used elsewhere. The SmPC gives no q12h option for HD.</t>
        </is>
      </c>
      <c r="I16" s="3" t="inlineStr">
        <is>
          <t>UK SmPC §4.2 Renal impairment, https://www.medicines.org.uk/emc/product/7211/smpc</t>
        </is>
      </c>
      <c r="J16" s="3" t="inlineStr">
        <is>
          <t>Open</t>
        </is>
      </c>
      <c r="K16" s="3" t="inlineStr"/>
    </row>
    <row r="17">
      <c r="A17" s="3" t="n">
        <v>250</v>
      </c>
      <c r="B17" s="3" t="inlineStr">
        <is>
          <t>AmoClav (Amoxicillin/clavulanate) (AMO04, AMO08)</t>
        </is>
      </c>
      <c r="C17" s="7" t="inlineStr">
        <is>
          <t>High</t>
        </is>
      </c>
      <c r="D17" s="3" t="inlineStr">
        <is>
          <t>Dosing – renal/dialysis</t>
        </is>
      </c>
      <c r="E17" s="3" t="inlineStr">
        <is>
          <t>Renal table outdated</t>
        </is>
      </c>
      <c r="F17" s="3" t="inlineStr">
        <is>
          <t>Remove PD 500 mg q12h regimen; no label support</t>
        </is>
      </c>
      <c r="G17" s="3" t="inlineStr">
        <is>
          <t>1 g followed by 500 mg every 12 hours</t>
        </is>
      </c>
      <c r="H17" s="3" t="inlineStr">
        <is>
          <t>No PD regimen in the UK SmPC or the US label</t>
        </is>
      </c>
      <c r="I17" s="3" t="inlineStr">
        <is>
          <t>UK SmPC §4.2, https://www.medicines.org.uk/emc/product/7211/smpc</t>
        </is>
      </c>
      <c r="J17" s="3" t="inlineStr">
        <is>
          <t>Open</t>
        </is>
      </c>
      <c r="K17" s="3" t="inlineStr"/>
    </row>
    <row r="18">
      <c r="A18" s="3" t="n">
        <v>251</v>
      </c>
      <c r="B18" s="3" t="inlineStr">
        <is>
          <t>AmoClav (Amoxicillin/clavulanate) (AMO04, AMO08)</t>
        </is>
      </c>
      <c r="C18" s="7" t="inlineStr">
        <is>
          <t>High</t>
        </is>
      </c>
      <c r="D18" s="3" t="inlineStr">
        <is>
          <t>Dosing – renal/dialysis</t>
        </is>
      </c>
      <c r="E18" s="3" t="inlineStr"/>
      <c r="F18" s="3" t="inlineStr">
        <is>
          <t>Escape '&lt;' as &amp;lt; so CrCl &lt;10 line renders</t>
        </is>
      </c>
      <c r="G18" s="3" t="inlineStr">
        <is>
          <t>Rendered page shows '3. CrCl' with the text cut off. The raw HTML has 'CrCl &lt;10 mL/min: 1.2 g followed by 600 mg every 24 hours'; the unescaped '&lt;' breaks rendering.</t>
        </is>
      </c>
      <c r="H18" s="3" t="inlineStr">
        <is>
          <t>CrCl &lt;10: 1000/200 mg once, then 500/100 mg q24h (the content is correct once shown; the HTML needs '&amp;lt;')</t>
        </is>
      </c>
      <c r="I18" s="3" t="inlineStr">
        <is>
          <t>UK SmPC §4.2, https://www.medicines.org.uk/emc/product/7211/smpc</t>
        </is>
      </c>
      <c r="J18" s="3" t="inlineStr">
        <is>
          <t>Open</t>
        </is>
      </c>
      <c r="K18" s="3" t="inlineStr"/>
    </row>
    <row r="19">
      <c r="A19" s="3" t="n">
        <v>269</v>
      </c>
      <c r="B19" s="3" t="inlineStr">
        <is>
          <t>Antifect (Cefepime) (ANT10)</t>
        </is>
      </c>
      <c r="C19" s="7" t="inlineStr">
        <is>
          <t>High</t>
        </is>
      </c>
      <c r="D19" s="3" t="inlineStr">
        <is>
          <t>Administration/compatibility</t>
        </is>
      </c>
      <c r="E19" s="3" t="inlineStr"/>
      <c r="F19" s="3" t="inlineStr">
        <is>
          <t>Infusion fluids: NS, D5W/D10W, D5NS, M/6 lactate, LR with D5; SWFI for reconstitution only, not plain LR</t>
        </is>
      </c>
      <c r="G19" s="3" t="inlineStr">
        <is>
          <t>稀釋溶液：NS、D5W、SWFI、LR (仿單)</t>
        </is>
      </c>
      <c r="H19" s="3" t="inlineStr">
        <is>
          <t>TW insert/FDA infusion fluids: 0.9% NaCl, 5% and 10% dextrose, M/6 sodium lactate, D5NS, lactated Ringer's WITH 5% dextrose (not plain LR). Sterile water is listed only for reconstitution, not as an infusion diluent.</t>
        </is>
      </c>
      <c r="I19" s="3" t="inlineStr">
        <is>
          <t>Taiwan Antifect insert §3.2 相容性及安定性 — https://mcp.fda.gov.tw/im_detail_1/%E8%A1%9B%E7%BD%B2%E8%97%A5%E8%A3%BD%E5%AD%97%E7%AC%AC047983%E8%99%9F ; US FDA label §2.4, §2.6</t>
        </is>
      </c>
      <c r="J19" s="3" t="inlineStr">
        <is>
          <t>Open</t>
        </is>
      </c>
      <c r="K19" s="3" t="inlineStr"/>
    </row>
    <row r="20">
      <c r="A20" s="3" t="n">
        <v>258</v>
      </c>
      <c r="B20" s="3" t="inlineStr">
        <is>
          <t>Antifect (Cefepime) (ANT10)</t>
        </is>
      </c>
      <c r="C20" s="7" t="inlineStr">
        <is>
          <t>High</t>
        </is>
      </c>
      <c r="D20" s="3" t="inlineStr">
        <is>
          <t>Dosing – renal/dialysis</t>
        </is>
      </c>
      <c r="E20" s="3" t="inlineStr">
        <is>
          <t>Renal table outdated</t>
        </is>
      </c>
      <c r="F20" s="3" t="inlineStr">
        <is>
          <t>Replace regimen columns with label: 500 mg q12h, 1 g q12h, 2 g q12h, 2 g q8h; delete 1 g q6h</t>
        </is>
      </c>
      <c r="G20" s="3" t="inlineStr">
        <is>
          <t>Usual recommended doses at CrCl &gt;60 are 1g Q12H, 2g Q12H, 1g Q6H and 2g Q8H.</t>
        </is>
      </c>
      <c r="H20" s="3" t="inlineStr">
        <is>
          <t>No label has a 1 g q6h regimen. FDA Table 2 regimens are 500 mg q12h, 1 g q12h, 2 g q12h and 2 g q8h. Taiwan 表5 regimens are 2 g q8h, 2 g q12h, 1 g q12h and 0.5 g q12h.</t>
        </is>
      </c>
      <c r="I20" s="3" t="inlineStr">
        <is>
          <t>US FDA label 2.3 Table 2 — https://dailymed.nlm.nih.gov/dailymed/drugInfo.cfm?setid=de477f37-40f6-4295-ae72-a2ee36a8922e; Taiwan Antifect insert 3.3 表5 — https://mcp.fda.gov.tw/im_detail_1/%E8%A1%9B%E7%BD%B2%E8%97%A5%E8%A3%BD%E5%AD%97%E7%AC%AC047983%E8%99%9F</t>
        </is>
      </c>
      <c r="J20" s="3" t="inlineStr">
        <is>
          <t>Open</t>
        </is>
      </c>
      <c r="K20" s="3" t="inlineStr"/>
    </row>
    <row r="21">
      <c r="A21" s="3" t="n">
        <v>259</v>
      </c>
      <c r="B21" s="3" t="inlineStr">
        <is>
          <t>Antifect (Cefepime) (ANT10)</t>
        </is>
      </c>
      <c r="C21" s="7" t="inlineStr">
        <is>
          <t>High</t>
        </is>
      </c>
      <c r="D21" s="3" t="inlineStr">
        <is>
          <t>Dosing – renal/dialysis</t>
        </is>
      </c>
      <c r="E21" s="3" t="inlineStr">
        <is>
          <t>Renal table outdated</t>
        </is>
      </c>
      <c r="F21" s="3" t="inlineStr">
        <is>
          <t>CrCl 30–60: 2 g q12h→2 g q24h; 2 g q8h→2 g q12h; remove 1 g q8h row</t>
        </is>
      </c>
      <c r="G21" s="3" t="inlineStr">
        <is>
          <t>1g Q24H / 1g Q12H / 1g Q8H / 2g Q12H (for the 1g q12h / 2g q12h / 1g q6h / 2g q8h regimens)</t>
        </is>
      </c>
      <c r="H21" s="3" t="inlineStr">
        <is>
          <t>FDA 30-60: 1 g q12h → 1 g q24h; 2 g q12h → 2 g q24h (not 1 g q12h); 2 g q8h → 2 g q12h. The label has no 1 g q6h regimen, so '1g Q8H' has no label basis. Taiwan uses a 30-50 band with the same values.</t>
        </is>
      </c>
      <c r="I21" s="3" t="inlineStr">
        <is>
          <t>US FDA label 2.3 Table 2; Taiwan Antifect insert 表5</t>
        </is>
      </c>
      <c r="J21" s="3" t="inlineStr">
        <is>
          <t>Open</t>
        </is>
      </c>
      <c r="K21" s="3" t="inlineStr"/>
    </row>
    <row r="22">
      <c r="A22" s="3" t="n">
        <v>260</v>
      </c>
      <c r="B22" s="3" t="inlineStr">
        <is>
          <t>Antifect (Cefepime) (ANT10)</t>
        </is>
      </c>
      <c r="C22" s="7" t="inlineStr">
        <is>
          <t>High</t>
        </is>
      </c>
      <c r="D22" s="3" t="inlineStr">
        <is>
          <t>Dosing – renal/dialysis</t>
        </is>
      </c>
      <c r="E22" s="3" t="inlineStr">
        <is>
          <t>Renal table outdated</t>
        </is>
      </c>
      <c r="F22" s="3" t="inlineStr">
        <is>
          <t>CrCl 11–29 for 2 g q8h: 2 g q24h only; label last row CrCl &lt;11 (≤10 TW)</t>
        </is>
      </c>
      <c r="G22" s="3" t="inlineStr">
        <is>
          <t>11-29: 500mg Q24H / 1g Q24H / 1g Q12H / '1g Q12H or 2g Q24H'. The last row (250mg / 500mg / 1g / 1g Q24H) has no CrCl label.</t>
        </is>
      </c>
      <c r="H22" s="3" t="inlineStr">
        <is>
          <t>FDA and Taiwan, for the 2 g q8h regimen at CrCl 11-29: 2 g q24h only. 1 g q12h is not a label option. The last row should be labelled CrCl &lt;11 (FDA) or ≤10 (Taiwan).</t>
        </is>
      </c>
      <c r="I22" s="3" t="inlineStr">
        <is>
          <t>US FDA label 2.3 Table 2; Taiwan Antifect insert 表5</t>
        </is>
      </c>
      <c r="J22" s="3" t="inlineStr">
        <is>
          <t>Open</t>
        </is>
      </c>
      <c r="K22" s="3" t="inlineStr"/>
    </row>
    <row r="23">
      <c r="A23" s="3" t="n">
        <v>261</v>
      </c>
      <c r="B23" s="3" t="inlineStr">
        <is>
          <t>Antifect (Cefepime) (ANT10)</t>
        </is>
      </c>
      <c r="C23" s="7" t="inlineStr">
        <is>
          <t>High</t>
        </is>
      </c>
      <c r="D23" s="3" t="inlineStr">
        <is>
          <t>Dosing – renal/dialysis</t>
        </is>
      </c>
      <c r="E23" s="3" t="inlineStr">
        <is>
          <t>Renal table outdated</t>
        </is>
      </c>
      <c r="F23" s="3" t="inlineStr">
        <is>
          <t>Add HD (1 g day 1, then 500 mg q24h after HD; FN 1 g q24h) and CAPD (usual dose q48h)</t>
        </is>
      </c>
      <c r="G23" s="3" t="inlineStr">
        <is>
          <t>Gives no HD or CAPD rows and uses FDA-style bands (&gt;60 / 30-60 / 11-29).</t>
        </is>
      </c>
      <c r="H23" s="3" t="inlineStr">
        <is>
          <t>All labels give HD (1 g on day 1, then 0.5 g q24h after dialysis; FDA/SmPC: 1 g q24h for FN) and CAPD (usual dose q48h). The stocked Antifect product's Taiwan insert uses &gt;50 / 30-50 / 11-29 / ≤10.</t>
        </is>
      </c>
      <c r="I23" s="3" t="inlineStr">
        <is>
          <t>Taiwan Antifect insert 3.3 表5 and 透析患者; US FDA label 2.3</t>
        </is>
      </c>
      <c r="J23" s="3" t="inlineStr">
        <is>
          <t>Open</t>
        </is>
      </c>
      <c r="K23" s="3" t="inlineStr"/>
    </row>
    <row r="24">
      <c r="A24" s="3" t="n">
        <v>265</v>
      </c>
      <c r="B24" s="3" t="inlineStr">
        <is>
          <t>Antifect (Cefepime) (ANT10)</t>
        </is>
      </c>
      <c r="C24" s="7" t="inlineStr">
        <is>
          <t>High</t>
        </is>
      </c>
      <c r="D24" s="3" t="inlineStr">
        <is>
          <t>Dosing – renal/dialysis</t>
        </is>
      </c>
      <c r="E24" s="3" t="inlineStr">
        <is>
          <t>Renal table outdated</t>
        </is>
      </c>
      <c r="F24" s="3" t="inlineStr">
        <is>
          <t>Replace whole renal table with FDA Table 2/TW 表5 incl. HD and CAPD rows; remove 1 g q6h</t>
        </is>
      </c>
      <c r="G24" s="3" t="inlineStr">
        <is>
          <t>CrCl &gt;60 'usual' regimens: 1g Q12H | 2g Q12H | 1g Q6H | 2g Q8H. 30-60: 1g Q24H | 1g Q12H | 1g Q8H | 2g Q12H. 11-29: 500mg Q24H | 1g Q24H | 1g Q12H | 1g Q12H or 2g Q24H. An unlabeled fourth row: 250mg Q24H | 500mg Q24H | 1g Q24H | 1g Q24H. No HD or CAPD rows.</t>
        </is>
      </c>
      <c r="H24" s="3" t="inlineStr">
        <is>
          <t>FDA Table 2 usual regimens are 500 mg q12h | 1 g q12h | 2 g q12h | 2 g q8h; there is no 1 g q6h. 30-60: 500 mg q24h | 1 g q24h | 2 g q24h | 2 g q12h. 11-29: 500 mg q24h | 500 mg q24h | 1 g q24h | 2 g q24h. &lt;11: 250 mg | 250 mg | 500 mg | 1 g q24h. CAPD: usual dose q48h. HD: 1 g day 1 then 500 mg q24h (FN 1 g q24h), after dialysis. The stocked Antifect insert (表5) gives the same doses with bands &gt;50 / 30-50 / 11-29 / ≤10, plus HD 1 g → 0.5 g q24h and CAPD q48h.</t>
        </is>
      </c>
      <c r="I24" s="3" t="inlineStr">
        <is>
          <t>US FDA label §2.3 Table 2 — https://dailymed.nlm.nih.gov/dailymed/drugInfo.cfm?setid=de477f37-40f6-4295-ae72-a2ee36a8922e ; Taiwan Antifect insert §3.3 表5 — https://mcp.fda.gov.tw/im_detail_1/%E8%A1%9B%E7%BD%B2%E8%97%A5%E8%A3%BD%E5%AD%97%E7%AC%AC047983%E8%99%9F</t>
        </is>
      </c>
      <c r="J24" s="3" t="inlineStr">
        <is>
          <t>Open</t>
        </is>
      </c>
      <c r="K24" s="3" t="inlineStr"/>
    </row>
    <row r="25">
      <c r="A25" s="3" t="n">
        <v>271</v>
      </c>
      <c r="B25" s="3" t="inlineStr">
        <is>
          <t>Brosym (cefoperazone-sulbactam) (BRO04, BUR01)</t>
        </is>
      </c>
      <c r="C25" s="7" t="inlineStr">
        <is>
          <t>High</t>
        </is>
      </c>
      <c r="D25" s="3" t="inlineStr">
        <is>
          <t>Administration/compatibility</t>
        </is>
      </c>
      <c r="E25" s="3" t="inlineStr"/>
      <c r="F25" s="3" t="inlineStr">
        <is>
          <t>Remove IM; IV push ≥3 min or IV infusion only per TW insert</t>
        </is>
      </c>
      <c r="G25" s="3" t="inlineStr">
        <is>
          <t>(IV, IM) The total adult daily dose is 1g/1g to 2g/2g…</t>
        </is>
      </c>
      <c r="H25" s="3" t="inlineStr">
        <is>
          <t>IV push (≥3 min) or IV infusion only: '只限靜脈注射，不可皮下及肌肉注射'</t>
        </is>
      </c>
      <c r="I25" s="3" t="inlineStr">
        <is>
          <t>Brosym TW insert §3.1 &amp; §15(3) — https://mcp.fda.gov.tw/im_detail_1/%E8%A1%9B%E9%83%A8%E8%97%A5%E8%A3%BD%E5%AD%97%E7%AC%AC058156%E8%99%9F</t>
        </is>
      </c>
      <c r="J25" s="3" t="inlineStr">
        <is>
          <t>Open</t>
        </is>
      </c>
      <c r="K25" s="3" t="inlineStr"/>
    </row>
    <row r="26">
      <c r="A26" s="3" t="n">
        <v>278</v>
      </c>
      <c r="B26" s="3" t="inlineStr">
        <is>
          <t>Brosym (cefoperazone-sulbactam) (BRO04, BUR01)</t>
        </is>
      </c>
      <c r="C26" s="7" t="inlineStr">
        <is>
          <t>High</t>
        </is>
      </c>
      <c r="D26" s="3" t="inlineStr">
        <is>
          <t>Administration/compatibility</t>
        </is>
      </c>
      <c r="E26" s="3" t="inlineStr"/>
      <c r="F26" s="3" t="inlineStr">
        <is>
          <t>Remove IM route; IV only (push ≥3 min or infusion)</t>
        </is>
      </c>
      <c r="G26" s="3" t="inlineStr">
        <is>
          <t>Usual dose: (IV, IM)</t>
        </is>
      </c>
      <c r="H26" s="3" t="inlineStr">
        <is>
          <t>IV push (≥3 min) or IV infusion only; '只限靜脈注射，不可皮下及肌肉注射'</t>
        </is>
      </c>
      <c r="I26" s="3" t="inlineStr">
        <is>
          <t>TFDA insert Brosym §3.1, §15 其他 (3)</t>
        </is>
      </c>
      <c r="J26" s="3" t="inlineStr">
        <is>
          <t>Open</t>
        </is>
      </c>
      <c r="K26" s="3" t="inlineStr"/>
    </row>
    <row r="27">
      <c r="A27" s="3" t="n">
        <v>275</v>
      </c>
      <c r="B27" s="3" t="inlineStr">
        <is>
          <t>Brosym (cefoperazone-sulbactam) (BRO04, BUR01)</t>
        </is>
      </c>
      <c r="C27" s="7" t="inlineStr">
        <is>
          <t>High</t>
        </is>
      </c>
      <c r="D27" s="3" t="inlineStr">
        <is>
          <t>Drug interaction</t>
        </is>
      </c>
      <c r="E27" s="3" t="inlineStr">
        <is>
          <t>Interaction list incomplete</t>
        </is>
      </c>
      <c r="F27" s="3" t="inlineStr">
        <is>
          <t>Add disulfiram-like reaction: avoid alcohol during and ≥1 week after therapy</t>
        </is>
      </c>
      <c r="G27" s="3" t="inlineStr">
        <is>
          <t>Neither page mentions alcohol or a disulfiram-like reaction (grep for 酒/alcohol/disulfiram found 0 hits on either page).</t>
        </is>
      </c>
      <c r="H27" s="3" t="inlineStr">
        <is>
          <t>A disulfiram-like reaction with alcohol (N-MTT) is possible. No alcohol during treatment and for at least 1 week afterwards.</t>
        </is>
      </c>
      <c r="I27" s="3" t="inlineStr">
        <is>
          <t>Brosym TW insert §7 交互作用 — https://mcp.fda.gov.tw/im_detail_1/%E8%A1%9B%E9%83%A8%E8%97%A5%E8%A3%BD%E5%AD%97%E7%AC%AC058156%E8%99%9F</t>
        </is>
      </c>
      <c r="J27" s="3" t="inlineStr">
        <is>
          <t>Open</t>
        </is>
      </c>
      <c r="K27" s="3" t="inlineStr"/>
    </row>
    <row r="28">
      <c r="A28" s="3" t="n">
        <v>282</v>
      </c>
      <c r="B28" s="3" t="inlineStr">
        <is>
          <t>Brosym (cefoperazone-sulbactam) (BRO04, BUR01)</t>
        </is>
      </c>
      <c r="C28" s="7" t="inlineStr">
        <is>
          <t>High</t>
        </is>
      </c>
      <c r="D28" s="3" t="inlineStr">
        <is>
          <t>Drug interaction</t>
        </is>
      </c>
      <c r="E28" s="3" t="inlineStr">
        <is>
          <t>Interaction list incomplete</t>
        </is>
      </c>
      <c r="F28" s="3" t="inlineStr">
        <is>
          <t>Add disulfiram-like alcohol reaction (avoid ≥1 week after) and furosemide nephrotoxicity</t>
        </is>
      </c>
      <c r="G28" s="3" t="inlineStr">
        <is>
          <t>No mention of alcohol or the disulfiram-like reaction (text search for alcohol, disulfiram and 酒 found nothing on either page)</t>
        </is>
      </c>
      <c r="H28" s="3" t="inlineStr">
        <is>
          <t>TW 仿單 §7: disulfiram-like reaction (N-MTT); no alcohol during treatment and for at least 1 week after. Furosemide may increase nephrotoxicity.</t>
        </is>
      </c>
      <c r="I28" s="3" t="inlineStr">
        <is>
          <t>TFDA insert Brosym §7 交互作用; Burotam PDF §7 https://mcp.fda.gov.tw/insert/pdfcasefile/i_ae59ce8f-6bf8-4727-adf2-f5f34e067be1</t>
        </is>
      </c>
      <c r="J28" s="3" t="inlineStr">
        <is>
          <t>Open</t>
        </is>
      </c>
      <c r="K28" s="3" t="inlineStr"/>
    </row>
    <row r="29">
      <c r="A29" s="3" t="n">
        <v>270</v>
      </c>
      <c r="B29" s="3" t="inlineStr">
        <is>
          <t>Brosym (cefoperazone-sulbactam) (BRO04, BUR01)</t>
        </is>
      </c>
      <c r="C29" s="7" t="inlineStr">
        <is>
          <t>High</t>
        </is>
      </c>
      <c r="D29" s="3" t="inlineStr">
        <is>
          <t>Pharmacokinetics/other</t>
        </is>
      </c>
      <c r="E29" s="3" t="inlineStr"/>
      <c r="F29" s="3" t="inlineStr">
        <is>
          <t>Correct 2 g vial strength: cefoperazone 1 g + sulbactam 1 g</t>
        </is>
      </c>
      <c r="G29" s="3" t="inlineStr">
        <is>
          <t>powder for reconstitution: cefoperazone sodium 0.5 g and sulbactam sodium 0.5 g (on the 2 g/vial product pages)</t>
        </is>
      </c>
      <c r="H29" s="3" t="inlineStr">
        <is>
          <t>The 2 g vial contains cefoperazone sodium 1000 mg and sulbactam sodium 1000 mg. The 0.5 g/0.5 g strength is the 1 g vial.</t>
        </is>
      </c>
      <c r="I29" s="3" t="inlineStr">
        <is>
          <t>Brosym TW insert §1.1 — https://mcp.fda.gov.tw/im_detail_1/%E8%A1%9B%E9%83%A8%E8%97%A5%E8%A3%BD%E5%AD%97%E7%AC%AC058156%E8%99%9F; Burotam TW insert §1.1 — https://mcp.fda.gov.tw/im_detail_1/%E8%A1%9B%E9%83%A8%E8%97%A5%E8%A3%BD%E5%AD%97%E7%AC%AC061039%E8%99%9F</t>
        </is>
      </c>
      <c r="J29" s="3" t="inlineStr">
        <is>
          <t>Open</t>
        </is>
      </c>
      <c r="K29" s="3" t="inlineStr"/>
    </row>
    <row r="30">
      <c r="A30" s="3" t="n">
        <v>277</v>
      </c>
      <c r="B30" s="3" t="inlineStr">
        <is>
          <t>Brosym (cefoperazone-sulbactam) (BRO04, BUR01)</t>
        </is>
      </c>
      <c r="C30" s="7" t="inlineStr">
        <is>
          <t>High</t>
        </is>
      </c>
      <c r="D30" s="3" t="inlineStr">
        <is>
          <t>Pharmacokinetics/other</t>
        </is>
      </c>
      <c r="E30" s="3" t="inlineStr"/>
      <c r="F30" s="3" t="inlineStr">
        <is>
          <t>Correct 2 g vial strength to cefoperazone 1 g + sulbactam 1 g</t>
        </is>
      </c>
      <c r="G30" s="3" t="inlineStr">
        <is>
          <t>powder for reconstitution: cefoperazone sodium 0.5 g and sulbactam sodium 0.5 g (product listed as 2 g/Vial)</t>
        </is>
      </c>
      <c r="H30" s="3" t="inlineStr">
        <is>
          <t>2 g vial = cefoperazone sodium 1000 mg + sulbactam sodium 1000 mg; 0.5 g/0.5 g is the 1 g vial</t>
        </is>
      </c>
      <c r="I30" s="3" t="inlineStr">
        <is>
          <t>TFDA insert Brosym §1.1 https://mcp.fda.gov.tw/im_detail_1/%E8%A1%9B%E9%83%A8%E8%97%A5%E8%A3%BD%E5%AD%97%E7%AC%AC058156%E8%99%9F ; Burotam §1.1 https://mcp.fda.gov.tw/im_detail_1/%E8%A1%9B%E9%83%A8%E8%97%A5%E8%A3%BD%E5%AD%97%E7%AC%AC061039%E8%99%9F</t>
        </is>
      </c>
      <c r="J30" s="3" t="inlineStr">
        <is>
          <t>Open</t>
        </is>
      </c>
      <c r="K30" s="3" t="inlineStr"/>
    </row>
    <row r="31">
      <c r="A31" s="3" t="n">
        <v>293</v>
      </c>
      <c r="B31" s="3" t="inlineStr">
        <is>
          <t>Cefin (Ceftriaxone) (CEF10)</t>
        </is>
      </c>
      <c r="C31" s="7" t="inlineStr">
        <is>
          <t>High</t>
        </is>
      </c>
      <c r="D31" s="3" t="inlineStr">
        <is>
          <t>Administration/compatibility</t>
        </is>
      </c>
      <c r="E31" s="3" t="inlineStr"/>
      <c r="F31" s="3" t="inlineStr">
        <is>
          <t>Verify against full 仿單; if IV-only product, remove IM route for CEF10</t>
        </is>
      </c>
      <c r="G31" s="3" t="inlineStr">
        <is>
          <t>IV, IVF and IM are all listed for CEF10 (Cefin 2 g).</t>
        </is>
      </c>
      <c r="H31" s="3" t="inlineStr">
        <is>
          <t>The stocked product is registered as 舒復靜脈注射劑, 'Cefin for IV injection'. The 仿單 使用方法 section, as transcribed, describes only IV injection over 2–4 min and IV infusion over at least 30 min. IM use with a lidocaine diluent is described in the FDA and UK labels for other products. This needs checking against the full 仿單 PDF, because the transcription is partial.</t>
        </is>
      </c>
      <c r="I31" s="3" t="inlineStr">
        <is>
          <t>Cefin 仿單 title and 2.2 使用方法 https://mcp.fda.gov.tw/insert/pdfcasefile/i_e5d33886-d20a-423d-9bc2-14ea9861a989</t>
        </is>
      </c>
      <c r="J31" s="3" t="inlineStr">
        <is>
          <t>Open</t>
        </is>
      </c>
      <c r="K31" s="3" t="inlineStr"/>
    </row>
    <row r="32">
      <c r="A32" s="3" t="n">
        <v>286</v>
      </c>
      <c r="B32" s="3" t="inlineStr">
        <is>
          <t>Cefin (Ceftriaxone) (CEF10)</t>
        </is>
      </c>
      <c r="C32" s="7" t="inlineStr">
        <is>
          <t>High</t>
        </is>
      </c>
      <c r="D32" s="3" t="inlineStr">
        <is>
          <t>Contraindication/warning</t>
        </is>
      </c>
      <c r="E32" s="3" t="inlineStr">
        <is>
          <t>Missing boxed warning</t>
        </is>
      </c>
      <c r="F32" s="3" t="inlineStr">
        <is>
          <t>Add contraindications: neonates ≤28 d needing IV calcium/TPN, premature neonates to PMA 41 wk, IV lidocaine diluent</t>
        </is>
      </c>
      <c r="G32" s="3" t="inlineStr">
        <is>
          <t>Hypersensitivity to ceftriaxone/cephalosporins; do not use in hyperbilirubinemic neonates</t>
        </is>
      </c>
      <c r="H32" s="3" t="inlineStr">
        <is>
          <t>The labels also contraindicate: neonates ≤28 days who need (or are expected to need) IV calcium, including TPN; premature neonates up to postmenstrual age 41 weeks (FDA, SmPC); IV use of lidocaine-containing solutions (FDA, SmPC); and, in the SmPC, severe hypersensitivity to any beta-lactam. The TW insert has a boxed calcium warning.</t>
        </is>
      </c>
      <c r="I32" s="3" t="inlineStr">
        <is>
          <t>US FDA CONTRAINDICATIONS https://dailymed.nlm.nih.gov/dailymed/drugInfo.cfm?setid=8351aa37-552d-471d-b293-c564dcb6ec29 ; UK SmPC 4.3 https://www.medicines.org.uk/emc/product/15077/smpc ; TW insert 2.3</t>
        </is>
      </c>
      <c r="J32" s="3" t="inlineStr">
        <is>
          <t>Open</t>
        </is>
      </c>
      <c r="K32" s="3" t="inlineStr"/>
    </row>
    <row r="33">
      <c r="A33" s="3" t="n">
        <v>294</v>
      </c>
      <c r="B33" s="3" t="inlineStr">
        <is>
          <t>Cefin (Ceftriaxone) (CEF10)</t>
        </is>
      </c>
      <c r="C33" s="7" t="inlineStr">
        <is>
          <t>High</t>
        </is>
      </c>
      <c r="D33" s="3" t="inlineStr">
        <is>
          <t>Contraindication/warning</t>
        </is>
      </c>
      <c r="E33" s="3" t="inlineStr">
        <is>
          <t>Missing boxed warning</t>
        </is>
      </c>
      <c r="F33" s="3" t="inlineStr">
        <is>
          <t>Add premature neonate and neonatal IV-calcium contraindications; severe beta-lactam allergy</t>
        </is>
      </c>
      <c r="G33" s="3" t="inlineStr">
        <is>
          <t>Hypersensitivity to ceftriaxone or other cephalosporins; do not use in hyperbilirubinemic neonates.</t>
        </is>
      </c>
      <c r="H33" s="3" t="inlineStr">
        <is>
          <t>All three labels also contraindicate premature neonates (FDA/SmPC: up to PMA 41 weeks; 仿單: 早產兒). They also contraindicate neonates ≤28 days who need or are expected to need IV calcium, including TPN. The site shows the calcium rule only as a mixing alert. The SmPC also contraindicates use after a severe hypersensitivity reaction to any other β-lactam.</t>
        </is>
      </c>
      <c r="I33" s="3" t="inlineStr">
        <is>
          <t>FDA CONTRAINDICATIONS; SmPC 4.3; 仿單 2.3</t>
        </is>
      </c>
      <c r="J33" s="3" t="inlineStr">
        <is>
          <t>Open</t>
        </is>
      </c>
      <c r="K33" s="3" t="inlineStr"/>
    </row>
    <row r="34">
      <c r="A34" s="3" t="n">
        <v>314</v>
      </c>
      <c r="B34" s="3" t="inlineStr">
        <is>
          <t>Cefmore (Cefoxitin) (CEF08)</t>
        </is>
      </c>
      <c r="C34" s="7" t="inlineStr">
        <is>
          <t>High</t>
        </is>
      </c>
      <c r="D34" s="3" t="inlineStr">
        <is>
          <t>Administration/compatibility</t>
        </is>
      </c>
      <c r="E34" s="3" t="inlineStr"/>
      <c r="F34" s="3" t="inlineStr">
        <is>
          <t>Replace 2.2 mL (IM, 1 g) with IV reconstitution for stocked 2 g vial (10–20 mL per US label)</t>
        </is>
      </c>
      <c r="G34" s="3" t="inlineStr">
        <is>
          <t>1g 裝小瓶（Vial）加 2.2ml的溶劑 (the stocked item is the 2 g vial)</t>
        </is>
      </c>
      <c r="H34" s="3" t="inlineStr">
        <is>
          <t>The TW insert gives no reconstitution volume. The US label constitutes 1 g with at least 10 mL and 2 g with 10 or 20 mL for IV use. Neither source supports 2.2 mL, which looks like IM reconstitution taken from another product, and it describes the 1 g vial although the 2 g vial is stocked.</t>
        </is>
      </c>
      <c r="I34" s="3" t="inlineStr">
        <is>
          <t>US FDA label Table 3 / Preparation of Solution; Taiwan insert (no reconstitution section)</t>
        </is>
      </c>
      <c r="J34" s="3" t="inlineStr">
        <is>
          <t>Open</t>
        </is>
      </c>
      <c r="K34" s="3" t="inlineStr"/>
    </row>
    <row r="35">
      <c r="A35" s="3" t="n">
        <v>300</v>
      </c>
      <c r="B35" s="3" t="inlineStr">
        <is>
          <t>Cefmore (Cefoxitin) (CEF08)</t>
        </is>
      </c>
      <c r="C35" s="7" t="inlineStr">
        <is>
          <t>High</t>
        </is>
      </c>
      <c r="D35" s="3" t="inlineStr">
        <is>
          <t>Dosing – adult</t>
        </is>
      </c>
      <c r="E35" s="3" t="inlineStr"/>
      <c r="F35" s="3" t="inlineStr">
        <is>
          <t>Severe infection: 1 g q4h or 2 g q6–8h; reserve 2 g q4h/3 g q6h for e.g. gas gangrene</t>
        </is>
      </c>
      <c r="G35" s="3" t="inlineStr">
        <is>
          <t>In severe infections: 2 g IV Q4H or 3 g IV Q6H</t>
        </is>
      </c>
      <c r="H35" s="3" t="inlineStr">
        <is>
          <t>Moderately severe or severe infections: 1 g q4h or 2 g q6-8h (6-8 g/day). 2 g q4h or 3 g q6h (12 g/day) is the tier for infections needing higher doses, e.g. gas gangrene.</t>
        </is>
      </c>
      <c r="I35" s="3" t="inlineStr">
        <is>
          <t>Taiwan 仿單 §3.1 table; US FDA label Table 1 – https://dailymed.nlm.nih.gov/dailymed/drugInfo.cfm?setid=658a0dc6-6da5-44dc-94f2-1211619297f7</t>
        </is>
      </c>
      <c r="J35" s="3" t="inlineStr">
        <is>
          <t>Open</t>
        </is>
      </c>
      <c r="K35" s="3" t="inlineStr"/>
    </row>
    <row r="36">
      <c r="A36" s="3" t="n">
        <v>308</v>
      </c>
      <c r="B36" s="3" t="inlineStr">
        <is>
          <t>Cefmore (Cefoxitin) (CEF08)</t>
        </is>
      </c>
      <c r="C36" s="7" t="inlineStr">
        <is>
          <t>High</t>
        </is>
      </c>
      <c r="D36" s="3" t="inlineStr">
        <is>
          <t>Dosing – adult</t>
        </is>
      </c>
      <c r="E36" s="3" t="inlineStr"/>
      <c r="F36" s="3" t="inlineStr">
        <is>
          <t>Severe: 1 g q4h or 2 g q6–8h; 12 g/day tier only for higher-dose infections</t>
        </is>
      </c>
      <c r="G36" s="3" t="inlineStr">
        <is>
          <t>In severe infections: 2 g IV Q4H or 3 g IV Q6H</t>
        </is>
      </c>
      <c r="H36" s="3" t="inlineStr">
        <is>
          <t>Moderately severe/severe: 1 g q4h or 2 g q6-8h (6-8 g/day). 2 g q4h or 3 g q6h (12 g/day) is the tier for infections needing higher doses, e.g., gas gangrene.</t>
        </is>
      </c>
      <c r="I36" s="3" t="inlineStr">
        <is>
          <t>Taiwan insert §3.1 table; US FDA label Table 1</t>
        </is>
      </c>
      <c r="J36" s="3" t="inlineStr">
        <is>
          <t>Open</t>
        </is>
      </c>
      <c r="K36" s="3" t="inlineStr"/>
    </row>
    <row r="37">
      <c r="A37" s="3" t="n">
        <v>301</v>
      </c>
      <c r="B37" s="3" t="inlineStr">
        <is>
          <t>Cefmore (Cefoxitin) (CEF08)</t>
        </is>
      </c>
      <c r="C37" s="7" t="inlineStr">
        <is>
          <t>High</t>
        </is>
      </c>
      <c r="D37" s="3" t="inlineStr">
        <is>
          <t>Dosing – renal/dialysis</t>
        </is>
      </c>
      <c r="E37" s="3" t="inlineStr">
        <is>
          <t>Renal table outdated</t>
        </is>
      </c>
      <c r="F37" s="3" t="inlineStr">
        <is>
          <t>Add 1–2 g loading dose, CrCl &lt;5 band 0.5–1 g q24–48h, HD loading after each session; escape '&lt;'</t>
        </is>
      </c>
      <c r="G37" s="3" t="inlineStr">
        <is>
          <t>Four rows. Row 4 is truncated on the web page and reads only 'ClCr', so the &lt;5 mL/min band is not shown (probably an HTML '&lt;' rendering bug). No loading dose and no haemodialysis instruction.</t>
        </is>
      </c>
      <c r="H37" s="3" t="inlineStr">
        <is>
          <t>Loading dose 1-2 g. CrCl &lt;5: 0.5-1 g q24-48h. HD: give the 1-2 g loading dose after each dialysis, then maintenance per table.</t>
        </is>
      </c>
      <c r="I37" s="3" t="inlineStr">
        <is>
          <t>US FDA label D&amp;A + Table 2; Taiwan 仿單 §3.3</t>
        </is>
      </c>
      <c r="J37" s="3" t="inlineStr">
        <is>
          <t>Open</t>
        </is>
      </c>
      <c r="K37" s="3" t="inlineStr"/>
    </row>
    <row r="38">
      <c r="A38" s="3" t="n">
        <v>310</v>
      </c>
      <c r="B38" s="3" t="inlineStr">
        <is>
          <t>Cefmore (Cefoxitin) (CEF08)</t>
        </is>
      </c>
      <c r="C38" s="7" t="inlineStr">
        <is>
          <t>High</t>
        </is>
      </c>
      <c r="D38" s="3" t="inlineStr">
        <is>
          <t>Dosing – renal/dialysis</t>
        </is>
      </c>
      <c r="E38" s="3" t="inlineStr">
        <is>
          <t>Renal table outdated</t>
        </is>
      </c>
      <c r="F38" s="3" t="inlineStr">
        <is>
          <t>Add loading dose, HD post-session dose, and CrCl &lt;5 band; fix '&lt;' rendering</t>
        </is>
      </c>
      <c r="G38" s="3" t="inlineStr">
        <is>
          <t>4 CrCl bands only. No loading dose and no hemodialysis guidance. The 4th line is stored as raw 'ClCr &lt;5 mL/minute' with an unescaped '&lt;', so a browser can drop it (the HTML-to-text view showed only '4. ClCr').</t>
        </is>
      </c>
      <c r="H38" s="3" t="inlineStr">
        <is>
          <t>Loading 1-2 g, then maintenance per table. On hemodialysis, give the 1-2 g loading dose after each session. CrCl &lt;5: 0.5-1 g q24-48h.</t>
        </is>
      </c>
      <c r="I38" s="3" t="inlineStr">
        <is>
          <t>US FDA label DOSAGE AND ADMINISTRATION (loading dose, hemodialysis, Table 2); Taiwan insert §3.3</t>
        </is>
      </c>
      <c r="J38" s="3" t="inlineStr">
        <is>
          <t>Open</t>
        </is>
      </c>
      <c r="K38" s="3" t="inlineStr"/>
    </row>
    <row r="39">
      <c r="A39" s="3" t="n">
        <v>7</v>
      </c>
      <c r="B39" s="3" t="inlineStr">
        <is>
          <t>Colistin (COL04)</t>
        </is>
      </c>
      <c r="C39" s="7" t="inlineStr">
        <is>
          <t>High</t>
        </is>
      </c>
      <c r="D39" s="3" t="inlineStr">
        <is>
          <t>Dosing – adult</t>
        </is>
      </c>
      <c r="E39" s="3" t="inlineStr"/>
      <c r="F39" s="3" t="inlineStr">
        <is>
          <t>Correct strength: 2 MIU ≈ 66.8 mg CBA ≈ 160 mg CMS; label units explicitly</t>
        </is>
      </c>
      <c r="G39" s="3" t="inlineStr">
        <is>
          <t>"Sodium Colistin Methanesulfonate 66.6 mg (2 MIU)/Vial"</t>
        </is>
      </c>
      <c r="H39" s="3" t="inlineStr">
        <is>
          <t>2 MIU ≈ 66.8 mg colistin base activity (CBA) ≈ 160 mg CMS. 66.6 vs 66.8 also inconsistent</t>
        </is>
      </c>
      <c r="I39" s="3" t="inlineStr">
        <is>
          <t>UK SmPC conversion table</t>
        </is>
      </c>
      <c r="J39" s="3" t="inlineStr">
        <is>
          <t>Open</t>
        </is>
      </c>
      <c r="K39" s="3" t="inlineStr"/>
    </row>
    <row r="40">
      <c r="A40" s="3" t="n">
        <v>5</v>
      </c>
      <c r="B40" s="3" t="inlineStr">
        <is>
          <t>Colistin (COL04)</t>
        </is>
      </c>
      <c r="C40" s="7" t="inlineStr">
        <is>
          <t>High</t>
        </is>
      </c>
      <c r="D40" s="3" t="inlineStr">
        <is>
          <t>Dosing – renal/dialysis</t>
        </is>
      </c>
      <c r="E40" s="3" t="inlineStr">
        <is>
          <t>Renal table outdated</t>
        </is>
      </c>
      <c r="F40" s="3" t="inlineStr">
        <is>
          <t>Fix severe renal row: 1.5 mg/kg every 36 h for CrCl 10–29 (not per day/100 mg)</t>
        </is>
      </c>
      <c r="G40" s="3" t="inlineStr">
        <is>
          <t>"1.5 mg/kg/day OR 100 mg/day, every 36 hours"</t>
        </is>
      </c>
      <c r="H40" s="3" t="inlineStr">
        <is>
          <t>**1.5 mg/kg every 36 hours** (≈1 mg/kg/day), CrCl 10–29</t>
        </is>
      </c>
      <c r="I40" s="3" t="inlineStr">
        <is>
          <t>US label (Coly-Mycin M), Dosage table</t>
        </is>
      </c>
      <c r="J40" s="3" t="inlineStr">
        <is>
          <t>Open</t>
        </is>
      </c>
      <c r="K40" s="3" t="inlineStr"/>
    </row>
    <row r="41">
      <c r="A41" s="3" t="n">
        <v>331</v>
      </c>
      <c r="B41" s="3" t="inlineStr">
        <is>
          <t>Cravit (levofloxacin) (CRA03, LEV08)</t>
        </is>
      </c>
      <c r="C41" s="7" t="inlineStr">
        <is>
          <t>High</t>
        </is>
      </c>
      <c r="D41" s="3" t="inlineStr">
        <is>
          <t>Adverse effects</t>
        </is>
      </c>
      <c r="E41" s="3" t="inlineStr">
        <is>
          <t>Missing boxed warning</t>
        </is>
      </c>
      <c r="F41" s="3" t="inlineStr">
        <is>
          <t>Add FQ boxed warnings: tendon rupture, neuropathy, CNS, MG, QT, aortic aneurysm, hepatotoxicity, dysglycemia</t>
        </is>
      </c>
      <c r="G41" s="3" t="inlineStr">
        <is>
          <t>GI upset, headache, insomnia, dizziness (the Chinese note mentions tendinitis and dysglycaemia)</t>
        </is>
      </c>
      <c r="H41" s="3" t="inlineStr">
        <is>
          <t>Boxed-warning and W&amp;P FQ class risks are missing: tendinitis/rupture, peripheral neuropathy (may be irreversible), CNS/psychiatric effects, MG exacerbation, QT prolongation, aortic aneurysm/dissection, hepatotoxicity, dysglycemia</t>
        </is>
      </c>
      <c r="I41" s="3" t="inlineStr">
        <is>
          <t>US FDA label sec 5.1–5.13; Taiwan 仿單 特殊警語 (衛授食字第1141411455號)</t>
        </is>
      </c>
      <c r="J41" s="3" t="inlineStr">
        <is>
          <t>Open</t>
        </is>
      </c>
      <c r="K41" s="3" t="inlineStr"/>
    </row>
    <row r="42">
      <c r="A42" s="3" t="n">
        <v>340</v>
      </c>
      <c r="B42" s="3" t="inlineStr">
        <is>
          <t>Cravit (levofloxacin) (CRA03, LEV08)</t>
        </is>
      </c>
      <c r="C42" s="7" t="inlineStr">
        <is>
          <t>High</t>
        </is>
      </c>
      <c r="D42" s="3" t="inlineStr">
        <is>
          <t>Adverse effects</t>
        </is>
      </c>
      <c r="E42" s="3" t="inlineStr">
        <is>
          <t>Missing boxed warning</t>
        </is>
      </c>
      <c r="F42" s="3" t="inlineStr">
        <is>
          <t>Add FQ boxed/TFDA warnings: tendinopathy, neuropathy, CNS/psychiatric, MG, QT, aortic, dysglycaemia</t>
        </is>
      </c>
      <c r="G42" s="3" t="inlineStr">
        <is>
          <t>Nausea, headache, diarrhea, insomnia, dizziness, and constipation</t>
        </is>
      </c>
      <c r="H42" s="3" t="inlineStr">
        <is>
          <t>Leaves out the boxed and TFDA-mandated FQ warnings: tendinitis/rupture, peripheral neuropathy, CNS/psychiatric effects, MG exacerbation, QT prolongation, aortic aneurysm/dissection, dysglycaemia (FDA 5.1–5.13; TFDA 衛授食字第1141411455號)</t>
        </is>
      </c>
      <c r="I42" s="3" t="inlineStr">
        <is>
          <t>https://dailymed.nlm.nih.gov/dailymed/drugInfo.cfm?setid=5a65b2bc-9edc-f193-e063-6394a90a0104</t>
        </is>
      </c>
      <c r="J42" s="3" t="inlineStr">
        <is>
          <t>Open</t>
        </is>
      </c>
      <c r="K42" s="3" t="inlineStr"/>
    </row>
    <row r="43">
      <c r="A43" s="3" t="n">
        <v>333</v>
      </c>
      <c r="B43" s="3" t="inlineStr">
        <is>
          <t>Cravit (levofloxacin) (CRA03, LEV08)</t>
        </is>
      </c>
      <c r="C43" s="7" t="inlineStr">
        <is>
          <t>High</t>
        </is>
      </c>
      <c r="D43" s="3" t="inlineStr">
        <is>
          <t>Contraindication/warning</t>
        </is>
      </c>
      <c r="E43" s="3" t="inlineStr"/>
      <c r="F43" s="3" t="inlineStr">
        <is>
          <t>Add contraindications: epilepsy, prior FQ tendinopathy, pregnancy, breastfeeding (children &lt;18 UK)</t>
        </is>
      </c>
      <c r="G43" s="3" t="inlineStr">
        <is>
          <t>Not reported in the brief's summary of the monograph (not independently re-checked)</t>
        </is>
      </c>
      <c r="H43" s="3" t="inlineStr">
        <is>
          <t>Taiwan inserts and UK SmPC: epilepsy, history of FQ-related tendinopathy, pregnancy, breastfeeding (SmPC also children &lt;18 y)</t>
        </is>
      </c>
      <c r="I43" s="3" t="inlineStr">
        <is>
          <t>Taiwan 仿單 Cravit sec 4; P.L. 750 mg sec 4; UK SmPC 4.3</t>
        </is>
      </c>
      <c r="J43" s="3" t="inlineStr">
        <is>
          <t>Open</t>
        </is>
      </c>
      <c r="K43" s="3" t="inlineStr"/>
    </row>
    <row r="44">
      <c r="A44" s="3" t="n">
        <v>339</v>
      </c>
      <c r="B44" s="3" t="inlineStr">
        <is>
          <t>Cravit (levofloxacin) (CRA03, LEV08)</t>
        </is>
      </c>
      <c r="C44" s="7" t="inlineStr">
        <is>
          <t>High</t>
        </is>
      </c>
      <c r="D44" s="3" t="inlineStr">
        <is>
          <t>Contraindication/warning</t>
        </is>
      </c>
      <c r="E44" s="3" t="inlineStr"/>
      <c r="F44" s="3" t="inlineStr">
        <is>
          <t>Add contraindications: epilepsy, FQ tendinopathy history, pregnancy, breastfeeding</t>
        </is>
      </c>
      <c r="G44" s="3" t="inlineStr">
        <is>
          <t>Hypersensitivity to levofloxacin, other fluoroquinolones</t>
        </is>
      </c>
      <c r="H44" s="3" t="inlineStr">
        <is>
          <t>Taiwan inserts (Cravit tab/IV sec 4; P.L. 750 sec 4) also contraindicate use in epilepsy, a history of FQ-related tendinopathy, pregnancy and breastfeeding</t>
        </is>
      </c>
      <c r="I44" s="3" t="inlineStr">
        <is>
          <t>https://mcp.fda.gov.tw/im_detail_1/%E8%A1%9B%E7%BD%B2%E8%97%A5%E8%A3%BD%E5%AD%97%E7%AC%AC057839%E8%99%9F</t>
        </is>
      </c>
      <c r="J44" s="3" t="inlineStr">
        <is>
          <t>Open</t>
        </is>
      </c>
      <c r="K44" s="3" t="inlineStr"/>
    </row>
    <row r="45">
      <c r="A45" s="3" t="n">
        <v>336</v>
      </c>
      <c r="B45" s="3" t="inlineStr">
        <is>
          <t>Cravit (levofloxacin) (CRA03, LEV08)</t>
        </is>
      </c>
      <c r="C45" s="7" t="inlineStr">
        <is>
          <t>High</t>
        </is>
      </c>
      <c r="D45" s="3" t="inlineStr">
        <is>
          <t>Dosing – adult</t>
        </is>
      </c>
      <c r="E45" s="3" t="inlineStr"/>
      <c r="F45" s="3" t="inlineStr">
        <is>
          <t>Skin: cSSSI 750 mg QD 7–14 d; uSSSI 500 mg QD 7–10 d; 5-day course only CAP/ABS/cUTI</t>
        </is>
      </c>
      <c r="G45" s="3" t="inlineStr">
        <is>
          <t>'pneumonia, sinusitis, and skin infections－750 mg QD for 5 days'</t>
        </is>
      </c>
      <c r="H45" s="3" t="inlineStr">
        <is>
          <t>FDA Table 1 and P.L. 750 仿單 3.1: cSSSI 750 mg QD ×7–14 d; uncomplicated SSSI 500 mg QD ×7–10 d. The 5-day 750 mg course applies only to CAP, ABS and cUTI/AP</t>
        </is>
      </c>
      <c r="I45" s="3" t="inlineStr">
        <is>
          <t>https://dailymed.nlm.nih.gov/dailymed/drugInfo.cfm?setid=5a65b2bc-9edc-f193-e063-6394a90a0104 ; https://mcp.fda.gov.tw/im_detail_1/%E8%A1%9B%E7%BD%B2%E8%97%A5%E8%A3%BD%E5%AD%97%E7%AC%AC057839%E8%99%9F</t>
        </is>
      </c>
      <c r="J45" s="3" t="inlineStr">
        <is>
          <t>Open</t>
        </is>
      </c>
      <c r="K45" s="3" t="inlineStr"/>
    </row>
    <row r="46">
      <c r="A46" s="3" t="n">
        <v>327</v>
      </c>
      <c r="B46" s="3" t="inlineStr">
        <is>
          <t>Cravit (levofloxacin) (CRA03, LEV08)</t>
        </is>
      </c>
      <c r="C46" s="7" t="inlineStr">
        <is>
          <t>High</t>
        </is>
      </c>
      <c r="D46" s="3" t="inlineStr">
        <is>
          <t>Dosing – renal/dialysis</t>
        </is>
      </c>
      <c r="E46" s="3" t="inlineStr">
        <is>
          <t>Renal table outdated</t>
        </is>
      </c>
      <c r="F46" s="3" t="inlineStr">
        <is>
          <t>Restore full renal table (truncated): 750→q48h; 500→250 q24h/q48h; HD/CAPD rows</t>
        </is>
      </c>
      <c r="G46" s="3" t="inlineStr">
        <is>
          <t>Text is cut off mid-entry: '...Clcr 20~49 ml/min: 250m'</t>
        </is>
      </c>
      <c r="H46" s="3" t="inlineStr">
        <is>
          <t>Full table: US 750 mg q24h → 20–49: 750 mg q48h; 10–19/HD/CAPD: 750 ×1 then 500 mg q48h. 500 mg q24h → 20–49: 500 ×1 then 250 mg q24h; 10–19/HD/CAPD: 500 ×1 then 250 mg q48h.</t>
        </is>
      </c>
      <c r="I46" s="3" t="inlineStr">
        <is>
          <t>US FDA label sec 2.3 Table 3: https://dailymed.nlm.nih.gov/dailymed/drugInfo.cfm?setid=5a65b2bc-9edc-f193-e063-6394a90a0104</t>
        </is>
      </c>
      <c r="J46" s="3" t="inlineStr">
        <is>
          <t>Open</t>
        </is>
      </c>
      <c r="K46" s="3" t="inlineStr"/>
    </row>
    <row r="47">
      <c r="A47" s="3" t="n">
        <v>334</v>
      </c>
      <c r="B47" s="3" t="inlineStr">
        <is>
          <t>Cravit (levofloxacin) (CRA03, LEV08)</t>
        </is>
      </c>
      <c r="C47" s="7" t="inlineStr">
        <is>
          <t>High</t>
        </is>
      </c>
      <c r="D47" s="3" t="inlineStr">
        <is>
          <t>Dosing – renal/dialysis</t>
        </is>
      </c>
      <c r="E47" s="3" t="inlineStr">
        <is>
          <t>Renal table outdated</t>
        </is>
      </c>
      <c r="F47" s="3" t="inlineStr">
        <is>
          <t>Restore truncated renal text; US table for LEV08; TW 125 mg-step table for Cravit</t>
        </is>
      </c>
      <c r="G47" s="3" t="inlineStr">
        <is>
          <t>Text cut off mid-sentence: '...After an initial dose of 500mg QD, Clcr 20~49 ml/min: 250m'. The CRA01 Cravit IV entry has the full US-style text.</t>
        </is>
      </c>
      <c r="H47" s="3" t="inlineStr">
        <is>
          <t>Full US table (FDA 2.3 Table 3) for LEV08. For Cravit, the TFDA 仿單 sec 3.3 has the EU-style 125 mg-step table</t>
        </is>
      </c>
      <c r="I47" s="3" t="inlineStr">
        <is>
          <t>https://pharmacy.fjuh.fju.edu.tw/Key_Search/P4?query=CRA03 ; https://pharmacy.fjuh.fju.edu.tw/Key_Search/P4?query=LEV08 ; https://dailymed.nlm.nih.gov/dailymed/drugInfo.cfm?setid=5a65b2bc-9edc-f193-e063-6394a90a0104</t>
        </is>
      </c>
      <c r="J47" s="3" t="inlineStr">
        <is>
          <t>Open</t>
        </is>
      </c>
      <c r="K47" s="3" t="inlineStr"/>
    </row>
    <row r="48">
      <c r="A48" s="3" t="n">
        <v>181</v>
      </c>
      <c r="B48" s="3" t="inlineStr">
        <is>
          <t>Cresemba (Isavuconazonium) (CRE02, CRE03)</t>
        </is>
      </c>
      <c r="C48" s="7" t="inlineStr">
        <is>
          <t>High</t>
        </is>
      </c>
      <c r="D48" s="3" t="inlineStr">
        <is>
          <t>Administration/compatibility</t>
        </is>
      </c>
      <c r="E48" s="3" t="inlineStr"/>
      <c r="F48" s="3" t="inlineStr">
        <is>
          <t>Add mandatory 0.2–1.2 µm PES in-line filter; no bolus; no co-infusion</t>
        </is>
      </c>
      <c r="G48" s="3" t="inlineStr">
        <is>
          <t>Dilute in NS or D5W (≥250 mL), infuse over ≥1 h. No in-line filter mentioned.</t>
        </is>
      </c>
      <c r="H48" s="3" t="inlineStr">
        <is>
          <t>The infusion must be given through an in-line filter with a PES microporous membrane, pore size 0.2–1.2 µm. It must not be given as a bolus or with other IV drugs.</t>
        </is>
      </c>
      <c r="I48" s="3" t="inlineStr">
        <is>
          <t>Taiwan insert 027796 §3.1/§3.2; US FDA label §2.1/§2.5, https://dailymed.nlm.nih.gov/dailymed/drugInfo.cfm?setid=8f7f73b8-586a-4df0-935f-fecd4696c16c</t>
        </is>
      </c>
      <c r="J48" s="3" t="inlineStr">
        <is>
          <t>Open</t>
        </is>
      </c>
      <c r="K48" s="3" t="inlineStr"/>
    </row>
    <row r="49">
      <c r="A49" s="3" t="n">
        <v>190</v>
      </c>
      <c r="B49" s="3" t="inlineStr">
        <is>
          <t>Cresemba (Isavuconazonium) (CRE02, CRE03)</t>
        </is>
      </c>
      <c r="C49" s="7" t="inlineStr">
        <is>
          <t>High</t>
        </is>
      </c>
      <c r="D49" s="3" t="inlineStr">
        <is>
          <t>Administration/compatibility</t>
        </is>
      </c>
      <c r="E49" s="3" t="inlineStr"/>
      <c r="F49" s="3" t="inlineStr">
        <is>
          <t>Add PES in-line filter 0.2–1.2 µm; dedicated line; flush before/after</t>
        </is>
      </c>
      <c r="G49" s="3" t="inlineStr">
        <is>
          <t>IVD; NS/D5W ≥250 mL; ≥1 h (no filter mentioned)</t>
        </is>
      </c>
      <c r="H49" s="3" t="inlineStr">
        <is>
          <t>Taiwan injection insert §3.1/§3.2: the infusion must go through a PES in-line filter of 0.2–1.2 μm. Do not share the line with other infusions; flush with NS/D5W before and after.</t>
        </is>
      </c>
      <c r="I49" s="3" t="inlineStr">
        <is>
          <t>https://mcp.fda.gov.tw/im_detail_1/%E8%A1%9B%E9%83%A8%E8%97%A5%E8%BC%B8%E5%AD%97%E7%AC%AC027796%E8%99%9F</t>
        </is>
      </c>
      <c r="J49" s="3" t="inlineStr">
        <is>
          <t>Open</t>
        </is>
      </c>
      <c r="K49" s="3" t="inlineStr"/>
    </row>
    <row r="50">
      <c r="A50" s="3" t="n">
        <v>180</v>
      </c>
      <c r="B50" s="3" t="inlineStr">
        <is>
          <t>Cresemba (Isavuconazonium) (CRE02, CRE03)</t>
        </is>
      </c>
      <c r="C50" s="7" t="inlineStr">
        <is>
          <t>High</t>
        </is>
      </c>
      <c r="D50" s="3" t="inlineStr">
        <is>
          <t>Pharmacokinetics/other</t>
        </is>
      </c>
      <c r="E50" s="3" t="inlineStr"/>
      <c r="F50" s="3" t="inlineStr">
        <is>
          <t>Label strengths as isavuconazole base (200 mg vial = 372.6 mg sulfate); CRE03 is capsule</t>
        </is>
      </c>
      <c r="G50" s="3" t="inlineStr">
        <is>
          <t>'Isavuconazonium 針 200 mg' and 'Isavuconazonium 100mg tab', while the dose is written as 372 mg</t>
        </is>
      </c>
      <c r="H50" s="3" t="inlineStr">
        <is>
          <t>200 mg and 100 mg are isavuconazole (base). The vial contains 372.6 mg and each capsule 186.3 mg isavuconazonium sulfate. CRE03 is a hard capsule, not a tablet. Mixing the salt name with base strengths, and 372 mg doses with a '200 mg' product label, risks dosing errors.</t>
        </is>
      </c>
      <c r="I50" s="3" t="inlineStr">
        <is>
          <t>Taiwan insert 027796 §1.1, '每支小瓶含有 200 mg isavuconazole（相當於372.6 mg isavuconazonium sulfate）'; 027795 §1.1/§1.3, '每顆膠囊含有 100 mg isavuconazole（相當於 186.3 mg isavuconazonium sulfate）… 劑型 膠囊劑'</t>
        </is>
      </c>
      <c r="J50" s="3" t="inlineStr">
        <is>
          <t>Open</t>
        </is>
      </c>
      <c r="K50" s="3" t="inlineStr"/>
    </row>
    <row r="51">
      <c r="A51" s="3" t="n">
        <v>189</v>
      </c>
      <c r="B51" s="3" t="inlineStr">
        <is>
          <t>Cresemba (Isavuconazonium) (CRE02, CRE03)</t>
        </is>
      </c>
      <c r="C51" s="7" t="inlineStr">
        <is>
          <t>High</t>
        </is>
      </c>
      <c r="D51" s="3" t="inlineStr">
        <is>
          <t>Pharmacokinetics/other</t>
        </is>
      </c>
      <c r="E51" s="3" t="inlineStr"/>
      <c r="F51" s="3" t="inlineStr">
        <is>
          <t>Fix strength/salt naming (isavuconazole base vs sulfate) and CRE03 dosage form to capsule</t>
        </is>
      </c>
      <c r="G51" s="3" t="inlineStr">
        <is>
          <t>'Isavuconazonium 針 200 mg', 規格 200mg/vial; CRE03 規格 'Isavuconazonium 100mg tab' (劑型 Cap)</t>
        </is>
      </c>
      <c r="H51" s="3" t="inlineStr">
        <is>
          <t>The 200 mg and 100 mg figures are isavuconazole, not isavuconazonium. Per the Taiwan inserts §1.1, one vial = 200 mg isavuconazole (372.6 mg isavuconazonium sulfate) and one capsule = 100 mg isavuconazole (186 mg sulfate). CRE03 is a capsule, not a tablet.</t>
        </is>
      </c>
      <c r="I51" s="3" t="inlineStr">
        <is>
          <t>https://mcp.fda.gov.tw/im_detail_1/%E8%A1%9B%E9%83%A8%E8%97%A5%E8%BC%B8%E5%AD%97%E7%AC%AC027796%E8%99%9F ; https://mcp.fda.gov.tw/im_detail_1/%E8%A1%9B%E9%83%A8%E8%97%A5%E8%BC%B8%E5%AD%97%E7%AC%AC027795%E8%99%9F</t>
        </is>
      </c>
      <c r="J51" s="3" t="inlineStr">
        <is>
          <t>Open</t>
        </is>
      </c>
      <c r="K51" s="3" t="inlineStr"/>
    </row>
    <row r="52">
      <c r="A52" s="3" t="n">
        <v>348</v>
      </c>
      <c r="B52" s="3" t="inlineStr">
        <is>
          <t>Cubicin (Daptomycin) (CUB01)</t>
        </is>
      </c>
      <c r="C52" s="7" t="inlineStr">
        <is>
          <t>High</t>
        </is>
      </c>
      <c r="D52" s="3" t="inlineStr">
        <is>
          <t>Contraindication/warning</t>
        </is>
      </c>
      <c r="E52" s="3" t="inlineStr">
        <is>
          <t>Missing SCAR (SJS/TEN/DRESS)</t>
        </is>
      </c>
      <c r="F52" s="3" t="inlineStr">
        <is>
          <t>Add baseline/weekly CPK monitoring with stop thresholds; add eosinophilic pneumonia, DRESS, TIN, neuropathy</t>
        </is>
      </c>
      <c r="G52" s="3" t="inlineStr">
        <is>
          <t>Lists GI effects, anaemia, rash, itching, rhabdomyolysis and the statin warning; no CPK monitoring and no eosinophilic pneumonia</t>
        </is>
      </c>
      <c r="H52" s="3" t="inlineStr">
        <is>
          <t>All labels require baseline/weekly CPK monitoring with stop thresholds (&gt;1000 U/L with symptoms, &gt;2000 U/L without) and warn of eosinophilic pneumonia, DRESS, TIN and peripheral neuropathy. This is an omission rather than a direct contradiction.</t>
        </is>
      </c>
      <c r="I52" s="3" t="inlineStr">
        <is>
          <t>US FDA label §5.2–5.6; TW insert 警語及注意事項 5.1.2–5.1.6</t>
        </is>
      </c>
      <c r="J52" s="3" t="inlineStr">
        <is>
          <t>Open</t>
        </is>
      </c>
      <c r="K52" s="3" t="inlineStr"/>
    </row>
    <row r="53">
      <c r="A53" s="3" t="n">
        <v>355</v>
      </c>
      <c r="B53" s="3" t="inlineStr">
        <is>
          <t>Cubicin (Daptomycin) (CUB01)</t>
        </is>
      </c>
      <c r="C53" s="7" t="inlineStr">
        <is>
          <t>High</t>
        </is>
      </c>
      <c r="D53" s="3" t="inlineStr">
        <is>
          <t>Contraindication/warning</t>
        </is>
      </c>
      <c r="E53" s="3" t="inlineStr">
        <is>
          <t>Missing SCAR (SJS/TEN/DRESS)</t>
        </is>
      </c>
      <c r="F53" s="3" t="inlineStr">
        <is>
          <t>Add weekly CPK monitoring, stop thresholds, eosinophilic pneumonia, DRESS, TIN, neuropathy warnings</t>
        </is>
      </c>
      <c r="G53" s="3" t="inlineStr">
        <is>
          <t>Lists diarrhoea, vomiting, constipation, anaemia, rash, pruritus, erythema and statin myotoxicity. 主要副作用: 橫紋肌溶解症、過敏反應、腸胃道症狀. No CPK monitoring, no eosinophilic pneumonia.</t>
        </is>
      </c>
      <c r="H53" s="3" t="inlineStr">
        <is>
          <t>CPK must be monitored weekly (more often with statins or renal impairment). Stop if CPK &gt;1,000 U/L with symptoms or &gt;2,000 U/L without. Eosinophilic pneumonia, DRESS, TIN and peripheral neuropathy are boxed in Warnings.</t>
        </is>
      </c>
      <c r="I53" s="3" t="inlineStr">
        <is>
          <t>仿單 5.1.2-5.1.6; US label §5.2-5.6</t>
        </is>
      </c>
      <c r="J53" s="3" t="inlineStr">
        <is>
          <t>Open</t>
        </is>
      </c>
      <c r="K53" s="3" t="inlineStr"/>
    </row>
    <row r="54">
      <c r="A54" s="3" t="n">
        <v>347</v>
      </c>
      <c r="B54" s="3" t="inlineStr">
        <is>
          <t>Cubicin (Daptomycin) (CUB01)</t>
        </is>
      </c>
      <c r="C54" s="7" t="inlineStr">
        <is>
          <t>High</t>
        </is>
      </c>
      <c r="D54" s="3" t="inlineStr">
        <is>
          <t>Dosing – pediatric</t>
        </is>
      </c>
      <c r="E54" s="3" t="inlineStr"/>
      <c r="F54" s="3" t="inlineStr">
        <is>
          <t>Remove infant &lt;1 y doses and q12h; use label age bands, once daily (cSSSI 5–10, SAB 7–12 mg/kg q24h)</t>
        </is>
      </c>
      <c r="G54" s="3" t="inlineStr">
        <is>
          <t>Includes infants under 1 year (e.g. 6 mg/kg q12h) and age bands different from the labels</t>
        </is>
      </c>
      <c r="H54" s="3" t="inlineStr">
        <is>
          <t>Avoid under 12 months (neonatal dog neuromuscular toxicity, US §5.7/TW 5.1.7). No label recommends q12h dosing; once daily only (US §5.2). Label bands: cSSSI 12–17 y 5, 7–11 y 7, 2–6 y 9, 1–&lt;2 y 10 mg/kg q24h; bacteremia 12–17 y 7, 7–11 y 9, 1–6 y 12 mg/kg q24h.</t>
        </is>
      </c>
      <c r="I54" s="3" t="inlineStr">
        <is>
          <t>US FDA label §2.3, §2.5, §5.2, §5.7; TW insert 表一/表二; UK SmPC 4.2</t>
        </is>
      </c>
      <c r="J54" s="3" t="inlineStr">
        <is>
          <t>Open</t>
        </is>
      </c>
      <c r="K54" s="3" t="inlineStr"/>
    </row>
    <row r="55">
      <c r="A55" s="3" t="n">
        <v>353</v>
      </c>
      <c r="B55" s="3" t="inlineStr">
        <is>
          <t>Cubicin (Daptomycin) (CUB01)</t>
        </is>
      </c>
      <c r="C55" s="7" t="inlineStr">
        <is>
          <t>High</t>
        </is>
      </c>
      <c r="D55" s="3" t="inlineStr">
        <is>
          <t>Dosing – pediatric</t>
        </is>
      </c>
      <c r="E55" s="3" t="inlineStr"/>
      <c r="F55" s="3" t="inlineStr">
        <is>
          <t>Delete infant q12h/15 mg/kg doses; avoid &lt;12 months; use fixed label age-band q24h doses</t>
        </is>
      </c>
      <c r="G55" s="3" t="inlineStr">
        <is>
          <t>Infants: 6 mg/kg q12h (one infant 15 mg/kg q12h); infants 8-10 mg/kg q24h; children 7-11: 7-9 mg/kg q24h; ≥12 y and adolescents: 5-7 mg/kg q24h</t>
        </is>
      </c>
      <c r="H55" s="3" t="inlineStr">
        <is>
          <t>Avoid under 12 months (neuromuscular/nervous-system effects in neonatal dogs). Fixed age-band doses: cSSSI 12-17y 5, 7-11y 7, 2-6y 9, 1-&lt;2y 10 mg/kg q24h; SAB 12-17y 7, 7-11y 9, 1-6y 12 mg/kg q24h. Paediatric renal dosing not established.</t>
        </is>
      </c>
      <c r="I55" s="3" t="inlineStr">
        <is>
          <t>仿單 3.1.3, 3.1.5, 5.1.7; US label §2.3, §2.5, §5.7</t>
        </is>
      </c>
      <c r="J55" s="3" t="inlineStr">
        <is>
          <t>Open</t>
        </is>
      </c>
      <c r="K55" s="3" t="inlineStr"/>
    </row>
    <row r="56">
      <c r="A56" s="3" t="n">
        <v>145</v>
      </c>
      <c r="B56" s="3" t="inlineStr">
        <is>
          <t>Diflucan (Fluconazole) (DIF02, FLU22)</t>
        </is>
      </c>
      <c r="C56" s="7" t="inlineStr">
        <is>
          <t>High</t>
        </is>
      </c>
      <c r="D56" s="3" t="inlineStr">
        <is>
          <t>Contraindication/warning</t>
        </is>
      </c>
      <c r="E56" s="3" t="inlineStr"/>
      <c r="F56" s="3" t="inlineStr">
        <is>
          <t>Add azole hypersensitivity, terfenadine (≥400 mg/d), cisapride, astemizole contraindications</t>
        </is>
      </c>
      <c r="G56" s="3" t="inlineStr">
        <is>
          <t>Only CYP3A4-metabolised QT-prolonging drugs</t>
        </is>
      </c>
      <c r="H56" s="3" t="inlineStr">
        <is>
          <t>The TW insert §4 also contraindicates hypersensitivity to fluconazole or related azoles, terfenadine with fluconazole ≥400 mg/day, and names cisapride, astemizole, erythromycin, pimozide and quinidine. The UK SmPC 4.3 is the same.</t>
        </is>
      </c>
      <c r="I56" s="3" t="inlineStr">
        <is>
          <t>TW Diflucan IV insert §4 禁忌; UK SmPC §4.3</t>
        </is>
      </c>
      <c r="J56" s="3" t="inlineStr">
        <is>
          <t>Open</t>
        </is>
      </c>
      <c r="K56" s="3" t="inlineStr"/>
    </row>
    <row r="57">
      <c r="A57" s="3" t="n">
        <v>153</v>
      </c>
      <c r="B57" s="3" t="inlineStr">
        <is>
          <t>Diflucan (Fluconazole) (DIF02, FLU22)</t>
        </is>
      </c>
      <c r="C57" s="7" t="inlineStr">
        <is>
          <t>High</t>
        </is>
      </c>
      <c r="D57" s="3" t="inlineStr">
        <is>
          <t>Contraindication/warning</t>
        </is>
      </c>
      <c r="E57" s="3" t="inlineStr"/>
      <c r="F57" s="3" t="inlineStr">
        <is>
          <t>Add terfenadine, cisapride, astemizole contraindications; list azole hypersensitivity as contraindication</t>
        </is>
      </c>
      <c r="G57" s="3" t="inlineStr">
        <is>
          <t>Hypersensitivity (cross-reaction with other azoles: use caution); coadministration with CYP3A4 substrates that prolong QTc (eg, erythromycin, pimozide, quinidine)</t>
        </is>
      </c>
      <c r="H57" s="3" t="inlineStr">
        <is>
          <t>TW inserts §4 and UK SmPC 4.3 also contraindicate terfenadine (with fluconazole ≥400 mg/day multiple doses), cisapride and astemizole. They list hypersensitivity to related azole compounds as a contraindication, not just a caution (the US label says caution).</t>
        </is>
      </c>
      <c r="I57" s="3" t="inlineStr">
        <is>
          <t>TW 仿單 DIFLUCAN IV §4 禁忌; UK SmPC 4.3 https://www.medicines.org.uk/emc/product/15231/smpc</t>
        </is>
      </c>
      <c r="J57" s="3" t="inlineStr">
        <is>
          <t>Open</t>
        </is>
      </c>
      <c r="K57" s="3" t="inlineStr"/>
    </row>
    <row r="58">
      <c r="A58" s="3" t="n">
        <v>144</v>
      </c>
      <c r="B58" s="3" t="inlineStr">
        <is>
          <t>Diflucan (Fluconazole) (DIF02, FLU22)</t>
        </is>
      </c>
      <c r="C58" s="7" t="inlineStr">
        <is>
          <t>High</t>
        </is>
      </c>
      <c r="D58" s="3" t="inlineStr">
        <is>
          <t>Dosing – renal/dialysis</t>
        </is>
      </c>
      <c r="E58" s="3" t="inlineStr">
        <is>
          <t>Renal table outdated</t>
        </is>
      </c>
      <c r="F58" s="3" t="inlineStr">
        <is>
          <t>Align renal bands with TW inserts (incl. q72h/⅓ and q96h/¼ tiers); add HD dose after each session</t>
        </is>
      </c>
      <c r="G58" s="3" t="inlineStr">
        <is>
          <t>DIF02: CrCl &gt;50 no change, CrCl &lt;50 → 50% dose; FLU22: CrCl ≤50 → 50% reduction</t>
        </is>
      </c>
      <c r="H58" s="3" t="inlineStr">
        <is>
          <t>These values follow the US/UK labels (≤50 → 50%, HD 100% after each session), not the hospital's own TW inserts. DIF02 TW insert: &gt;40 normal; 21–40 q48h or ½; 10–20 q72h or ⅓; HD dose after each session. FLU22 TW insert: &gt;50 normal; 21–50 q48h or ½; 11–20 q96h or ¼. DIF02 also uses &lt;50 where the labels say ≤50, and gives no HD instruction.</t>
        </is>
      </c>
      <c r="I58" s="3" t="inlineStr">
        <is>
          <t>TW Diflucan IV insert §3.3; TW Fluene insert §3.3; US FDA label Dosage In Patients With Impaired Renal Function</t>
        </is>
      </c>
      <c r="J58" s="3" t="inlineStr">
        <is>
          <t>Open</t>
        </is>
      </c>
      <c r="K58" s="3" t="inlineStr"/>
    </row>
    <row r="59">
      <c r="A59" s="3" t="n">
        <v>151</v>
      </c>
      <c r="B59" s="3" t="inlineStr">
        <is>
          <t>Diflucan (Fluconazole) (DIF02, FLU22)</t>
        </is>
      </c>
      <c r="C59" s="7" t="inlineStr">
        <is>
          <t>High</t>
        </is>
      </c>
      <c r="D59" s="3" t="inlineStr">
        <is>
          <t>Dosing – renal/dialysis</t>
        </is>
      </c>
      <c r="E59" s="3" t="inlineStr">
        <is>
          <t>Renal table outdated</t>
        </is>
      </c>
      <c r="F59" s="3" t="inlineStr">
        <is>
          <t>Use TW Diflucan IV bands (&gt;40, 21–40, 10–20) after loading days; add HD dosing</t>
        </is>
      </c>
      <c r="G59" s="3" t="inlineStr">
        <is>
          <t>ClCr &gt;50: no adjustment; ClCr &lt;50: 50% of usual daily dose</t>
        </is>
      </c>
      <c r="H59" s="3" t="inlineStr">
        <is>
          <t>The TW insert of the stocked product (Diflucan IV) uses CrCl &gt;40 normal, 21–40 q48h or ½, 10–20 q72h or ⅓, with normal dose on days 1–2 and HD dosing after each session. The US/UK rule uses '≤50' (not '&lt;50') after a loading dose. The hospital entry has no HD guidance.</t>
        </is>
      </c>
      <c r="I59" s="3" t="inlineStr">
        <is>
          <t>TW 仿單 DIFLUCAN IV §3.3 腎功能受損病人 https://mcp.fda.gov.tw/im_detail_1/%E8%A1%9B%E7%BD%B2%E8%97%A5%E8%BC%B8%E5%AD%97%E7%AC%AC018790%E8%99%9F</t>
        </is>
      </c>
      <c r="J59" s="3" t="inlineStr">
        <is>
          <t>Open</t>
        </is>
      </c>
      <c r="K59" s="3" t="inlineStr"/>
    </row>
    <row r="60">
      <c r="A60" s="3" t="n">
        <v>152</v>
      </c>
      <c r="B60" s="3" t="inlineStr">
        <is>
          <t>Diflucan (Fluconazole) (DIF02, FLU22)</t>
        </is>
      </c>
      <c r="C60" s="7" t="inlineStr">
        <is>
          <t>High</t>
        </is>
      </c>
      <c r="D60" s="3" t="inlineStr">
        <is>
          <t>Dosing – renal/dialysis</t>
        </is>
      </c>
      <c r="E60" s="3" t="inlineStr">
        <is>
          <t>Renal table outdated</t>
        </is>
      </c>
      <c r="F60" s="3" t="inlineStr">
        <is>
          <t>Use TW Fluene bands (&gt;50, 21–50 ½, 11–20 ¼ or q96h); add HD full dose post-dialysis</t>
        </is>
      </c>
      <c r="G60" s="3" t="inlineStr">
        <is>
          <t>Maintenance dose: CrCl ≤50 mL/min: reduce dose by 50%</t>
        </is>
      </c>
      <c r="H60" s="3" t="inlineStr">
        <is>
          <t>TW Fluene insert: CrCl &gt;50 normal; 21–50 q48h or ½; 11–20 q96h or ¼; HD: normal dose after each dialysis. The hospital rule follows the US/UK label, not its own TW insert.</t>
        </is>
      </c>
      <c r="I60" s="3" t="inlineStr">
        <is>
          <t>TW 仿單 FLUENE 腎功能不全之劑量 https://mcp.fda.gov.tw/im_detail_1/%E8%A1%9B%E7%BD%B2%E8%97%A5%E8%A3%BD%E5%AD%97%E7%AC%AC041997%E8%99%9F</t>
        </is>
      </c>
      <c r="J60" s="3" t="inlineStr">
        <is>
          <t>Open</t>
        </is>
      </c>
      <c r="K60" s="3" t="inlineStr"/>
    </row>
    <row r="61">
      <c r="A61" s="3" t="n">
        <v>356</v>
      </c>
      <c r="B61" s="3" t="inlineStr">
        <is>
          <t>Ertapenem (ERT01)</t>
        </is>
      </c>
      <c r="C61" s="7" t="inlineStr">
        <is>
          <t>High</t>
        </is>
      </c>
      <c r="D61" s="3" t="inlineStr">
        <is>
          <t>Indication/coverage</t>
        </is>
      </c>
      <c r="E61" s="3" t="inlineStr"/>
      <c r="F61" s="3" t="inlineStr">
        <is>
          <t>Restrict pneumonia to community-acquired; state HAP/VAP not approved (no Pseudomonas/Acinetobacter cover)</t>
        </is>
      </c>
      <c r="G61" s="3" t="inlineStr">
        <is>
          <t>Pneumonia (unqualified)</t>
        </is>
      </c>
      <c r="H61" s="3" t="inlineStr">
        <is>
          <t>Community-acquired pneumonia only. HAP/VAP is not approved (P. aeruginosa and Acinetobacter are resistant).</t>
        </is>
      </c>
      <c r="I61" s="3" t="inlineStr">
        <is>
          <t>US FDA label §1.3; UK SmPC 4.1; TW 仿單 2 適應症 (感染性肺炎 Community Acquired Pneumonia)</t>
        </is>
      </c>
      <c r="J61" s="3" t="inlineStr">
        <is>
          <t>Open</t>
        </is>
      </c>
      <c r="K61" s="3" t="inlineStr"/>
    </row>
    <row r="62">
      <c r="A62" s="3" t="n">
        <v>365</v>
      </c>
      <c r="B62" s="3" t="inlineStr">
        <is>
          <t>Ertapenem (ERT01)</t>
        </is>
      </c>
      <c r="C62" s="7" t="inlineStr">
        <is>
          <t>High</t>
        </is>
      </c>
      <c r="D62" s="3" t="inlineStr">
        <is>
          <t>Indication/coverage</t>
        </is>
      </c>
      <c r="E62" s="3" t="inlineStr"/>
      <c r="F62" s="3" t="inlineStr">
        <is>
          <t>Restrict pneumonia to CAP; HAP/VAP not approved</t>
        </is>
      </c>
      <c r="G62" s="3" t="inlineStr">
        <is>
          <t>Pneumonia</t>
        </is>
      </c>
      <c r="H62" s="3" t="inlineStr">
        <is>
          <t>Community-acquired pneumonia only (HAP/VAP are not approved).</t>
        </is>
      </c>
      <c r="I62" s="3" t="inlineStr">
        <is>
          <t>US label 1.3; UK SmPC 4.1; TW insert 2 (感染性肺炎 Community Acquired Pneumonia)</t>
        </is>
      </c>
      <c r="J62" s="3" t="inlineStr">
        <is>
          <t>Open</t>
        </is>
      </c>
      <c r="K62" s="3" t="inlineStr"/>
    </row>
    <row r="63">
      <c r="A63" s="3" t="n">
        <v>381</v>
      </c>
      <c r="B63" s="3" t="inlineStr">
        <is>
          <t>Flumarin (Flomoxef) (FLU05)</t>
        </is>
      </c>
      <c r="C63" s="7" t="inlineStr">
        <is>
          <t>High</t>
        </is>
      </c>
      <c r="D63" s="3" t="inlineStr">
        <is>
          <t>Adverse effects</t>
        </is>
      </c>
      <c r="E63" s="3" t="inlineStr">
        <is>
          <t>Missing SCAR (SJS/TEN/DRESS)</t>
        </is>
      </c>
      <c r="F63" s="3" t="inlineStr">
        <is>
          <t>Add serious ADRs: anaphylaxis, AKI, cytopenias, C. difficile colitis, SJS/TEN, pneumonitis, vitamin K deficiency bleeding</t>
        </is>
      </c>
      <c r="G63" s="3" t="inlineStr">
        <is>
          <t>Eosinophilia, thrombocytosis, low RBC/Hb/WBC, raised liver enzymes, loose stools, stomatitis, numb tongue, rash/urticaria (no serious adverse effects listed)</t>
        </is>
      </c>
      <c r="H63" s="3" t="inlineStr">
        <is>
          <t>Serious adverse effects: shock/anaphylaxis, acute renal failure, pancytopenia/agranulocytosis/thrombocytopenia/haemolytic anaemia, pseudomembranous colitis, TEN/SJS, interstitial pneumonia/PIE, hepatic dysfunction/jaundice. Also vitamin K deficiency (hypoprothrombinaemia, bleeding) and vitamin B deficiency. The hospital list omits all of these.</t>
        </is>
      </c>
      <c r="I63" s="3" t="inlineStr">
        <is>
          <t>Taiwan insert, 【使用注意事項】六.副作用, https://mcp.fda.gov.tw/insert/pdfcasefile/f00601dd-69fd-4c6e-a282-74a0922a818d</t>
        </is>
      </c>
      <c r="J63" s="3" t="inlineStr">
        <is>
          <t>Open</t>
        </is>
      </c>
      <c r="K63" s="3" t="inlineStr"/>
    </row>
    <row r="64">
      <c r="A64" s="3" t="n">
        <v>388</v>
      </c>
      <c r="B64" s="3" t="inlineStr">
        <is>
          <t>Flumarin (Flomoxef) (FLU05)</t>
        </is>
      </c>
      <c r="C64" s="7" t="inlineStr">
        <is>
          <t>High</t>
        </is>
      </c>
      <c r="D64" s="3" t="inlineStr">
        <is>
          <t>Adverse effects</t>
        </is>
      </c>
      <c r="E64" s="3" t="inlineStr">
        <is>
          <t>Missing SCAR (SJS/TEN/DRESS)</t>
        </is>
      </c>
      <c r="F64" s="3" t="inlineStr">
        <is>
          <t>Add serious ADRs incl. anaphylaxis, AKI, cytopenias, C. difficile, SJS/TEN, vitamin K/B deficiency</t>
        </is>
      </c>
      <c r="G64" s="3" t="inlineStr">
        <is>
          <t>Eosinophilia, thrombocytosis, low RBC/Hb/WBC, raised liver enzymes, loose stools, stomatitis, numb tongue, rash/urticaria</t>
        </is>
      </c>
      <c r="H64" s="3" t="inlineStr">
        <is>
          <t>Also lists the serious ADRs: shock/anaphylaxis, acute kidney failure, pancytopenia/agranulocytosis, thrombocytopenia, haemolytic anaemia, pseudomembranous colitis, TEN/SJS, interstitial pneumonia/PIE and hepatic dysfunction/jaundice. It also warns of vitamin K deficiency (hypoprothrombinaemia, bleeding) and vitamin B deficiency. 'Numb tongue' is not a label term; the closest is 舌炎 under vitamin B deficiency.</t>
        </is>
      </c>
      <c r="I64" s="3" t="inlineStr">
        <is>
          <t>Taiwan insert Flumarin 1g, 使用注意事項 六.1-2 — https://mcp.fda.gov.tw/insert/pdfcasefile/f00601dd-69fd-4c6e-a282-74a0922a818d</t>
        </is>
      </c>
      <c r="J64" s="3" t="inlineStr">
        <is>
          <t>Open</t>
        </is>
      </c>
      <c r="K64" s="3" t="inlineStr"/>
    </row>
    <row r="65">
      <c r="A65" s="3" t="n">
        <v>377</v>
      </c>
      <c r="B65" s="3" t="inlineStr">
        <is>
          <t>Flumarin (Flomoxef) (FLU05)</t>
        </is>
      </c>
      <c r="C65" s="7" t="inlineStr">
        <is>
          <t>High</t>
        </is>
      </c>
      <c r="D65" s="3" t="inlineStr">
        <is>
          <t>Dosing – pediatric</t>
        </is>
      </c>
      <c r="E65" s="3" t="inlineStr"/>
      <c r="F65" s="3" t="inlineStr">
        <is>
          <t>Neonates: 20 mg/kg/dose, 2–3×/day ≤3 days old, 3–4×/day from day 4; remove 30 mg/kg</t>
        </is>
      </c>
      <c r="G65" s="3" t="inlineStr">
        <is>
          <t>Neonates 20-30 mg/kg 2-3 times a day</t>
        </is>
      </c>
      <c r="H65" s="3" t="inlineStr">
        <is>
          <t>Premature infants and neonates: 20 mg/kg per dose, 2-3×/day within the first 3 days of life and 3-4×/day from day 4. Can be increased to 150 mg/kg/day in 3-4 doses. There is no 30 mg/kg per-dose figure, and the hospital omits the day-4+ frequency.</t>
        </is>
      </c>
      <c r="I65" s="3" t="inlineStr">
        <is>
          <t>Taiwan insert, 【用法・用量】, https://mcp.fda.gov.tw/insert/pdfcasefile/f00601dd-69fd-4c6e-a282-74a0922a818d</t>
        </is>
      </c>
      <c r="J65" s="3" t="inlineStr">
        <is>
          <t>Open</t>
        </is>
      </c>
      <c r="K65" s="3" t="inlineStr"/>
    </row>
    <row r="66">
      <c r="A66" s="3" t="n">
        <v>384</v>
      </c>
      <c r="B66" s="3" t="inlineStr">
        <is>
          <t>Flumarin (Flomoxef) (FLU05)</t>
        </is>
      </c>
      <c r="C66" s="7" t="inlineStr">
        <is>
          <t>High</t>
        </is>
      </c>
      <c r="D66" s="3" t="inlineStr">
        <is>
          <t>Dosing – pediatric</t>
        </is>
      </c>
      <c r="E66" s="3" t="inlineStr"/>
      <c r="F66" s="3" t="inlineStr">
        <is>
          <t>Neonates 20 mg/kg/dose; 2–3×/day first 3 days, 3–4×/day from day 4; max 150 mg/kg/day</t>
        </is>
      </c>
      <c r="G66" s="3" t="inlineStr">
        <is>
          <t>20-30 mg/kg 2-3 times/day</t>
        </is>
      </c>
      <c r="H66" s="3" t="inlineStr">
        <is>
          <t>20 mg/kg per dose, 2-3×/day in the first 3 days and 3-4×/day from day 4. Only the daily total can rise, to 150 mg/kg/day in 3-4 doses.</t>
        </is>
      </c>
      <c r="I66" s="3" t="inlineStr">
        <is>
          <t>Taiwan insert Flumarin 1g, 【用法・用量】 — https://mcp.fda.gov.tw/insert/pdfcasefile/f00601dd-69fd-4c6e-a282-74a0922a818d</t>
        </is>
      </c>
      <c r="J66" s="3" t="inlineStr">
        <is>
          <t>Open</t>
        </is>
      </c>
      <c r="K66" s="3" t="inlineStr"/>
    </row>
    <row r="67">
      <c r="A67" s="3" t="n">
        <v>376</v>
      </c>
      <c r="B67" s="3" t="inlineStr">
        <is>
          <t>Flumarin (Flomoxef) (FLU05)</t>
        </is>
      </c>
      <c r="C67" s="7" t="inlineStr">
        <is>
          <t>High</t>
        </is>
      </c>
      <c r="D67" s="3" t="inlineStr">
        <is>
          <t>Dosing – renal/dialysis</t>
        </is>
      </c>
      <c r="E67" s="3" t="inlineStr">
        <is>
          <t>Renal table outdated</t>
        </is>
      </c>
      <c r="F67" s="3" t="inlineStr">
        <is>
          <t>Remove unsourced renal table (3 g/day exceeds usual 1–2 g/day); use label: reduce dose/extend interval</t>
        </is>
      </c>
      <c r="G67" s="3" t="inlineStr">
        <is>
          <t>CrCl 50-80 → 3 g/day; 25-50 → 2 g/day; 5-25 → 1 g/day; &lt;5 → 0.5 g/day</t>
        </is>
      </c>
      <c r="H67" s="3" t="inlineStr">
        <is>
          <t>No numeric renal dose table. Only 高度腎障害患者…需減低投與量或延長投與間隔, plus a half-life-by-CrCl table (1.31 h at &gt;70 up to 9.62 h at &lt;5). 3 g/day at CrCl 50-80 is above the label's usual adult dose of 1-2 g/day (4 g/day is only for refractory/severe infection).</t>
        </is>
      </c>
      <c r="I67" s="3" t="inlineStr">
        <is>
          <t>Taiwan insert Flumarin 1g, 【使用注意事項】三.3 and 【體內藥物動力學】表7, https://mcp.fda.gov.tw/insert/pdfcasefile/f00601dd-69fd-4c6e-a282-74a0922a818d</t>
        </is>
      </c>
      <c r="J67" s="3" t="inlineStr">
        <is>
          <t>Open</t>
        </is>
      </c>
      <c r="K67" s="3" t="inlineStr"/>
    </row>
    <row r="68">
      <c r="A68" s="3" t="n">
        <v>383</v>
      </c>
      <c r="B68" s="3" t="inlineStr">
        <is>
          <t>Flumarin (Flomoxef) (FLU05)</t>
        </is>
      </c>
      <c r="C68" s="7" t="inlineStr">
        <is>
          <t>High</t>
        </is>
      </c>
      <c r="D68" s="3" t="inlineStr">
        <is>
          <t>Dosing – renal/dialysis</t>
        </is>
      </c>
      <c r="E68" s="3" t="inlineStr">
        <is>
          <t>Renal table outdated</t>
        </is>
      </c>
      <c r="F68" s="3" t="inlineStr">
        <is>
          <t>Remove unsourced CrCl table (3 g/day &gt; usual dose); cite label reduce dose/extend interval</t>
        </is>
      </c>
      <c r="G68" s="3" t="inlineStr">
        <is>
          <t>CrCl 50-80 → 3 g/day; 25-50 → 2 g/day; 5-25 → 1 g/day; &lt;5 → 0.5 g/day</t>
        </is>
      </c>
      <c r="H68" s="3" t="inlineStr">
        <is>
          <t>No numeric renal dose table. Only 「高度腎障害患者…需減低投與量或延長投與間隔」 plus half-life by CrCl (表7). Usual adult dose is 1-2 g/day, so 3 g/day at CrCl 50-80 is above the usual dose.</t>
        </is>
      </c>
      <c r="I68" s="3" t="inlineStr">
        <is>
          <t>Taiwan insert Flumarin 1g, 使用注意事項 三.3 and 體內藥物動力學 4 — https://mcp.fda.gov.tw/insert/pdfcasefile/f00601dd-69fd-4c6e-a282-74a0922a818d</t>
        </is>
      </c>
      <c r="J68" s="3" t="inlineStr">
        <is>
          <t>Open</t>
        </is>
      </c>
      <c r="K68" s="3" t="inlineStr"/>
    </row>
    <row r="69">
      <c r="A69" s="3" t="n">
        <v>13</v>
      </c>
      <c r="B69" s="3" t="inlineStr">
        <is>
          <t>Imipenem/Cilastatin (CUL01)</t>
        </is>
      </c>
      <c r="C69" s="7" t="inlineStr">
        <is>
          <t>High</t>
        </is>
      </c>
      <c r="D69" s="3" t="inlineStr">
        <is>
          <t>Contraindication/warning</t>
        </is>
      </c>
      <c r="E69" s="3" t="inlineStr"/>
      <c r="F69" s="3" t="inlineStr">
        <is>
          <t>Add seizure/myoclonus/CNS warning (higher risk in renal impairment, CNS disease); not for meningitis</t>
        </is>
      </c>
      <c r="G69" s="3" t="inlineStr">
        <is>
          <t>Lists rash, GI, local reactions, leukopenia only</t>
        </is>
      </c>
      <c r="H69" s="3" t="inlineStr">
        <is>
          <t>**Seizures**, myoclonus, confusion (↑ with renal impairment, CNS disease); not for meningitis or pediatric CNS infections</t>
        </is>
      </c>
      <c r="I69" s="3" t="inlineStr">
        <is>
          <t>US label §1.9, §5.2</t>
        </is>
      </c>
      <c r="J69" s="3" t="inlineStr">
        <is>
          <t>Open</t>
        </is>
      </c>
      <c r="K69" s="3" t="inlineStr"/>
    </row>
    <row r="70">
      <c r="A70" s="3" t="n">
        <v>15</v>
      </c>
      <c r="B70" s="3" t="inlineStr">
        <is>
          <t>Imipenem/Cilastatin (CUL01)</t>
        </is>
      </c>
      <c r="C70" s="7" t="inlineStr">
        <is>
          <t>High</t>
        </is>
      </c>
      <c r="D70" s="3" t="inlineStr">
        <is>
          <t>Dosing – adult</t>
        </is>
      </c>
      <c r="E70" s="3" t="inlineStr"/>
      <c r="F70" s="3" t="inlineStr">
        <is>
          <t>Add maximum dose 4 g/day</t>
        </is>
      </c>
      <c r="G70" s="3" t="inlineStr">
        <is>
          <t>No maximum stated</t>
        </is>
      </c>
      <c r="H70" s="3" t="inlineStr">
        <is>
          <t>Max 4 g/day</t>
        </is>
      </c>
      <c r="I70" s="3" t="inlineStr">
        <is>
          <t>US label §2.1</t>
        </is>
      </c>
      <c r="J70" s="3" t="inlineStr">
        <is>
          <t>Open</t>
        </is>
      </c>
      <c r="K70" s="3" t="inlineStr"/>
    </row>
    <row r="71">
      <c r="A71" s="3" t="n">
        <v>11</v>
      </c>
      <c r="B71" s="3" t="inlineStr">
        <is>
          <t>Imipenem/Cilastatin (CUL01)</t>
        </is>
      </c>
      <c r="C71" s="7" t="inlineStr">
        <is>
          <t>High</t>
        </is>
      </c>
      <c r="D71" s="3" t="inlineStr">
        <is>
          <t>Dosing – renal/dialysis</t>
        </is>
      </c>
      <c r="E71" s="3" t="inlineStr">
        <is>
          <t>Renal table outdated</t>
        </is>
      </c>
      <c r="F71" s="3" t="inlineStr">
        <is>
          <t>Update renal table to US Table 3: reduce from CrCl 60–&lt;90; 30–&lt;60 and 15–&lt;30 doses revised</t>
        </is>
      </c>
      <c r="G71" s="3" t="inlineStr">
        <is>
          <t>CrCl 60–&lt;130: no adjustment; 30–60: 250 mg q6h or 500 mg q8h; 15–30: 250 mg q8h or 500 mg q12h</t>
        </is>
      </c>
      <c r="H71" s="3" t="inlineStr">
        <is>
          <t>CrCl 60–&lt;90 **requires reduction** (400 mg q6h, or 500 mg q6h / 750 mg q8h); 30–&lt;60: 300 mg q6h or 500 mg q8h; 15–&lt;30: 200 mg q6h or 500 mg q12h</t>
        </is>
      </c>
      <c r="I71" s="3" t="inlineStr">
        <is>
          <t>US label Table 3 (Primaxin, DailyMed 2025)</t>
        </is>
      </c>
      <c r="J71" s="3" t="inlineStr">
        <is>
          <t>Open</t>
        </is>
      </c>
      <c r="K71" s="3" t="inlineStr"/>
    </row>
    <row r="72">
      <c r="A72" s="3" t="n">
        <v>12</v>
      </c>
      <c r="B72" s="3" t="inlineStr">
        <is>
          <t>Imipenem/Cilastatin (CUL01)</t>
        </is>
      </c>
      <c r="C72" s="7" t="inlineStr">
        <is>
          <t>High</t>
        </is>
      </c>
      <c r="D72" s="3" t="inlineStr">
        <is>
          <t>Dosing – renal/dialysis</t>
        </is>
      </c>
      <c r="E72" s="3" t="inlineStr">
        <is>
          <t>Renal table outdated</t>
        </is>
      </c>
      <c r="F72" s="3" t="inlineStr">
        <is>
          <t>Add CrCl &lt;15 (avoid unless HD within 48 h) and HD dosing (15–&lt;30 dose, after HD)</t>
        </is>
      </c>
      <c r="G72" s="3" t="inlineStr">
        <is>
          <t>No guidance for CrCl &lt;15 or HD</t>
        </is>
      </c>
      <c r="H72" s="3" t="inlineStr">
        <is>
          <t>CrCl &lt;15: do not give unless HD within 48 h; HD: use the 15–&lt;30 dose, give after HD</t>
        </is>
      </c>
      <c r="I72" s="3" t="inlineStr">
        <is>
          <t>US label §2.3–2.4</t>
        </is>
      </c>
      <c r="J72" s="3" t="inlineStr">
        <is>
          <t>Open</t>
        </is>
      </c>
      <c r="K72" s="3" t="inlineStr"/>
    </row>
    <row r="73">
      <c r="A73" s="3" t="n">
        <v>14</v>
      </c>
      <c r="B73" s="3" t="inlineStr">
        <is>
          <t>Imipenem/Cilastatin (CUL01)</t>
        </is>
      </c>
      <c r="C73" s="7" t="inlineStr">
        <is>
          <t>High</t>
        </is>
      </c>
      <c r="D73" s="3" t="inlineStr">
        <is>
          <t>Drug interaction</t>
        </is>
      </c>
      <c r="E73" s="3" t="inlineStr">
        <is>
          <t>Interaction list incomplete</t>
        </is>
      </c>
      <c r="F73" s="3" t="inlineStr">
        <is>
          <t>Add interactions: valproate (avoid, seizure risk), ganciclovir (seizures), probenecid (not recommended)</t>
        </is>
      </c>
      <c r="G73" s="3" t="inlineStr">
        <is>
          <t>No interaction field</t>
        </is>
      </c>
      <c r="H73" s="3" t="inlineStr">
        <is>
          <t>Valproic acid/divalproex (generally not recommended), ganciclovir (seizures), probenecid (not recommended)</t>
        </is>
      </c>
      <c r="I73" s="3" t="inlineStr">
        <is>
          <t>US label §7</t>
        </is>
      </c>
      <c r="J73" s="3" t="inlineStr">
        <is>
          <t>Open</t>
        </is>
      </c>
      <c r="K73" s="3" t="inlineStr"/>
    </row>
    <row r="74">
      <c r="A74" s="3" t="n">
        <v>397</v>
      </c>
      <c r="B74" s="3" t="inlineStr">
        <is>
          <t>Menocik (minocycline) (MEN04, MER01)</t>
        </is>
      </c>
      <c r="C74" s="7" t="inlineStr">
        <is>
          <t>High</t>
        </is>
      </c>
      <c r="D74" s="3" t="inlineStr">
        <is>
          <t>Contraindication/warning</t>
        </is>
      </c>
      <c r="E74" s="3" t="inlineStr"/>
      <c r="F74" s="3" t="inlineStr">
        <is>
          <t>Add TW insert contraindication: avoid in pregnancy, infants and children (fetal toxicity, tooth discoloration)</t>
        </is>
      </c>
      <c r="G74" s="3" t="inlineStr">
        <is>
          <t>Hypersensitivity to any tetracycline or any component of the product (only)</t>
        </is>
      </c>
      <c r="H74" s="3" t="inlineStr">
        <is>
          <t>Mero Taiwan insert §4 禁忌 also lists '孕婦、嬰兒和孩童應避免使用本品，因四環素類製品具胎兒毒害，且會造成發育期牙齒的永久變色'.</t>
        </is>
      </c>
      <c r="I74" s="3" t="inlineStr">
        <is>
          <t>https://mcp.fda.gov.tw/im_detail_1/%E8%A1%9B%E7%BD%B2%E8%97%A5%E8%A3%BD%E5%AD%97%E7%AC%AC036940%E8%99%9F</t>
        </is>
      </c>
      <c r="J74" s="3" t="inlineStr">
        <is>
          <t>Open</t>
        </is>
      </c>
      <c r="K74" s="3" t="inlineStr"/>
    </row>
    <row r="75">
      <c r="A75" s="3" t="n">
        <v>391</v>
      </c>
      <c r="B75" s="3" t="inlineStr">
        <is>
          <t>Menocik (minocycline) (MEN04, MER01)</t>
        </is>
      </c>
      <c r="C75" s="7" t="inlineStr">
        <is>
          <t>High</t>
        </is>
      </c>
      <c r="D75" s="3" t="inlineStr">
        <is>
          <t>Dosing – pediatric</t>
        </is>
      </c>
      <c r="E75" s="3" t="inlineStr"/>
      <c r="F75" s="3" t="inlineStr">
        <is>
          <t>Pediatric max: not to exceed usual adult dose (200 mg load, then 100 mg q12h), not 400 mg/day</t>
        </is>
      </c>
      <c r="G75" s="3" t="inlineStr">
        <is>
          <t>Children &gt;8 y: 4 mg/kg once, then 2 mg/kg q12h (maximum: 400 mg daily)</t>
        </is>
      </c>
      <c r="H75" s="3" t="inlineStr">
        <is>
          <t>US FDA IV label: 'not to exceed the usual adult dose', i.e. 200 mg initially, then 100 mg q12h. The Menocik insert gives no pediatric maximum.</t>
        </is>
      </c>
      <c r="I75" s="3" t="inlineStr">
        <is>
          <t>https://dailymed.nlm.nih.gov/dailymed/drugInfo.cfm?setid=e415c323-8219-464b-9e3e-72c5a796cdaa</t>
        </is>
      </c>
      <c r="J75" s="3" t="inlineStr">
        <is>
          <t>Open</t>
        </is>
      </c>
      <c r="K75" s="3" t="inlineStr"/>
    </row>
    <row r="76">
      <c r="A76" s="3" t="n">
        <v>396</v>
      </c>
      <c r="B76" s="3" t="inlineStr">
        <is>
          <t>Menocik (minocycline) (MEN04, MER01)</t>
        </is>
      </c>
      <c r="C76" s="7" t="inlineStr">
        <is>
          <t>High</t>
        </is>
      </c>
      <c r="D76" s="3" t="inlineStr">
        <is>
          <t>Dosing – pediatric</t>
        </is>
      </c>
      <c r="E76" s="3" t="inlineStr"/>
      <c r="F76" s="3" t="inlineStr">
        <is>
          <t>Pediatric max: not to exceed usual adult dose (100 mg q12h after 200 mg load)</t>
        </is>
      </c>
      <c r="G76" s="3" t="inlineStr">
        <is>
          <t>Children &gt;8 y: 4 mg/kg once, then 2 mg/kg q12h (maximum: 400 mg daily) (UTD)</t>
        </is>
      </c>
      <c r="H76" s="3" t="inlineStr">
        <is>
          <t>US FDA oral label: '4 mg/kg initially followed by 2 mg/kg every 12 hours, not to exceed the usual adult dose', i.e. 200 mg initially, then 100 mg q12h. The Mero insert gives no maximum.</t>
        </is>
      </c>
      <c r="I76" s="3" t="inlineStr">
        <is>
          <t>https://dailymed.nlm.nih.gov/dailymed/drugInfo.cfm?setid=a5fc4d50-50b2-46e0-b722-4c6b2ec47d06</t>
        </is>
      </c>
      <c r="J76" s="3" t="inlineStr">
        <is>
          <t>Open</t>
        </is>
      </c>
      <c r="K76" s="3" t="inlineStr"/>
    </row>
    <row r="77">
      <c r="A77" s="3" t="n">
        <v>399</v>
      </c>
      <c r="B77" s="3" t="inlineStr">
        <is>
          <t>Menocik (minocycline) (MEN04, MER01)</t>
        </is>
      </c>
      <c r="C77" s="7" t="inlineStr">
        <is>
          <t>High</t>
        </is>
      </c>
      <c r="D77" s="3" t="inlineStr">
        <is>
          <t>Dosing – pediatric</t>
        </is>
      </c>
      <c r="E77" s="3" t="inlineStr"/>
      <c r="F77" s="3" t="inlineStr">
        <is>
          <t>Change pediatric max from 400 mg/day to usual adult dose (200 mg/day maintenance)</t>
        </is>
      </c>
      <c r="G77" s="3" t="inlineStr">
        <is>
          <t>Children &gt;8 y: 4 mg/kg then 2 mg/kg q12h (maximum: 400 mg daily)</t>
        </is>
      </c>
      <c r="H77" s="3" t="inlineStr">
        <is>
          <t>FDA IV and oral labels say 'not to exceed the usual adult dose' (usual adult maintenance is 100 mg q12h, i.e. 200 mg/day after the loading dose). The TW inserts give no pediatric maximum. A 400 mg/day maximum is the adult ceiling, not the usual adult dose.</t>
        </is>
      </c>
      <c r="I77" s="3" t="inlineStr">
        <is>
          <t>FDA MINOCIN IV label D&amp;A https://dailymed.nlm.nih.gov/dailymed/drugInfo.cfm?setid=e415c323-8219-464b-9e3e-72c5a796cdaa ; FDA oral label D&amp;A https://dailymed.nlm.nih.gov/dailymed/drugInfo.cfm?setid=a5fc4d50-50b2-46e0-b722-4c6b2ec47d06</t>
        </is>
      </c>
      <c r="J77" s="3" t="inlineStr">
        <is>
          <t>Open</t>
        </is>
      </c>
      <c r="K77" s="3" t="inlineStr"/>
    </row>
    <row r="78">
      <c r="A78" s="3" t="n">
        <v>3</v>
      </c>
      <c r="B78" s="3" t="inlineStr">
        <is>
          <t>Meropenem (MER02)</t>
        </is>
      </c>
      <c r="C78" s="7" t="inlineStr">
        <is>
          <t>High</t>
        </is>
      </c>
      <c r="D78" s="3" t="inlineStr">
        <is>
          <t>Administration/compatibility</t>
        </is>
      </c>
      <c r="E78" s="3" t="inlineStr"/>
      <c r="F78" s="3" t="inlineStr">
        <is>
          <t>Shorten stability: NS 1 h at ≤25 °C / 15 h at ≤5 °C; D5W use immediately (US label)</t>
        </is>
      </c>
      <c r="G78" s="3" t="inlineStr">
        <is>
          <t>NS: 2 h at 15–25 °C / 18 h at 4 °C; D5W: 1 h / 8 h</t>
        </is>
      </c>
      <c r="H78" s="3" t="inlineStr">
        <is>
          <t>Infusion in NS: 1 h at ≤25 °C / 15 h at ≤5 °C; in D5W: use immediately. Bolus vial in SWFI: 3 h / 13 h</t>
        </is>
      </c>
      <c r="I78" s="3" t="inlineStr">
        <is>
          <t>US label §2 (DailyMed 2026)</t>
        </is>
      </c>
      <c r="J78" s="3" t="inlineStr">
        <is>
          <t>Open</t>
        </is>
      </c>
      <c r="K78" s="3" t="inlineStr"/>
    </row>
    <row r="79">
      <c r="A79" s="3" t="n">
        <v>412</v>
      </c>
      <c r="B79" s="3" t="inlineStr">
        <is>
          <t>Pipe Tazo (Piperacillin/Tazobactam) (PIP01, TAP02)</t>
        </is>
      </c>
      <c r="C79" s="7" t="inlineStr">
        <is>
          <t>High</t>
        </is>
      </c>
      <c r="D79" s="3" t="inlineStr">
        <is>
          <t>Administration/compatibility</t>
        </is>
      </c>
      <c r="E79" s="3" t="inlineStr"/>
      <c r="F79" s="3" t="inlineStr">
        <is>
          <t>Add: stocked products lack EDTA—do not Y-site with aminoglycosides; give separately</t>
        </is>
      </c>
      <c r="G79" s="3" t="inlineStr">
        <is>
          <t>(no statement)</t>
        </is>
      </c>
      <c r="H79" s="3" t="inlineStr">
        <is>
          <t>Both stocked products contain no excipients, so no EDTA. Their inserts allow amikacin/gentamicin Y-site only for EDTA-containing formulations, so these products must be given separately from aminoglycosides.</t>
        </is>
      </c>
      <c r="I79" s="3" t="inlineStr">
        <is>
          <t>TW insert 帝斯坦 §1.2, §3.1.2; TW insert 達比黴素 §1.2, §3</t>
        </is>
      </c>
      <c r="J79" s="3" t="inlineStr">
        <is>
          <t>Open</t>
        </is>
      </c>
      <c r="K79" s="3" t="inlineStr"/>
    </row>
    <row r="80">
      <c r="A80" s="3" t="n">
        <v>410</v>
      </c>
      <c r="B80" s="3" t="inlineStr">
        <is>
          <t>Pipe Tazo (Piperacillin/Tazobactam) (PIP01, TAP02)</t>
        </is>
      </c>
      <c r="C80" s="7" t="inlineStr">
        <is>
          <t>High</t>
        </is>
      </c>
      <c r="D80" s="3" t="inlineStr">
        <is>
          <t>Contraindication/warning</t>
        </is>
      </c>
      <c r="E80" s="3" t="inlineStr">
        <is>
          <t>Interaction list incomplete</t>
        </is>
      </c>
      <c r="F80" s="3" t="inlineStr">
        <is>
          <t>Add HLH warning and vancomycin combination AKI interaction</t>
        </is>
      </c>
      <c r="G80" s="3" t="inlineStr">
        <is>
          <t>No HLH warning and no vancomycin–AKI interaction.</t>
        </is>
      </c>
      <c r="H80" s="3" t="inlineStr">
        <is>
          <t>HLH: US §5.3, SmPC §4.4, Tapimycin insert §5. Vancomycin combination increases AKI: US §5.7/§7.3, both Taiwan inserts §7.3. The Pipe Tazo insert (2024-01-24 PDF) still lacks the HLH warning even though the US label has it.</t>
        </is>
      </c>
      <c r="I80" s="3" t="inlineStr">
        <is>
          <t>US FDA label §5.3, §7.3 https://dailymed.nlm.nih.gov/dailymed/drugInfo.cfm?setid=a798faf5-cd97-4e35-a700-94c372978c46; TW insert 達比黴素 https://mcp.fda.gov.tw/im_detail_1/%E8%A1%9B%E7%BD%B2%E8%97%A5%E8%A3%BD%E5%AD%97%E7%AC%AC045704%E8%99%9F</t>
        </is>
      </c>
      <c r="J80" s="3" t="inlineStr">
        <is>
          <t>Open</t>
        </is>
      </c>
      <c r="K80" s="3" t="inlineStr"/>
    </row>
    <row r="81">
      <c r="A81" s="3" t="n">
        <v>419</v>
      </c>
      <c r="B81" s="3" t="inlineStr">
        <is>
          <t>Pipe Tazo (Piperacillin/Tazobactam) (PIP01, TAP02)</t>
        </is>
      </c>
      <c r="C81" s="7" t="inlineStr">
        <is>
          <t>High</t>
        </is>
      </c>
      <c r="D81" s="3" t="inlineStr">
        <is>
          <t>Contraindication/warning</t>
        </is>
      </c>
      <c r="E81" s="3" t="inlineStr">
        <is>
          <t>Interaction list incomplete</t>
        </is>
      </c>
      <c r="F81" s="3" t="inlineStr">
        <is>
          <t>Add HLH, rhabdomyolysis warnings and vancomycin–AKI interaction</t>
        </is>
      </c>
      <c r="G81" s="3" t="inlineStr">
        <is>
          <t>No mention of HLH, rhabdomyolysis, or the pip-tazo + vancomycin AKI interaction.</t>
        </is>
      </c>
      <c r="H81" s="3" t="inlineStr">
        <is>
          <t>FDA §5.3 HLH, §5.4 rhabdomyolysis, §7.3 vancomycin AKI; Tapimycin insert includes HLH (5.1.3) and the vancomycin–AKI interaction; Pipe Tazo insert includes the vancomycin–AKI interaction (§7.3) and critically-ill nephrotoxicity (§5.1.5).</t>
        </is>
      </c>
      <c r="I81" s="3" t="inlineStr">
        <is>
          <t>https://dailymed.nlm.nih.gov/dailymed/drugInfo.cfm?setid=a798faf5-cd97-4e35-a700-94c372978c46; https://mcp.fda.gov.tw/im_detail_1/%E8%A1%9B%E7%BD%B2%E8%97%A5%E8%A3%BD%E5%AD%97%E7%AC%AC045704%E8%99%9F</t>
        </is>
      </c>
      <c r="J81" s="3" t="inlineStr">
        <is>
          <t>Open</t>
        </is>
      </c>
      <c r="K81" s="3" t="inlineStr"/>
    </row>
    <row r="82">
      <c r="A82" s="3" t="n">
        <v>418</v>
      </c>
      <c r="B82" s="3" t="inlineStr">
        <is>
          <t>Pipe Tazo (Piperacillin/Tazobactam) (PIP01, TAP02)</t>
        </is>
      </c>
      <c r="C82" s="7" t="inlineStr">
        <is>
          <t>High</t>
        </is>
      </c>
      <c r="D82" s="3" t="inlineStr">
        <is>
          <t>Dosing – pediatric</t>
        </is>
      </c>
      <c r="E82" s="3" t="inlineStr"/>
      <c r="F82" s="3" t="inlineStr">
        <is>
          <t>Fix to label: &lt;2 mo not established; 2–9 mo 80 mg/kg q8h; &gt;9 mo 100 mg/kg q8h</t>
        </is>
      </c>
      <c r="G82" s="3" t="inlineStr">
        <is>
          <t>'Infants 6 months: IV: 240 to 300 mg piperacillin/kg/day...' followed by a separate 'Infants &gt;6 months' row; the '&lt;' sign is missing, so the first row reads as exactly 6 months.</t>
        </is>
      </c>
      <c r="H82" s="3" t="inlineStr">
        <is>
          <t>FDA §2.4/TW §3.1.4: 2–9 months 80 mg/kg pip q8h (IAI; q6h NP per FDA); &gt;9 months 100 mg/kg q8h (IAI; q6h NP per FDA); &lt;2 months not established.</t>
        </is>
      </c>
      <c r="I82" s="3" t="inlineStr">
        <is>
          <t>https://dailymed.nlm.nih.gov/dailymed/drugInfo.cfm?setid=a798faf5-cd97-4e35-a700-94c372978c46 (§2.4, §8.4)</t>
        </is>
      </c>
      <c r="J82" s="3" t="inlineStr">
        <is>
          <t>Open</t>
        </is>
      </c>
      <c r="K82" s="3" t="inlineStr"/>
    </row>
    <row r="83">
      <c r="A83" s="3" t="n">
        <v>406</v>
      </c>
      <c r="B83" s="3" t="inlineStr">
        <is>
          <t>Pipe Tazo (Piperacillin/Tazobactam) (PIP01, TAP02)</t>
        </is>
      </c>
      <c r="C83" s="7" t="inlineStr">
        <is>
          <t>High</t>
        </is>
      </c>
      <c r="D83" s="3" t="inlineStr">
        <is>
          <t>Dosing – renal/dialysis</t>
        </is>
      </c>
      <c r="E83" s="3" t="inlineStr">
        <is>
          <t>Renal table outdated</t>
        </is>
      </c>
      <c r="F83" s="3" t="inlineStr">
        <is>
          <t>Replace Lexicomp table with insert Table 1 incl. HD/CAPD rows and 0.75 g post-HD dose</t>
        </is>
      </c>
      <c r="G83" s="3" t="inlineStr">
        <is>
          <t>Lexicomp-style table (CrCl 100–&lt;130, 40–&lt;100, 20–&lt;40, &lt;20). For the 4.5 g q6h column: CrCl 20–&lt;40 → '4.5 g q8h or 3.375 g q6h'; CrCl &lt;20 → '4.5 g q12h or 2.25 g q6h'. No HD or CAPD rows and no post-HD 0.75 g dose.</t>
        </is>
      </c>
      <c r="H83" s="3" t="inlineStr">
        <is>
          <t>Stocked-product inserts (same as US Table 1): non-NP 20–40 → 2.25 g q6h; &lt;20 → 2.25 g q8h; HD/CAPD → 2.25 g q12h. NP 20–40 → 3.375 g q6h; &lt;20 → 2.25 g q6h; HD/CAPD → 2.25 g q8h. Plus 0.75 g after each HD session; no CAPD supplement.</t>
        </is>
      </c>
      <c r="I83" s="3" t="inlineStr">
        <is>
          <t>TW insert 帝斯坦 §3.1.3 表二 https://mcp.fda.gov.tw/im_detail_1/%E8%A1%9B%E7%BD%B2%E8%97%A5%E8%A3%BD%E5%AD%97%E7%AC%AC056759%E8%99%9F; TW insert 達比黴素 用法用量 腎功能不全 https://mcp.fda.gov.tw/im_detail_1/%E8%A1%9B%E7%BD%B2%E8%97%A5%E8%A3%BD%E5%AD%97%E7%AC%AC045704%E8%99%9F; US §2.3</t>
        </is>
      </c>
      <c r="J83" s="3" t="inlineStr">
        <is>
          <t>Open</t>
        </is>
      </c>
      <c r="K83" s="3" t="inlineStr"/>
    </row>
    <row r="84">
      <c r="A84" s="3" t="n">
        <v>415</v>
      </c>
      <c r="B84" s="3" t="inlineStr">
        <is>
          <t>Pipe Tazo (Piperacillin/Tazobactam) (PIP01, TAP02)</t>
        </is>
      </c>
      <c r="C84" s="7" t="inlineStr">
        <is>
          <t>High</t>
        </is>
      </c>
      <c r="D84" s="3" t="inlineStr">
        <is>
          <t>Dosing – renal/dialysis</t>
        </is>
      </c>
      <c r="E84" s="3" t="inlineStr">
        <is>
          <t>Renal table outdated</t>
        </is>
      </c>
      <c r="F84" s="3" t="inlineStr">
        <is>
          <t>Use insert/FDA Table 1 renal doses incl. HD/CAPD rows and 0.75 g post-HD supplement</t>
        </is>
      </c>
      <c r="G84" s="3" t="inlineStr">
        <is>
          <t>Lexicomp-style table by usual dose. For a usual 4.5 g q6h: CrCl 20–&lt;40 → '4.5 g every 8 hours or 3.375 g every 6 hours'; &lt;20 → '4.5 g every 12 hours or 2.25 g every 6 hours'. Extended-infusion column. No HD or CAPD rows, no 0.75 g post-HD supplement.</t>
        </is>
      </c>
      <c r="H84" s="3" t="inlineStr">
        <is>
          <t>Taiwan inserts (both products) = FDA Table 1. Non-NP: 20–40 2.25 g q6h; &lt;20 2.25 g q8h; HD 2.25 g q12h; CAPD 2.25 g q12h. NP: 20–40 3.375 g q6h; &lt;20 2.25 g q6h; HD/CAPD 2.25 g q8h. HD: +0.75 g after each session; CAPD: no supplement. (UK SmPC instead: 20–40 max 4.5 g q8h; &lt;20 max 4.5 g q12h; +2.25 g post-HD.)</t>
        </is>
      </c>
      <c r="I84" s="3" t="inlineStr">
        <is>
          <t>Taiwan insert Pipe Tazo 3.1.3 表二 – https://mcp.fda.gov.tw/im_detail_1/%E8%A1%9B%E7%BD%B2%E8%97%A5%E8%A3%BD%E5%AD%97%E7%AC%AC056759%E8%99%9F; FDA §2.3 – https://dailymed.nlm.nih.gov/dailymed/drugInfo.cfm?setid=a798faf5-cd97-4e35-a700-94c372978c46</t>
        </is>
      </c>
      <c r="J84" s="3" t="inlineStr">
        <is>
          <t>Open</t>
        </is>
      </c>
      <c r="K84" s="3" t="inlineStr"/>
    </row>
    <row r="85">
      <c r="A85" s="3" t="n">
        <v>72</v>
      </c>
      <c r="B85" s="3" t="inlineStr">
        <is>
          <t>Rapiacta (Peramivir) (RAP02)</t>
        </is>
      </c>
      <c r="C85" s="7" t="inlineStr">
        <is>
          <t>High</t>
        </is>
      </c>
      <c r="D85" s="3" t="inlineStr">
        <is>
          <t>Dosing – renal/dialysis</t>
        </is>
      </c>
      <c r="E85" s="3" t="inlineStr">
        <is>
          <t>Renal table outdated</t>
        </is>
      </c>
      <c r="F85" s="3" t="inlineStr">
        <is>
          <t>Renal: single dose only (US 200 mg CrCl 30–49, 100 mg 10–29); remove daily dosing</t>
        </is>
      </c>
      <c r="G85" s="3" t="inlineStr">
        <is>
          <t>Per the source brief: CrCl 31–49: 150 mg daily; CrCl 10–30: 100 mg daily; HD: 100 mg on day 1, then after each session; the CrCl &lt;10 line is truncated on the page.</t>
        </is>
      </c>
      <c r="H85" s="3" t="inlineStr">
        <is>
          <t>US FDA: single dose; CrCl 30–49 gets 200 mg and CrCl 10–29 gets 100 mg (for the 600 mg dose). On HD, give after dialysis at the renally adjusted dose. There is no daily repeat dosing and no recommendation below CrCl 10. The Taiwan Rapiacta 仿單 could not be retrieved to check the 300 mg-based values.</t>
        </is>
      </c>
      <c r="I85" s="3" t="inlineStr">
        <is>
          <t>DailyMed RAPIVAB §2.2 Table 1, §8.6 https://dailymed.nlm.nih.gov/dailymed/drugInfo.cfm?setid=fe04f6cd-e71c-4bd4-abac-97720bba2a0d</t>
        </is>
      </c>
      <c r="J85" s="3" t="inlineStr">
        <is>
          <t>Open</t>
        </is>
      </c>
      <c r="K85" s="3" t="inlineStr"/>
    </row>
    <row r="86">
      <c r="A86" s="3" t="n">
        <v>80</v>
      </c>
      <c r="B86" s="3" t="inlineStr">
        <is>
          <t>Rapiacta (Peramivir) (RAP02)</t>
        </is>
      </c>
      <c r="C86" s="7" t="inlineStr">
        <is>
          <t>High</t>
        </is>
      </c>
      <c r="D86" s="3" t="inlineStr">
        <is>
          <t>Dosing – renal/dialysis</t>
        </is>
      </c>
      <c r="E86" s="3" t="inlineStr">
        <is>
          <t>Renal table outdated</t>
        </is>
      </c>
      <c r="F86" s="3" t="inlineStr">
        <is>
          <t>Replace renal table with TW single doses (≥50 300, 30–&lt;50 100, 10–&lt;30 50 mg); HD after dialysis</t>
        </is>
      </c>
      <c r="G86" s="3" t="inlineStr">
        <is>
          <t>CrCl 31–49: 150 mg daily; CrCl 10–30: 100 mg daily; item 3 'CrCl' is blank/truncated; ESRD on HD: 100 mg on day 1, then 100 mg 2 h after each HD session</t>
        </is>
      </c>
      <c r="H86" s="3" t="inlineStr">
        <is>
          <t>Taiwan insert (stocked product, 300 mg basis): CrCl ≥50 300 mg; 30–&lt;50 100 mg; 10–&lt;30 50 mg, as single doses. For CrCl &lt;10 and HD there is no fixed dose: adjust carefully and give after dialysis (drug is rapidly removed by HD). US label (600 mg basis): 30–49 200 mg; 10–29 100 mg; HD after dialysis. The hospital values match neither label, and the 'daily' frequency and the HD 100 mg day-1 regimen are not in either label.</t>
        </is>
      </c>
      <c r="I86" s="3" t="inlineStr">
        <is>
          <t>Taiwan insert 衛部藥輸字第026649號 v4 §2.3 Table 1 (https://mcp.fda.gov.tw/insert/pdfcasefile/d2a947d2-b3f0-49fa-bb7a-ef8b0f0cb3de); US RAPIVAB §2.2 (https://dailymed.nlm.nih.gov/dailymed/drugInfo.cfm?setid=fe04f6cd-e71c-4bd4-abac-97720bba2a0d)</t>
        </is>
      </c>
      <c r="J86" s="3" t="inlineStr">
        <is>
          <t>Open</t>
        </is>
      </c>
      <c r="K86" s="3" t="inlineStr"/>
    </row>
    <row r="87">
      <c r="A87" s="3" t="n">
        <v>423</v>
      </c>
      <c r="B87" s="3" t="inlineStr">
        <is>
          <t>Seforce (ciprofloxacin) (SEF02, CIN02)</t>
        </is>
      </c>
      <c r="C87" s="7" t="inlineStr">
        <is>
          <t>High</t>
        </is>
      </c>
      <c r="D87" s="3" t="inlineStr">
        <is>
          <t>Dosing – adult</t>
        </is>
      </c>
      <c r="E87" s="3" t="inlineStr"/>
      <c r="F87" s="3" t="inlineStr">
        <is>
          <t>Remove 500 mg q12h typhoid dose from IV page (oral dose); IV is 200–400 mg</t>
        </is>
      </c>
      <c r="G87" s="3" t="inlineStr">
        <is>
          <t>Typhoid fever: 500 mg Q12H (listed on the IV product page)</t>
        </is>
      </c>
      <c r="H87" s="3" t="inlineStr">
        <is>
          <t>500 mg q12h is an oral tablet dose (US oral label Table 1: typhoid 500 mg q12h × 10 d; UK SmPC 4.2: 500 mg BID × 7 d). The US IV label has no typhoid indication, and the Seforce 仿單 IV doses are 200-400 mg.</t>
        </is>
      </c>
      <c r="I87" s="3" t="inlineStr">
        <is>
          <t>US FDA label (Aurobindo tablets) 2.1 - https://dailymed.nlm.nih.gov/dailymed/drugInfo.cfm?setid=6a935846-3c97-4517-bc4e-2377f673285e; US FDA label (Sagent IV) 2.1 - https://dailymed.nlm.nih.gov/dailymed/drugInfo.cfm?setid=f406e796-17d9-4465-b8a7-00d966a4ba74</t>
        </is>
      </c>
      <c r="J87" s="3" t="inlineStr">
        <is>
          <t>Open</t>
        </is>
      </c>
      <c r="K87" s="3" t="inlineStr"/>
    </row>
    <row r="88">
      <c r="A88" s="3" t="n">
        <v>428</v>
      </c>
      <c r="B88" s="3" t="inlineStr">
        <is>
          <t>Seforce (ciprofloxacin) (SEF02, CIN02)</t>
        </is>
      </c>
      <c r="C88" s="7" t="inlineStr">
        <is>
          <t>High</t>
        </is>
      </c>
      <c r="D88" s="3" t="inlineStr">
        <is>
          <t>Dosing – adult</t>
        </is>
      </c>
      <c r="E88" s="3" t="inlineStr"/>
      <c r="F88" s="3" t="inlineStr">
        <is>
          <t>Remove 500 mg IV typhoid dose; that is the oral regimen</t>
        </is>
      </c>
      <c r="G88" s="3" t="inlineStr">
        <is>
          <t>Typhoid fever: 500 mg Q12H (on the IV product page)</t>
        </is>
      </c>
      <c r="H88" s="3" t="inlineStr">
        <is>
          <t>500 mg q12h is the oral dose (UK SmPC 4.2: typhoid fever 500 mg twice daily × 7 days, tablets). US and TW IV dosing gives 200-400 mg IV; there is no 500 mg IV dose.</t>
        </is>
      </c>
      <c r="I88" s="3" t="inlineStr">
        <is>
          <t>UK SmPC 4.2 https://www.medicines.org.uk/emc/product/7256/smpc; Taiwan Seforce insert 3.1 https://mcp.fda.gov.tw/im_detail_1/%E8%A1%9B%E7%BD%B2%E8%97%A5%E8%A3%BD%E5%AD%97%E7%AC%AC044809%E8%99%9F</t>
        </is>
      </c>
      <c r="J88" s="3" t="inlineStr">
        <is>
          <t>Open</t>
        </is>
      </c>
      <c r="K88" s="3" t="inlineStr"/>
    </row>
    <row r="89">
      <c r="A89" s="3" t="n">
        <v>424</v>
      </c>
      <c r="B89" s="3" t="inlineStr">
        <is>
          <t>Seforce (ciprofloxacin) (SEF02, CIN02)</t>
        </is>
      </c>
      <c r="C89" s="7" t="inlineStr">
        <is>
          <t>High</t>
        </is>
      </c>
      <c r="D89" s="3" t="inlineStr">
        <is>
          <t>Dosing – renal/dialysis</t>
        </is>
      </c>
      <c r="E89" s="3" t="inlineStr"/>
      <c r="F89" s="3" t="inlineStr">
        <is>
          <t>Use insert: CrCl 31–60 max 800 mg/day; &lt;30 max 400 mg/day (US q18–24h); HD after dialysis</t>
        </is>
      </c>
      <c r="G89" s="3" t="inlineStr">
        <is>
          <t>CrCl 30-130: 400 mg q8-12h; CrCl &lt;30: 200-400 mg q12-24h (allows up to 800 mg/day); intermittent HD or PD: 200-400 mg q24h</t>
        </is>
      </c>
      <c r="H89" s="3" t="inlineStr">
        <is>
          <t>Seforce 仿單: CrCl 31-60 → max 800 mg/day; CrCl &lt;30 (SCr ≥2.0) → max 400 mg/day; HD → same maximum, given after dialysis; CAPD → 50 mg/L dialysate IP q6h. US IV label: CrCl 5-29 → 200-400 mg q18-24h. The hospital's 'q12h' at CrCl &lt;30 exceeds both labels, and its 30-130 band ignores the 800 mg/day cap at CrCl 31-60.</t>
        </is>
      </c>
      <c r="I89" s="3" t="inlineStr">
        <is>
          <t>Seforce 仿單 3.3 - https://mcp.fda.gov.tw/im_detail_1/%E8%A1%9B%E7%BD%B2%E8%97%A5%E8%A3%BD%E5%AD%97%E7%AC%AC044809%E8%99%9F; US FDA label (Sagent IV) 2.3 Table 4 - https://dailymed.nlm.nih.gov/dailymed/drugInfo.cfm?setid=f406e796-17d9-4465-b8a7-00d966a4ba74</t>
        </is>
      </c>
      <c r="J89" s="3" t="inlineStr">
        <is>
          <t>Open</t>
        </is>
      </c>
      <c r="K89" s="3" t="inlineStr"/>
    </row>
    <row r="90">
      <c r="A90" s="3" t="n">
        <v>429</v>
      </c>
      <c r="B90" s="3" t="inlineStr">
        <is>
          <t>Seforce (ciprofloxacin) (SEF02, CIN02)</t>
        </is>
      </c>
      <c r="C90" s="7" t="inlineStr">
        <is>
          <t>High</t>
        </is>
      </c>
      <c r="D90" s="3" t="inlineStr">
        <is>
          <t>Dosing – renal/dialysis</t>
        </is>
      </c>
      <c r="E90" s="3" t="inlineStr"/>
      <c r="F90" s="3" t="inlineStr">
        <is>
          <t>CrCl &lt;30: max 400 mg/day IV (TW) or 200–400 mg q18–24h (US); remove q12h</t>
        </is>
      </c>
      <c r="G90" s="3" t="inlineStr">
        <is>
          <t>CrCl &lt;30: 200-400 mg q12-24h (allows up to 800 mg/day)</t>
        </is>
      </c>
      <c r="H90" s="3" t="inlineStr">
        <is>
          <t>The TW Seforce insert caps the IV dose at 400 mg/day when CrCl &lt;30 mL/min/1.73 m² or SCr ≥2.0. The US IV label gives 200-400 mg q18-24h for CrCl 5-29.</t>
        </is>
      </c>
      <c r="I90" s="3" t="inlineStr">
        <is>
          <t>Taiwan Seforce insert 3.3 https://mcp.fda.gov.tw/im_detail_1/%E8%A1%9B%E7%BD%B2%E8%97%A5%E8%A3%BD%E5%AD%97%E7%AC%AC044809%E8%99%9F; US FDA label 2.3 Table 4 https://dailymed.nlm.nih.gov/dailymed/drugInfo.cfm?setid=f406e796-17d9-4465-b8a7-00d966a4ba74</t>
        </is>
      </c>
      <c r="J90" s="3" t="inlineStr">
        <is>
          <t>Open</t>
        </is>
      </c>
      <c r="K90" s="3" t="inlineStr"/>
    </row>
    <row r="91">
      <c r="A91" s="3" t="n">
        <v>430</v>
      </c>
      <c r="B91" s="3" t="inlineStr">
        <is>
          <t>Seforce (ciprofloxacin) (SEF02, CIN02)</t>
        </is>
      </c>
      <c r="C91" s="7" t="inlineStr">
        <is>
          <t>High</t>
        </is>
      </c>
      <c r="D91" s="3" t="inlineStr">
        <is>
          <t>Dosing – renal/dialysis</t>
        </is>
      </c>
      <c r="E91" s="3" t="inlineStr"/>
      <c r="F91" s="3" t="inlineStr">
        <is>
          <t>CrCl 31–60: cap IV at 800 mg/day per TW insert; remove 400 mg q8h</t>
        </is>
      </c>
      <c r="G91" s="3" t="inlineStr">
        <is>
          <t>CrCl 30-130: 400 mg q8-12h (allows 1200 mg/day at CrCl 31-60)</t>
        </is>
      </c>
      <c r="H91" s="3" t="inlineStr">
        <is>
          <t>The TW Seforce insert caps the IV dose at 800 mg/day when CrCl 31-60 mL/min/1.73 m² (SCr 1.4-1.9). 400 mg q8h exceeds this cap. (The US IV label adjusts only below 30.)</t>
        </is>
      </c>
      <c r="I91" s="3" t="inlineStr">
        <is>
          <t>Taiwan Seforce insert 3.3 https://mcp.fda.gov.tw/im_detail_1/%E8%A1%9B%E7%BD%B2%E8%97%A5%E8%A3%BD%E5%AD%97%E7%AC%AC044809%E8%99%9F</t>
        </is>
      </c>
      <c r="J91" s="3" t="inlineStr">
        <is>
          <t>Open</t>
        </is>
      </c>
      <c r="K91" s="3" t="inlineStr"/>
    </row>
    <row r="92">
      <c r="A92" s="3" t="n">
        <v>42</v>
      </c>
      <c r="B92" s="3" t="inlineStr">
        <is>
          <t>Sulampi (Ampicillin/Sulbactam) (SUL05)</t>
        </is>
      </c>
      <c r="C92" s="7" t="inlineStr">
        <is>
          <t>High</t>
        </is>
      </c>
      <c r="D92" s="3" t="inlineStr">
        <is>
          <t>Administration/compatibility</t>
        </is>
      </c>
      <c r="E92" s="3" t="inlineStr"/>
      <c r="F92" s="3" t="inlineStr">
        <is>
          <t>Remove IM route; stocked Sulampi product is IV only</t>
        </is>
      </c>
      <c r="G92" s="3" t="inlineStr">
        <is>
          <t>IM, IV: 1.5 to 3 g every 6 hours</t>
        </is>
      </c>
      <c r="H92" s="3" t="inlineStr">
        <is>
          <t>The stocked product's Taiwan insert (舒安比靜脈乾粉注射劑) describes IV administration only (bolus ≥3 min or 15–30 min infusion). IM use comes from US UNASYN labelling.</t>
        </is>
      </c>
      <c r="I92" s="3" t="inlineStr">
        <is>
          <t>Taiwan insert 【劑量與用法】 'Sulbactam sodium/Ampicillin sodium 靜脈注射劑可以用靜脈內注射的途徑給予' https://www.cth.org.tw/public/medi_news/9e24641f15ab702170213ee1b96e6469.pdf</t>
        </is>
      </c>
      <c r="J92" s="3" t="inlineStr">
        <is>
          <t>Open</t>
        </is>
      </c>
      <c r="K92" s="3" t="inlineStr"/>
    </row>
    <row r="93">
      <c r="A93" s="3" t="n">
        <v>44</v>
      </c>
      <c r="B93" s="3" t="inlineStr">
        <is>
          <t>Sulampi (Ampicillin/Sulbactam) (SUL05)</t>
        </is>
      </c>
      <c r="C93" s="7" t="inlineStr">
        <is>
          <t>High</t>
        </is>
      </c>
      <c r="D93" s="3" t="inlineStr">
        <is>
          <t>Administration/compatibility</t>
        </is>
      </c>
      <c r="E93" s="3" t="inlineStr"/>
      <c r="F93" s="3" t="inlineStr">
        <is>
          <t>Remove IM from adult and pediatric routes; IV only per Sulampi insert</t>
        </is>
      </c>
      <c r="G93" s="3" t="inlineStr">
        <is>
          <t>Adult 'IM, IV: 1.5 to 3 g every 6 hours'; pediatric mild-moderate 'IV, IM'</t>
        </is>
      </c>
      <c r="H93" s="3" t="inlineStr">
        <is>
          <t>The Sulampi insert describes an IV-only product: '靜脈乾粉注射劑 ... 可以用靜脈內注射的途徑給予'. The hospital's own 注射給藥指引 lists only IVF/IV bolus. FDA: 'safety and efficacy of UNASYN administered via intramuscular injection in pediatric patients have not been established'.</t>
        </is>
      </c>
      <c r="I93" s="3" t="inlineStr">
        <is>
          <t>Sulampi 仿單 https://www.cth.org.tw/public/medi_news/9e24641f15ab702170213ee1b96e6469.pdf ; FDA UNASYN Pediatric Patients https://dailymed.nlm.nih.gov/dailymed/drugInfo.cfm?setid=155c7ec0-5862-404f-b1d0-f278f8a8bbda</t>
        </is>
      </c>
      <c r="J93" s="3" t="inlineStr">
        <is>
          <t>Open</t>
        </is>
      </c>
      <c r="K93" s="3" t="inlineStr"/>
    </row>
    <row r="94">
      <c r="A94" s="3" t="n">
        <v>52</v>
      </c>
      <c r="B94" s="3" t="inlineStr">
        <is>
          <t>Sulampi (Ampicillin/Sulbactam) (SUL05)</t>
        </is>
      </c>
      <c r="C94" s="7" t="inlineStr">
        <is>
          <t>High</t>
        </is>
      </c>
      <c r="D94" s="3" t="inlineStr">
        <is>
          <t>Contraindication/warning</t>
        </is>
      </c>
      <c r="E94" s="3" t="inlineStr"/>
      <c r="F94" s="3" t="inlineStr">
        <is>
          <t>Add contraindication after prior amp/sulb cholestatic jaundice/hepatic dysfunction; monitor LFTs in hepatic impairment</t>
        </is>
      </c>
      <c r="G94" s="3" t="inlineStr">
        <is>
          <t>There is no dosage adjustment provided in the manufacturer's labeling</t>
        </is>
      </c>
      <c r="H94" s="3" t="inlineStr">
        <is>
          <t>Accurate, but it leaves out the FDA advice to monitor hepatic function regularly in hepatic impairment, and the contraindication after prior cholestatic jaundice/hepatic dysfunction with this drug.</t>
        </is>
      </c>
      <c r="I94" s="3" t="inlineStr">
        <is>
          <t>FDA UNASYN CONTRAINDICATIONS and WARNINGS–Hepatotoxicity</t>
        </is>
      </c>
      <c r="J94" s="3" t="inlineStr">
        <is>
          <t>Open</t>
        </is>
      </c>
      <c r="K94" s="3" t="inlineStr"/>
    </row>
    <row r="95">
      <c r="A95" s="3" t="n">
        <v>41</v>
      </c>
      <c r="B95" s="3" t="inlineStr">
        <is>
          <t>Sulampi (Ampicillin/Sulbactam) (SUL05)</t>
        </is>
      </c>
      <c r="C95" s="7" t="inlineStr">
        <is>
          <t>High</t>
        </is>
      </c>
      <c r="D95" s="3" t="inlineStr">
        <is>
          <t>Dosing – pediatric</t>
        </is>
      </c>
      <c r="E95" s="3" t="inlineStr"/>
      <c r="F95" s="3" t="inlineStr">
        <is>
          <t>Pediatric max 200 mg ampicillin/kg/day (US); flag 400 mg/kg/day as off-label</t>
        </is>
      </c>
      <c r="G95" s="3" t="inlineStr">
        <is>
          <t>IV: 200 to 400 mg ampicillin/kg/day divided every 6 hours (up to 400 for severe infection); usual maximum 2,000 mg ampicillin/dose</t>
        </is>
      </c>
      <c r="H95" s="3" t="inlineStr">
        <is>
          <t>US label: 300 mg/kg/day total = 200 mg ampicillin/kg/day, age ≥1 year, IV only. Taiwan insert: 150 mg/kg/day total (100 mg ampicillin/kg/day) q6–8h; neonates in the first week 75 mg/kg/day q12h. 400 mg ampicillin/kg/day is above both labels (off-label).</t>
        </is>
      </c>
      <c r="I95" s="3" t="inlineStr">
        <is>
          <t>DailyMed UNASYN Pediatric Patients 1 Year of Age or Older; Taiwan insert 使用於孩童、嬰兒和新生兒</t>
        </is>
      </c>
      <c r="J95" s="3" t="inlineStr">
        <is>
          <t>Open</t>
        </is>
      </c>
      <c r="K95" s="3" t="inlineStr"/>
    </row>
    <row r="96">
      <c r="A96" s="3" t="n">
        <v>50</v>
      </c>
      <c r="B96" s="3" t="inlineStr">
        <is>
          <t>Sulampi (Ampicillin/Sulbactam) (SUL05)</t>
        </is>
      </c>
      <c r="C96" s="7" t="inlineStr">
        <is>
          <t>High</t>
        </is>
      </c>
      <c r="D96" s="3" t="inlineStr">
        <is>
          <t>Dosing – pediatric</t>
        </is>
      </c>
      <c r="E96" s="3" t="inlineStr"/>
      <c r="F96" s="3" t="inlineStr">
        <is>
          <t>Align pediatric dosing: 200 mg ampicillin/kg/day q6h (US) or TW 100 mg/kg/day; no 400 mg/kg/day</t>
        </is>
      </c>
      <c r="G96" s="3" t="inlineStr">
        <is>
          <t>Mild-moderate 100–200 mg ampicillin/kg/day ÷ q6h; severe 200–400 mg ampicillin/kg/day</t>
        </is>
      </c>
      <c r="H96" s="3" t="inlineStr">
        <is>
          <t>FDA (≥1 yr): 200 mg ampicillin/kg/day (300 mg/kg/day combined) ÷ q6h; ≥40 kg use adult dose; sulbactam ≤4 g/day. Sulampi 仿單: 100 mg ampicillin/kg/day (150 combined) ÷ q6–8h; neonates ≤1 week 50 mg ampicillin/kg/day ÷ q12h. Neither label supports 400 mg/kg/day.</t>
        </is>
      </c>
      <c r="I96" s="3" t="inlineStr">
        <is>
          <t>FDA UNASYN Pediatric Patients 1 Year of Age or Older; Sulampi 仿單 使用於孩童、嬰兒和新生兒</t>
        </is>
      </c>
      <c r="J96" s="3" t="inlineStr">
        <is>
          <t>Open</t>
        </is>
      </c>
      <c r="K96" s="3" t="inlineStr"/>
    </row>
    <row r="97">
      <c r="A97" s="3" t="n">
        <v>35</v>
      </c>
      <c r="B97" s="3" t="inlineStr">
        <is>
          <t>Sulampi (Ampicillin/Sulbactam) (SUL05)</t>
        </is>
      </c>
      <c r="C97" s="7" t="inlineStr">
        <is>
          <t>High</t>
        </is>
      </c>
      <c r="D97" s="3" t="inlineStr">
        <is>
          <t>Indication/coverage</t>
        </is>
      </c>
      <c r="E97" s="3" t="inlineStr"/>
      <c r="F97" s="3" t="inlineStr">
        <is>
          <t>Remove C. difficile from covered anaerobes; list Clostridium spp.; amp/sulb causes CDAD</t>
        </is>
      </c>
      <c r="G97" s="3" t="inlineStr">
        <is>
          <t>Infections caused by ... Anaerobic bacteria (Bacteroides Fusobacterium, Clostridium difficile), and Branhumella catarrhalis</t>
        </is>
      </c>
      <c r="H97" s="3" t="inlineStr">
        <is>
          <t>US label lists 'Clostridium species' (non-β-lactamase producers) and names C. difficile only as the cause of CDAD (WARNINGS). The C. difficile text is copied from the old Taiwan insert's indication paragraph (confirmed on the PDF image) and is clinically wrong. 'Branhumella' is misspelled in the Taiwan insert itself; the correct genus is Branhamella, now Moraxella catarrhalis (US label MICROBIOLOGY).</t>
        </is>
      </c>
      <c r="I97" s="3" t="inlineStr">
        <is>
          <t>DailyMed UNASYN MICROBIOLOGY–Anaerobes, WARNINGS–CDAD https://dailymed.nlm.nih.gov/dailymed/drugInfo.cfm?setid=155c7ec0-5862-404f-b1d0-f278f8a8bbda; Taiwan insert 【適應症】 https://www.cth.org.tw/public/medi_news/9e24641f15ab702170213ee1b96e6469.pdf</t>
        </is>
      </c>
      <c r="J97" s="3" t="inlineStr">
        <is>
          <t>Open</t>
        </is>
      </c>
      <c r="K97" s="3" t="inlineStr"/>
    </row>
    <row r="98">
      <c r="A98" s="3" t="n">
        <v>45</v>
      </c>
      <c r="B98" s="3" t="inlineStr">
        <is>
          <t>Sulampi (Ampicillin/Sulbactam) (SUL05)</t>
        </is>
      </c>
      <c r="C98" s="7" t="inlineStr">
        <is>
          <t>High</t>
        </is>
      </c>
      <c r="D98" s="3" t="inlineStr">
        <is>
          <t>Indication/coverage</t>
        </is>
      </c>
      <c r="E98" s="3" t="inlineStr"/>
      <c r="F98" s="3" t="inlineStr">
        <is>
          <t>Delete Clostridium difficile from coverage list; note CDAD warning</t>
        </is>
      </c>
      <c r="G98" s="3" t="inlineStr">
        <is>
          <t>Lists 'Clostridium difficile' among covered anaerobes</t>
        </is>
      </c>
      <c r="H98" s="3" t="inlineStr">
        <is>
          <t>The error comes from the Taiwan insert's own 適應症 text. Clinically, ampicillin/sulbactam causes CDAD (FDA Warnings: Clostridioides difficile-Associated Diarrhea); the FDA microbiology list names only 'Clostridium species'.</t>
        </is>
      </c>
      <c r="I98" s="3" t="inlineStr">
        <is>
          <t>FDA UNASYN WARNINGS–CDAD and MICROBIOLOGY https://dailymed.nlm.nih.gov/dailymed/drugInfo.cfm?setid=155c7ec0-5862-404f-b1d0-f278f8a8bbda</t>
        </is>
      </c>
      <c r="J98" s="3" t="inlineStr">
        <is>
          <t>Open</t>
        </is>
      </c>
      <c r="K98" s="3" t="inlineStr"/>
    </row>
    <row r="99">
      <c r="A99" s="3" t="n">
        <v>132</v>
      </c>
      <c r="B99" s="3" t="inlineStr">
        <is>
          <t>Taigexyn (Nemonoxacin) (TAI05, TAI06)</t>
        </is>
      </c>
      <c r="C99" s="7" t="inlineStr">
        <is>
          <t>High</t>
        </is>
      </c>
      <c r="D99" s="3" t="inlineStr">
        <is>
          <t>Breastfeeding</t>
        </is>
      </c>
      <c r="E99" s="3" t="inlineStr"/>
      <c r="F99" s="3" t="inlineStr">
        <is>
          <t>State contraindicated in breastfeeding; interrupt breastfeeding if used (replace generic caution text)</t>
        </is>
      </c>
      <c r="G99" s="3" t="inlineStr">
        <is>
          <t>Generic LactMed/Micromedex-style caution wording</t>
        </is>
      </c>
      <c r="H99" s="3" t="inlineStr">
        <is>
          <t>Contraindicated during breastfeeding; if benefit outweighs risk, breastfeeding must be interrupted (應暫停哺乳). There is no LactMed record for nemonoxacin.</t>
        </is>
      </c>
      <c r="I99" s="3" t="inlineStr">
        <is>
          <t>TFDA 仿單 §4, §6.2 (both products) — https://mcp.fda.gov.tw/im_detail_1/%E8%A1%9B%E9%83%A8%E8%97%A5%E8%A3%BD%E5%AD%97%E7%AC%AC058540%E8%99%9F</t>
        </is>
      </c>
      <c r="J99" s="3" t="inlineStr">
        <is>
          <t>Open</t>
        </is>
      </c>
      <c r="K99" s="3" t="inlineStr"/>
    </row>
    <row r="100">
      <c r="A100" s="3" t="n">
        <v>137</v>
      </c>
      <c r="B100" s="3" t="inlineStr">
        <is>
          <t>Taigexyn (Nemonoxacin) (TAI05, TAI06)</t>
        </is>
      </c>
      <c r="C100" s="7" t="inlineStr">
        <is>
          <t>High</t>
        </is>
      </c>
      <c r="D100" s="3" t="inlineStr">
        <is>
          <t>Breastfeeding</t>
        </is>
      </c>
      <c r="E100" s="3" t="inlineStr"/>
      <c r="F100" s="3" t="inlineStr">
        <is>
          <t>Replace Micromedex rating with: contraindicated in breastfeeding; stop breastfeeding if used</t>
        </is>
      </c>
      <c r="G100" s="3" t="inlineStr">
        <is>
          <t>'Available evidence and/or expert consensus is inconclusive… Use during breastfeeding is not recommended' (Micromedex-style rating text)</t>
        </is>
      </c>
      <c r="H100" s="3" t="inlineStr">
        <is>
          <t>哺乳中婦女禁用 (contraindicated); if the drug is used, 應暫停哺乳 (breastfeeding must stop)</t>
        </is>
      </c>
      <c r="I100" s="3" t="inlineStr">
        <is>
          <t>TFDA 仿單 6.2 — https://mcp.fda.gov.tw/im_detail_1/%E8%A1%9B%E9%83%A8%E8%97%A5%E8%A3%BD%E5%AD%97%E7%AC%AC060558%E8%99%9F</t>
        </is>
      </c>
      <c r="J100" s="3" t="inlineStr">
        <is>
          <t>Open</t>
        </is>
      </c>
      <c r="K100" s="3" t="inlineStr"/>
    </row>
    <row r="101">
      <c r="A101" s="3" t="n">
        <v>129</v>
      </c>
      <c r="B101" s="3" t="inlineStr">
        <is>
          <t>Taigexyn (Nemonoxacin) (TAI05, TAI06)</t>
        </is>
      </c>
      <c r="C101" s="7" t="inlineStr">
        <is>
          <t>High</t>
        </is>
      </c>
      <c r="D101" s="3" t="inlineStr">
        <is>
          <t>Contraindication/warning</t>
        </is>
      </c>
      <c r="E101" s="3" t="inlineStr"/>
      <c r="F101" s="3" t="inlineStr">
        <is>
          <t>Add contraindication: children and adolescents (plus quinolone hypersensitivity) per TW insert §4</t>
        </is>
      </c>
      <c r="G101" s="3" t="inlineStr">
        <is>
          <t>Contraindications list pregnancy and breastfeeding only; pediatric field says use is not established</t>
        </is>
      </c>
      <c r="H101" s="3" t="inlineStr">
        <is>
          <t>Contraindicated in quinolone hypersensitivity, in pregnancy or breastfeeding, and in children or adolescents (§4 禁忌: '◎兒童或青少年')</t>
        </is>
      </c>
      <c r="I101" s="3" t="inlineStr">
        <is>
          <t>TFDA 仿單 §4 (both products) — https://mcp.fda.gov.tw/im_detail_1/%E8%A1%9B%E9%83%A8%E8%97%A5%E8%A3%BD%E5%AD%97%E7%AC%AC058540%E8%99%9F ; https://mcp.fda.gov.tw/im_detail_1/%E8%A1%9B%E9%83%A8%E8%97%A5%E8%A3%BD%E5%AD%97%E7%AC%AC060558%E8%99%9F</t>
        </is>
      </c>
      <c r="J101" s="3" t="inlineStr">
        <is>
          <t>Open</t>
        </is>
      </c>
      <c r="K101" s="3" t="inlineStr"/>
    </row>
    <row r="102">
      <c r="A102" s="3" t="n">
        <v>135</v>
      </c>
      <c r="B102" s="3" t="inlineStr">
        <is>
          <t>Taigexyn (Nemonoxacin) (TAI05, TAI06)</t>
        </is>
      </c>
      <c r="C102" s="7" t="inlineStr">
        <is>
          <t>High</t>
        </is>
      </c>
      <c r="D102" s="3" t="inlineStr">
        <is>
          <t>Contraindication/warning</t>
        </is>
      </c>
      <c r="E102" s="3" t="inlineStr"/>
      <c r="F102" s="3" t="inlineStr">
        <is>
          <t>Add children/adolescents contraindication to TAI05/TAI06 禁忌症 and pediatric fields</t>
        </is>
      </c>
      <c r="G102" s="3" t="inlineStr">
        <is>
          <t>Contraindications list only quinolone hypersensitivity and pregnancy/breastfeeding. The pediatric field says only 'no adequate studies' (TAI05) or 'efficacy and safety not established' (TAI06).</t>
        </is>
      </c>
      <c r="H102" s="3" t="inlineStr">
        <is>
          <t>4 禁忌 also lists ◎兒童或青少年 (children and adolescents are contraindicated)</t>
        </is>
      </c>
      <c r="I102" s="3" t="inlineStr">
        <is>
          <t>TFDA 仿單 4 禁忌 (both products) — https://mcp.fda.gov.tw/im_detail_1/%E8%A1%9B%E9%83%A8%E8%97%A5%E8%A3%BD%E5%AD%97%E7%AC%AC060558%E8%99%9F</t>
        </is>
      </c>
      <c r="J102" s="3" t="inlineStr">
        <is>
          <t>Open</t>
        </is>
      </c>
      <c r="K102" s="3" t="inlineStr"/>
    </row>
    <row r="103">
      <c r="A103" s="3" t="n">
        <v>136</v>
      </c>
      <c r="B103" s="3" t="inlineStr">
        <is>
          <t>Taigexyn (Nemonoxacin) (TAI05, TAI06)</t>
        </is>
      </c>
      <c r="C103" s="7" t="inlineStr">
        <is>
          <t>High</t>
        </is>
      </c>
      <c r="D103" s="3" t="inlineStr">
        <is>
          <t>Pregnancy</t>
        </is>
      </c>
      <c r="E103" s="3" t="inlineStr"/>
      <c r="F103" s="3" t="inlineStr">
        <is>
          <t>TAI05: state contraindicated in pregnancy (align with TAI06 and insert)</t>
        </is>
      </c>
      <c r="G103" s="3" t="inlineStr">
        <is>
          <t>'Use during pregnancy is not recommended'</t>
        </is>
      </c>
      <c r="H103" s="3" t="inlineStr">
        <is>
          <t>懷孕或有可能懷孕的女性禁用 (contraindicated). TAI06 correctly says contraindicated, so the two pages are inconsistent.</t>
        </is>
      </c>
      <c r="I103" s="3" t="inlineStr">
        <is>
          <t>TFDA 仿單 Taigexyn Capsule 4, 6.1 — https://mcp.fda.gov.tw/im_detail_1/%E8%A1%9B%E9%83%A8%E8%97%A5%E8%A3%BD%E5%AD%97%E7%AC%AC058540%E8%99%9F</t>
        </is>
      </c>
      <c r="J103" s="3" t="inlineStr">
        <is>
          <t>Open</t>
        </is>
      </c>
      <c r="K103" s="3" t="inlineStr"/>
    </row>
    <row r="104">
      <c r="A104" s="3" t="n">
        <v>202</v>
      </c>
      <c r="B104" s="3" t="inlineStr">
        <is>
          <t>UFO (Fosfomycin) (UFO02)</t>
        </is>
      </c>
      <c r="C104" s="7" t="inlineStr">
        <is>
          <t>High</t>
        </is>
      </c>
      <c r="D104" s="3" t="inlineStr">
        <is>
          <t>Contraindication/warning</t>
        </is>
      </c>
      <c r="E104" s="3" t="inlineStr"/>
      <c r="F104" s="3" t="inlineStr">
        <is>
          <t>Add sodium load (14.5 mEq/g), hypokalaemia, neutropenia warnings and combination-therapy advice</t>
        </is>
      </c>
      <c r="G104" s="3" t="inlineStr">
        <is>
          <t>No sodium-load, hypokalaemia, neutropenia/agranulocytosis or combination-therapy warnings</t>
        </is>
      </c>
      <c r="H104" s="3" t="inlineStr">
        <is>
          <t>14.5 mEq Na/g: monitor Na/K, low-sodium diet, K supplementation; monitor WBC; combine with another antibiotic</t>
        </is>
      </c>
      <c r="I104" s="3" t="inlineStr">
        <is>
          <t>Taiwan insert §5.1</t>
        </is>
      </c>
      <c r="J104" s="3" t="inlineStr">
        <is>
          <t>Open</t>
        </is>
      </c>
      <c r="K104" s="3" t="inlineStr"/>
    </row>
    <row r="105">
      <c r="A105" s="3" t="n">
        <v>212</v>
      </c>
      <c r="B105" s="3" t="inlineStr">
        <is>
          <t>UFO (Fosfomycin) (UFO02)</t>
        </is>
      </c>
      <c r="C105" s="7" t="inlineStr">
        <is>
          <t>High</t>
        </is>
      </c>
      <c r="D105" s="3" t="inlineStr">
        <is>
          <t>Contraindication/warning</t>
        </is>
      </c>
      <c r="E105" s="3" t="inlineStr"/>
      <c r="F105" s="3" t="inlineStr">
        <is>
          <t>Add sodium-load/K monitoring warning and combination-therapy recommendation</t>
        </is>
      </c>
      <c r="G105" s="3" t="inlineStr">
        <is>
          <t>Not mentioned</t>
        </is>
      </c>
      <c r="H105" s="3" t="inlineStr">
        <is>
          <t>14.5 mEq sodium per g: monitor Na and K, low-sodium diet, consider K supplements. Combination with another antibiotic is recommended because resistance is selected quickly.</t>
        </is>
      </c>
      <c r="I105" s="3" t="inlineStr">
        <is>
          <t>Taiwan insert UFO §5.1; UK SmPC §4.4</t>
        </is>
      </c>
      <c r="J105" s="3" t="inlineStr">
        <is>
          <t>Open</t>
        </is>
      </c>
      <c r="K105" s="3" t="inlineStr"/>
    </row>
    <row r="106">
      <c r="A106" s="3" t="n">
        <v>200</v>
      </c>
      <c r="B106" s="3" t="inlineStr">
        <is>
          <t>UFO (Fosfomycin) (UFO02)</t>
        </is>
      </c>
      <c r="C106" s="7" t="inlineStr">
        <is>
          <t>High</t>
        </is>
      </c>
      <c r="D106" s="3" t="inlineStr">
        <is>
          <t>Dosing – adult</t>
        </is>
      </c>
      <c r="E106" s="3" t="inlineStr"/>
      <c r="F106" s="3" t="inlineStr">
        <is>
          <t>Remove IM route; IV only 2–4 g/day per TW insert</t>
        </is>
      </c>
      <c r="G106" s="3" t="inlineStr">
        <is>
          <t>Micromedex-style text: disodium fosfomycin 2–4 g/day IV and IM; up to 16 g/day IV in severe infection; mentions vein/tissue irritation</t>
        </is>
      </c>
      <c r="H106" s="3" t="inlineStr">
        <is>
          <t>Taiwan insert: IV only (IVD or slow IV push), 2–4 g/day; no intramuscular route. UK: 12–24 g/day IV; US: 6 g q8h IV.</t>
        </is>
      </c>
      <c r="I106" s="3" t="inlineStr">
        <is>
          <t>Taiwan insert §3.1; UK SmPC §4.2; US Contepo §2.1</t>
        </is>
      </c>
      <c r="J106" s="3" t="inlineStr">
        <is>
          <t>Open</t>
        </is>
      </c>
      <c r="K106" s="3" t="inlineStr"/>
    </row>
    <row r="107">
      <c r="A107" s="3" t="n">
        <v>207</v>
      </c>
      <c r="B107" s="3" t="inlineStr">
        <is>
          <t>UFO (Fosfomycin) (UFO02)</t>
        </is>
      </c>
      <c r="C107" s="7" t="inlineStr">
        <is>
          <t>High</t>
        </is>
      </c>
      <c r="D107" s="3" t="inlineStr">
        <is>
          <t>Dosing – adult</t>
        </is>
      </c>
      <c r="E107" s="3" t="inlineStr"/>
      <c r="F107" s="3" t="inlineStr">
        <is>
          <t>Remove IM route; IV infusion/push only 2–4 g/day</t>
        </is>
      </c>
      <c r="G107" s="3" t="inlineStr">
        <is>
          <t>Micromedex-style text: disodium fosfomycin 2–4 g/day IV or IM in divided doses; up to 16 g/day IV in severe infection</t>
        </is>
      </c>
      <c r="H107" s="3" t="inlineStr">
        <is>
          <t>IV infusion or IV push only: 2–4 g/day (IVD in 2 doses; IV push in 2–4 doses). The insert has no IM route. The UK SmPC gives 12–24 g/day IV.</t>
        </is>
      </c>
      <c r="I107" s="3" t="inlineStr">
        <is>
          <t>Taiwan insert UFO §3.1; UK SmPC §4.2</t>
        </is>
      </c>
      <c r="J107" s="3" t="inlineStr">
        <is>
          <t>Open</t>
        </is>
      </c>
      <c r="K107" s="3" t="inlineStr"/>
    </row>
    <row r="108">
      <c r="A108" s="3" t="n">
        <v>196</v>
      </c>
      <c r="B108" s="3" t="inlineStr">
        <is>
          <t>UFO (Fosfomycin) (UFO02)</t>
        </is>
      </c>
      <c r="C108" s="7" t="inlineStr">
        <is>
          <t>High</t>
        </is>
      </c>
      <c r="D108" s="3" t="inlineStr">
        <is>
          <t>Dosing – renal/dialysis</t>
        </is>
      </c>
      <c r="E108" s="3" t="inlineStr">
        <is>
          <t>Renal table outdated</t>
        </is>
      </c>
      <c r="F108" s="3" t="inlineStr">
        <is>
          <t>Add CrCl &lt;40 table (70/60/40/20%), HD 2 g q48h post-dialysis, CVVH no change</t>
        </is>
      </c>
      <c r="G108" s="3" t="inlineStr">
        <is>
          <t>There are no dosage adjustments provided in the manufacturer's labeling.</t>
        </is>
      </c>
      <c r="H108" s="3" t="inlineStr">
        <is>
          <t>CrCl &lt;40: 20–70% of daily dose (40→70%, 30→60%, 20→40%, 10→20%); intermittent HD q48h: 2 g after dialysis; CVVH: no adjustment. The UK SmPC agrees; US Contepo adjusts at CrCl ≤50.</t>
        </is>
      </c>
      <c r="I108" s="3" t="inlineStr">
        <is>
          <t>Taiwan insert §3.1; UK SmPC §4.2 — https://www.medicines.org.uk/emc/product/100356/smpc; US Contepo §2.2 — https://dailymed.nlm.nih.gov/dailymed/drugInfo.cfm?setid=855574f2-39f8-43bc-a3d2-79dbb578cb94</t>
        </is>
      </c>
      <c r="J108" s="3" t="inlineStr">
        <is>
          <t>Open</t>
        </is>
      </c>
      <c r="K108" s="3" t="inlineStr"/>
    </row>
    <row r="109">
      <c r="A109" s="3" t="n">
        <v>206</v>
      </c>
      <c r="B109" s="3" t="inlineStr">
        <is>
          <t>UFO (Fosfomycin) (UFO02)</t>
        </is>
      </c>
      <c r="C109" s="7" t="inlineStr">
        <is>
          <t>High</t>
        </is>
      </c>
      <c r="D109" s="3" t="inlineStr">
        <is>
          <t>Dosing – renal/dialysis</t>
        </is>
      </c>
      <c r="E109" s="3" t="inlineStr">
        <is>
          <t>Renal table outdated</t>
        </is>
      </c>
      <c r="F109" s="3" t="inlineStr">
        <is>
          <t>Add CrCl &lt;40 dose % table and HD 2 g q48h post-dialysis</t>
        </is>
      </c>
      <c r="G109" s="3" t="inlineStr">
        <is>
          <t>There are no dosage adjustments provided in the manufacturer's labeling</t>
        </is>
      </c>
      <c r="H109" s="3" t="inlineStr">
        <is>
          <t>For CrCl &lt;40, give 20–70% of the daily dose (40→70%, 30→60%, 20→40%, 10→20%). Intermittent HD every 48 h: 2 g after dialysis. CVVH: no adjustment.</t>
        </is>
      </c>
      <c r="I109" s="3" t="inlineStr">
        <is>
          <t>Taiwan insert UFO §3.1; UK SmPC §4.2 https://www.medicines.org.uk/emc/product/100356/smpc</t>
        </is>
      </c>
      <c r="J109" s="3" t="inlineStr">
        <is>
          <t>Open</t>
        </is>
      </c>
      <c r="K109" s="3" t="inlineStr"/>
    </row>
    <row r="110">
      <c r="A110" s="3" t="n">
        <v>436</v>
      </c>
      <c r="B110" s="3" t="inlineStr">
        <is>
          <t>Vancomycin (UVA01)</t>
        </is>
      </c>
      <c r="C110" s="7" t="inlineStr">
        <is>
          <t>High</t>
        </is>
      </c>
      <c r="D110" s="3" t="inlineStr">
        <is>
          <t>Dosing – adult</t>
        </is>
      </c>
      <c r="E110" s="3" t="inlineStr"/>
      <c r="F110" s="3" t="inlineStr">
        <is>
          <t>Align to label usual 2 g/day (≥15 mg/kg initial); &gt;2 g/day TDM-guided; infuse ≤10 mg/min or ≥60 min</t>
        </is>
      </c>
      <c r="G110" s="3" t="inlineStr">
        <is>
          <t>2-3 g/day (30-60 mg/kg/day) divided q8-12h, each gram over ≥60 min</t>
        </is>
      </c>
      <c r="H110" s="3" t="inlineStr">
        <is>
          <t>The 仿單 for the stocked product and the US FDA label give a usual dose of 2 g/day (500 mg q6h or 1 g q12h), initial dose at least 15 mg/kg. UK SmPC: 15-20 mg/kg q8-12h, max 2 g/dose (overlaps the 30-60 mg/kg/day range), with a 25-30 mg/kg loading dose in seriously ill patients. A fixed 3 g/day is not in the label for the stocked product. Infusion should be at no more than 10 mg/min or over at least 60 min, whichever is longer, which is stricter than 'each gram over ≥60 min' for doses above 600 mg.</t>
        </is>
      </c>
      <c r="I110" s="3" t="inlineStr">
        <is>
          <t>Taiwan 仿單 3.1 https://mcp.fda.gov.tw/im_detail_1/%E8%A1%9B%E7%BD%B2%E8%97%A5%E8%A3%BD%E5%AD%97%E7%AC%AC041443%E8%99%9F ; US FDA D&amp;A https://dailymed.nlm.nih.gov/dailymed/drugInfo.cfm?setid=2dc7b3d6-3874-40ac-b8aa-7bcfe2dc0cdf ; UK SmPC 4.2 https://www.medicines.org.uk/emc/product/15737/smpc</t>
        </is>
      </c>
      <c r="J110" s="3" t="inlineStr">
        <is>
          <t>Open</t>
        </is>
      </c>
      <c r="K110" s="3" t="inlineStr"/>
    </row>
    <row r="111">
      <c r="A111" s="3" t="n">
        <v>442</v>
      </c>
      <c r="B111" s="3" t="inlineStr">
        <is>
          <t>Vancomycin (UVA01)</t>
        </is>
      </c>
      <c r="C111" s="7" t="inlineStr">
        <is>
          <t>High</t>
        </is>
      </c>
      <c r="D111" s="3" t="inlineStr">
        <is>
          <t>Dosing – adult</t>
        </is>
      </c>
      <c r="E111" s="3" t="inlineStr"/>
      <c r="F111" s="3" t="inlineStr">
        <is>
          <t>Usual 2 g/day per stocked insert; doses &gt;2 g/day only with TDM</t>
        </is>
      </c>
      <c r="G111" s="3" t="inlineStr">
        <is>
          <t>2-3 g/day (30-60 mg/kg/day) divided q8-12h</t>
        </is>
      </c>
      <c r="H111" s="3" t="inlineStr">
        <is>
          <t>Taiwan insert (same product) and US label: usual 2 g/day (500 mg q6h or 1 g q12h). UK: 15-20 mg/kg q8-12h, max 2 g/dose, which overlaps with 30-60 mg/kg/day only for the weight-based range. Doses above 2 g/day need TDM support.</t>
        </is>
      </c>
      <c r="I111" s="3" t="inlineStr">
        <is>
          <t>Taiwan insert 3.1 https://mcp.fda.gov.tw/im_detail_1/%E8%A1%9B%E7%BD%B2%E8%97%A5%E8%A3%BD%E5%AD%97%E7%AC%AC041443%E8%99%9F; US D&amp;A; UK SmPC 4.2</t>
        </is>
      </c>
      <c r="J111" s="3" t="inlineStr">
        <is>
          <t>Open</t>
        </is>
      </c>
      <c r="K111" s="3" t="inlineStr"/>
    </row>
    <row r="112">
      <c r="A112" s="3" t="n">
        <v>437</v>
      </c>
      <c r="B112" s="3" t="inlineStr">
        <is>
          <t>Vancomycin (UVA01)</t>
        </is>
      </c>
      <c r="C112" s="7" t="inlineStr">
        <is>
          <t>High</t>
        </is>
      </c>
      <c r="D112" s="3" t="inlineStr">
        <is>
          <t>Dosing – renal/dialysis</t>
        </is>
      </c>
      <c r="E112" s="3" t="inlineStr">
        <is>
          <t>Renal table outdated</t>
        </is>
      </c>
      <c r="F112" s="3" t="inlineStr">
        <is>
          <t>Replace unsourced day 1/4/weekly ESRD regimen with label regimen or cited guideline; level-guided redosing</t>
        </is>
      </c>
      <c r="G112" s="3" t="inlineStr">
        <is>
          <t>ESRD: 15 mg/kg day 1, 15 mg/kg day 4, then 15 mg/kg every 7 days</t>
        </is>
      </c>
      <c r="H112" s="3" t="inlineStr">
        <is>
          <t>仿單/FDA: functionally anephric, 15 mg/kg then 1.9 mg/kg/24h; severe impairment, 250-1000 mg every several days; anuria, 1 g every 7-10 days. SmPC: in CrCl &lt;20 or RRT, re-dose based on levels, and high-flux HD needs post-HD replacement dosing. The day 1/day 4/weekly regimen matches no label. It needs a guideline citation, or it should be flagged.</t>
        </is>
      </c>
      <c r="I112" s="3" t="inlineStr">
        <is>
          <t>Taiwan 仿單 3.3 ; US FDA D&amp;A (impaired renal function) ; UK SmPC 4.2 Renal impairment</t>
        </is>
      </c>
      <c r="J112" s="3" t="inlineStr">
        <is>
          <t>Open</t>
        </is>
      </c>
      <c r="K112" s="3" t="inlineStr"/>
    </row>
    <row r="113">
      <c r="A113" s="3" t="n">
        <v>438</v>
      </c>
      <c r="B113" s="3" t="inlineStr">
        <is>
          <t>Vancomycin (UVA01)</t>
        </is>
      </c>
      <c r="C113" s="7" t="inlineStr">
        <is>
          <t>High</t>
        </is>
      </c>
      <c r="D113" s="3" t="inlineStr">
        <is>
          <t>Dosing – renal/dialysis</t>
        </is>
      </c>
      <c r="E113" s="3" t="inlineStr"/>
      <c r="F113" s="3" t="inlineStr">
        <is>
          <t>Add: high-flux HD and CRRT increase clearance; replacement dosing after HD needed</t>
        </is>
      </c>
      <c r="G113" s="3" t="inlineStr">
        <is>
          <t>Conventional hemodialysis does not clear vancomycin (stated without qualification)</t>
        </is>
      </c>
      <c r="H113" s="3" t="inlineStr">
        <is>
          <t>The labels agree that conventional HD and PD remove little vancomycin. However, the SmPC states that 'use of high-flux membranes and continuous renal replacement therapy (CRRT) increases vancomycin clearance and generally requires replacement dosing (usually after the haemodialysis session)'. The FDA label notes increased clearance with hemofiltration and hemoperfusion.</t>
        </is>
      </c>
      <c r="I113" s="3" t="inlineStr">
        <is>
          <t>UK SmPC 4.2 &amp; 5.2 https://www.medicines.org.uk/emc/product/15737/smpc ; US FDA OVERDOSAGE https://dailymed.nlm.nih.gov/dailymed/drugInfo.cfm?setid=2dc7b3d6-3874-40ac-b8aa-7bcfe2dc0cdf</t>
        </is>
      </c>
      <c r="J113" s="3" t="inlineStr">
        <is>
          <t>Open</t>
        </is>
      </c>
      <c r="K113" s="3" t="inlineStr"/>
    </row>
    <row r="114">
      <c r="A114" s="3" t="n">
        <v>443</v>
      </c>
      <c r="B114" s="3" t="inlineStr">
        <is>
          <t>Vancomycin (UVA01)</t>
        </is>
      </c>
      <c r="C114" s="7" t="inlineStr">
        <is>
          <t>High</t>
        </is>
      </c>
      <c r="D114" s="3" t="inlineStr">
        <is>
          <t>Dosing – renal/dialysis</t>
        </is>
      </c>
      <c r="E114" s="3" t="inlineStr">
        <is>
          <t>Renal table outdated</t>
        </is>
      </c>
      <c r="F114" s="3" t="inlineStr">
        <is>
          <t>Replace day-1/day-4/weekly ESRD regimen with label dosing or cited guideline</t>
        </is>
      </c>
      <c r="G114" s="3" t="inlineStr">
        <is>
          <t>15 mg/kg day 1, 15 mg/kg day 4, then 15 mg/kg every 7 days</t>
        </is>
      </c>
      <c r="H114" s="3" t="inlineStr">
        <is>
          <t>Taiwan insert/US: anephric 15 mg/kg then 1.9 mg/kg/24h; marked impairment 250-1000 mg every several days; anuria 1 g every 7-10 days. UK: initial dose, then re-dose by levels for CrCl &lt;20 or RRT. No label gives the day-1/day-4/weekly regimen; it needs a guideline citation or a flag.</t>
        </is>
      </c>
      <c r="I114" s="3" t="inlineStr">
        <is>
          <t>Taiwan insert 3.3; US D&amp;A Impaired Renal Function; UK SmPC 4.2</t>
        </is>
      </c>
      <c r="J114" s="3" t="inlineStr">
        <is>
          <t>Open</t>
        </is>
      </c>
      <c r="K114" s="3" t="inlineStr"/>
    </row>
    <row r="115">
      <c r="A115" s="3" t="n">
        <v>444</v>
      </c>
      <c r="B115" s="3" t="inlineStr">
        <is>
          <t>Vancomycin (UVA01)</t>
        </is>
      </c>
      <c r="C115" s="7" t="inlineStr">
        <is>
          <t>High</t>
        </is>
      </c>
      <c r="D115" s="3" t="inlineStr">
        <is>
          <t>Dosing – renal/dialysis</t>
        </is>
      </c>
      <c r="E115" s="3" t="inlineStr"/>
      <c r="F115" s="3" t="inlineStr">
        <is>
          <t>Add high-flux HD/CRRT clearance with post-HD replacement dosing</t>
        </is>
      </c>
      <c r="G115" s="3" t="inlineStr">
        <is>
          <t>Conventional haemodialysis does not clear vancomycin (no further qualification)</t>
        </is>
      </c>
      <c r="H115" s="3" t="inlineStr">
        <is>
          <t>UK SmPC: poorly dialyzable by intermittent HD, BUT high-flux membranes and CRRT increase clearance and generally need replacement dosing after HD.</t>
        </is>
      </c>
      <c r="I115" s="3" t="inlineStr">
        <is>
          <t>UK SmPC 4.2 Renal impairment https://www.medicines.org.uk/emc/product/15737/smpc</t>
        </is>
      </c>
      <c r="J115" s="3" t="inlineStr">
        <is>
          <t>Open</t>
        </is>
      </c>
      <c r="K115" s="3" t="inlineStr"/>
    </row>
    <row r="116">
      <c r="A116" s="3" t="n">
        <v>31</v>
      </c>
      <c r="B116" s="3" t="inlineStr">
        <is>
          <t>Vfend (Voriconazole) (VFE01, VFE02, VOR03)</t>
        </is>
      </c>
      <c r="C116" s="7" t="inlineStr">
        <is>
          <t>High</t>
        </is>
      </c>
      <c r="D116" s="3" t="inlineStr">
        <is>
          <t>Dosing – adult</t>
        </is>
      </c>
      <c r="E116" s="3" t="inlineStr"/>
      <c r="F116" s="3" t="inlineStr">
        <is>
          <t>Make candidemia IV dosing weight-based (6 mg/kg q12h ×2, then 3–4 mg/kg); fixed doses are oral</t>
        </is>
      </c>
      <c r="G116" s="3" t="inlineStr">
        <is>
          <t>'Initial 400 mg IV twice daily for 2 doses, then 200 to 300 mg IV or orally twice daily'</t>
        </is>
      </c>
      <c r="H116" s="3" t="inlineStr">
        <is>
          <t>Label IV dosing is weight-based: 6 mg/kg q12h × 2, then 3–4 mg/kg q12h. The fixed 400 mg and 200–300 mg doses are oral regimens in the labels (UK/TW). IDSA 2016 gives '400 mg (6 mg/kg) ... then 200 mg (3 mg/kg)' without naming a route.</t>
        </is>
      </c>
      <c r="I116" s="3" t="inlineStr">
        <is>
          <t>US §2.3 Table 1; UK SmPC §4.2; IDSA Candidiasis 2016 https://www.idsociety.org/practice-guideline/candidiasis/</t>
        </is>
      </c>
      <c r="J116" s="3" t="inlineStr">
        <is>
          <t>Open</t>
        </is>
      </c>
      <c r="K116" s="3" t="inlineStr"/>
    </row>
    <row r="117">
      <c r="A117" s="3" t="n">
        <v>32</v>
      </c>
      <c r="B117" s="3" t="inlineStr">
        <is>
          <t>Vfend (Voriconazole) (VFE01, VFE02, VOR03)</t>
        </is>
      </c>
      <c r="C117" s="7" t="inlineStr">
        <is>
          <t>High</t>
        </is>
      </c>
      <c r="D117" s="3" t="inlineStr">
        <is>
          <t>Dosing – adult</t>
        </is>
      </c>
      <c r="E117" s="3" t="inlineStr"/>
      <c r="F117" s="3" t="inlineStr">
        <is>
          <t>Add oral loading dose 400 mg q12h ×24 h (200 mg if &lt;40 kg) per UK/TW</t>
        </is>
      </c>
      <c r="G117" s="3" t="inlineStr">
        <is>
          <t>Aspergillosis: 200 mg twice daily (may increase to 300 mg per TDM); no loading dose stated</t>
        </is>
      </c>
      <c r="H117" s="3" t="inlineStr">
        <is>
          <t>UK and TW: start oral therapy with a 400 mg q12h loading dose for the first 24 h (200 mg q12h if &lt;40 kg). The US label uses IV loading for IA and keeps IV going for at least 7 days before switching.</t>
        </is>
      </c>
      <c r="I117" s="3" t="inlineStr">
        <is>
          <t>UK SmPC (tablet) §4.2 https://www.medicines.org.uk/emc/product/8408/smpc; Taiwan 仿單 §3.1; US §2.3</t>
        </is>
      </c>
      <c r="J117" s="3" t="inlineStr">
        <is>
          <t>Open</t>
        </is>
      </c>
      <c r="K117" s="3" t="inlineStr"/>
    </row>
    <row r="118">
      <c r="A118" s="3" t="n">
        <v>19</v>
      </c>
      <c r="B118" s="3" t="inlineStr">
        <is>
          <t>Vfend (Voriconazole) (VFE01, VFE02, VOR03)</t>
        </is>
      </c>
      <c r="C118" s="7" t="inlineStr">
        <is>
          <t>High</t>
        </is>
      </c>
      <c r="D118" s="3" t="inlineStr">
        <is>
          <t>Drug interaction</t>
        </is>
      </c>
      <c r="E118" s="3" t="inlineStr">
        <is>
          <t>Interaction list incomplete</t>
        </is>
      </c>
      <c r="F118" s="3" t="inlineStr">
        <is>
          <t>Add contraindicated: lurasidone, naloxegol, finerenone, eplerenone, voclosporin, venetoclax ramp-up, St John's wort; tolvaptan on VFE02</t>
        </is>
      </c>
      <c r="G118" s="3" t="inlineStr">
        <is>
          <t>Lists terfenadine, astemizole, cisapride, pimozide, quinidine, ivabradine, sirolimus, efavirenz, rifabutin, tolvaptan (VFE01 only) and ergot alkaloids</t>
        </is>
      </c>
      <c r="H118" s="3" t="inlineStr">
        <is>
          <t>Current US/UK/TW contraindications also include lurasidone, naloxegol, finerenone, eplerenone, voclosporin, and venetoclax (initiation/ramp-up), and St John's wort among the inducers. Tolvaptan is contraindicated in every label but is missing from the VFE02 list.</t>
        </is>
      </c>
      <c r="I118" s="3" t="inlineStr">
        <is>
          <t>US label 4; UK SmPC 4.3; TW insert 4 禁忌</t>
        </is>
      </c>
      <c r="J118" s="3" t="inlineStr">
        <is>
          <t>Open</t>
        </is>
      </c>
      <c r="K118" s="3" t="inlineStr"/>
    </row>
    <row r="119">
      <c r="A119" s="3" t="n">
        <v>28</v>
      </c>
      <c r="B119" s="3" t="inlineStr">
        <is>
          <t>Vfend (Voriconazole) (VFE01, VFE02, VOR03)</t>
        </is>
      </c>
      <c r="C119" s="7" t="inlineStr">
        <is>
          <t>High</t>
        </is>
      </c>
      <c r="D119" s="3" t="inlineStr">
        <is>
          <t>Drug interaction</t>
        </is>
      </c>
      <c r="E119" s="3" t="inlineStr">
        <is>
          <t>Interaction list incomplete</t>
        </is>
      </c>
      <c r="F119" s="3" t="inlineStr">
        <is>
          <t>Complete contraindicated drug list (St John's wort, lurasidone, naloxegol, etc.; tolvaptan on tablets); dose-qualify efavirenz/ritonavir</t>
        </is>
      </c>
      <c r="G119" s="3" t="inlineStr">
        <is>
          <t>Lists terfenadine, astemizole, cisapride, pimozide, quinidine, ivabradine; rifampin, carbamazepine, long-acting barbiturates, ritonavir, efavirenz, rifabutin; sirolimus, efavirenz, rifabutin, ergot alkaloids (tolvaptan appears only on VFE01).</t>
        </is>
      </c>
      <c r="H119" s="3" t="inlineStr">
        <is>
          <t>The list is missing St John's wort, lurasidone, naloxegol, eplerenone, finerenone, voclosporin and venetoclax (initiation/ramp-up), and tolvaptan on the tablet records. Efavirenz and ritonavir are contraindicated only at efavirenz ≥400 mg/day and ritonavir ≥400 mg q12h. Low-dose ritonavir should be avoided, and efavirenz 300 mg/day can be used with voriconazole 400 mg q12h. Rifabutin is contraindicated in the US and TW but only 'avoid' in the UK.</t>
        </is>
      </c>
      <c r="I119" s="3" t="inlineStr">
        <is>
          <t>US FDA label §4 and §7; UK SmPC §4.3; Taiwan 仿單 §4 https://mcp.fda.gov.tw/im_detail_1/%E8%A1%9B%E7%BD%B2%E8%97%A5%E8%BC%B8%E5%AD%97%E7%AC%AC023648%E8%99%9F</t>
        </is>
      </c>
      <c r="J119" s="3" t="inlineStr">
        <is>
          <t>Open</t>
        </is>
      </c>
      <c r="K119" s="3" t="inlineStr"/>
    </row>
    <row r="120">
      <c r="A120" s="3" t="n">
        <v>70</v>
      </c>
      <c r="B120" s="3" t="inlineStr">
        <is>
          <t>Zavicefta (Ceftazidime-Avibactam) (ZAV04)</t>
        </is>
      </c>
      <c r="C120" s="7" t="inlineStr">
        <is>
          <t>High</t>
        </is>
      </c>
      <c r="D120" s="3" t="inlineStr">
        <is>
          <t>Contraindication/warning</t>
        </is>
      </c>
      <c r="E120" s="3" t="inlineStr"/>
      <c r="F120" s="3" t="inlineStr">
        <is>
          <t>Add contraindication: severe hypersensitivity to any other β-lactam (TW/UK)</t>
        </is>
      </c>
      <c r="G120" s="3" t="inlineStr">
        <is>
          <t>Known serious hypersensitivity to ceftazidime, avibactam, other cephalosporins, or any component</t>
        </is>
      </c>
      <c r="H120" s="3" t="inlineStr">
        <is>
          <t>The Taiwan/UK label also contraindicates use after severe hypersensitivity (anaphylaxis, severe skin reaction) to any other β-lactam (penicillins, monobactams, carbapenems).</t>
        </is>
      </c>
      <c r="I120" s="3" t="inlineStr">
        <is>
          <t>Taiwan 仿單 §4 禁忌; UK SmPC §4.3</t>
        </is>
      </c>
      <c r="J120" s="3" t="inlineStr">
        <is>
          <t>Open</t>
        </is>
      </c>
      <c r="K120" s="3" t="inlineStr"/>
    </row>
    <row r="121">
      <c r="A121" s="3" t="n">
        <v>55</v>
      </c>
      <c r="B121" s="3" t="inlineStr">
        <is>
          <t>Zavicefta (Ceftazidime-Avibactam) (ZAV04)</t>
        </is>
      </c>
      <c r="C121" s="7" t="inlineStr">
        <is>
          <t>High</t>
        </is>
      </c>
      <c r="D121" s="3" t="inlineStr">
        <is>
          <t>Dosing – renal/dialysis</t>
        </is>
      </c>
      <c r="E121" s="3" t="inlineStr">
        <is>
          <t>Renal table outdated</t>
        </is>
      </c>
      <c r="F121" s="3" t="inlineStr">
        <is>
          <t>Add CrCl ≤5/ESRD row: 0.94 g q48h, after HD</t>
        </is>
      </c>
      <c r="G121" s="3" t="inlineStr">
        <is>
          <t>Row cut off / missing</t>
        </is>
      </c>
      <c r="H121" s="3" t="inlineStr">
        <is>
          <t>0.94 g (0.75 g/0.1875 g) q48h; ESRD incl. HD q48h, dosed after HD (US Table 3; TW 表9; SmPC Table 4)</t>
        </is>
      </c>
      <c r="I121" s="3" t="inlineStr">
        <is>
          <t>US 2.3 Table 3; TW 表9 https://mcp.fda.gov.tw/im_detail_1/%E8%A1%9B%E9%83%A8%E8%97%A5%E8%BC%B8%E5%AD%97%E7%AC%AC027705%E8%99%9F</t>
        </is>
      </c>
      <c r="J121" s="3" t="inlineStr">
        <is>
          <t>Open</t>
        </is>
      </c>
      <c r="K121" s="3" t="inlineStr"/>
    </row>
    <row r="122">
      <c r="A122" s="3" t="n">
        <v>56</v>
      </c>
      <c r="B122" s="3" t="inlineStr">
        <is>
          <t>Zavicefta (Ceftazidime-Avibactam) (ZAV04)</t>
        </is>
      </c>
      <c r="C122" s="7" t="inlineStr">
        <is>
          <t>High</t>
        </is>
      </c>
      <c r="D122" s="3" t="inlineStr">
        <is>
          <t>Dosing – renal/dialysis</t>
        </is>
      </c>
      <c r="E122" s="3" t="inlineStr">
        <is>
          <t>Renal table outdated</t>
        </is>
      </c>
      <c r="F122" s="3" t="inlineStr">
        <is>
          <t>HD dosing: 0.94 g q48h after HD; remove q24h option</t>
        </is>
      </c>
      <c r="G122" s="3" t="inlineStr">
        <is>
          <t>0.94 g q24-48h after dialysis</t>
        </is>
      </c>
      <c r="H122" s="3" t="inlineStr">
        <is>
          <t>Stocked product (TW) and SmPC: ESRD including HD q48h, given after HD. In the US table, q24h applies only to CrCl 6-15.</t>
        </is>
      </c>
      <c r="I122" s="3" t="inlineStr">
        <is>
          <t>TW 表9 footnote 3; SmPC 4.2 Table 4 https://www.medicines.org.uk/emc/product/2465/smpc</t>
        </is>
      </c>
      <c r="J122" s="3" t="inlineStr">
        <is>
          <t>Open</t>
        </is>
      </c>
      <c r="K122" s="3" t="inlineStr"/>
    </row>
    <row r="123">
      <c r="A123" s="3" t="n">
        <v>64</v>
      </c>
      <c r="B123" s="3" t="inlineStr">
        <is>
          <t>Zavicefta (Ceftazidime-Avibactam) (ZAV04)</t>
        </is>
      </c>
      <c r="C123" s="7" t="inlineStr">
        <is>
          <t>High</t>
        </is>
      </c>
      <c r="D123" s="3" t="inlineStr">
        <is>
          <t>Dosing – renal/dialysis</t>
        </is>
      </c>
      <c r="E123" s="3" t="inlineStr">
        <is>
          <t>Renal table outdated</t>
        </is>
      </c>
      <c r="F123" s="3" t="inlineStr">
        <is>
          <t>Add CrCl ≤5/ESRD: 0.94 g q48h, given after HD</t>
        </is>
      </c>
      <c r="G123" s="3" t="inlineStr">
        <is>
          <t>List stops at CrCl 6–15 mL/min; no CrCl ≤5 row</t>
        </is>
      </c>
      <c r="H123" s="3" t="inlineStr">
        <is>
          <t>CrCl ≤5 (US) or ESRD (Taiwan/UK): 0.94 g (0.75/0.1875 g) q48h, given after HD on dialysis days</t>
        </is>
      </c>
      <c r="I123" s="3" t="inlineStr">
        <is>
          <t>US AVYCAZ §2.3 Table 3; Taiwan 仿單 §3.3 表9</t>
        </is>
      </c>
      <c r="J123" s="3" t="inlineStr">
        <is>
          <t>Open</t>
        </is>
      </c>
      <c r="K123" s="3" t="inlineStr"/>
    </row>
    <row r="124">
      <c r="A124" s="3" t="n">
        <v>65</v>
      </c>
      <c r="B124" s="3" t="inlineStr">
        <is>
          <t>Zavicefta (Ceftazidime-Avibactam) (ZAV04)</t>
        </is>
      </c>
      <c r="C124" s="7" t="inlineStr">
        <is>
          <t>High</t>
        </is>
      </c>
      <c r="D124" s="3" t="inlineStr">
        <is>
          <t>Dosing – renal/dialysis</t>
        </is>
      </c>
      <c r="E124" s="3" t="inlineStr">
        <is>
          <t>Renal table outdated</t>
        </is>
      </c>
      <c r="F124" s="3" t="inlineStr">
        <is>
          <t>HD: 0.94 g q48h after dialysis; delete q24h</t>
        </is>
      </c>
      <c r="G124" s="3" t="inlineStr">
        <is>
          <t>0.94 g every 24 to 48 hours depending on residual kidney function, after HD</t>
        </is>
      </c>
      <c r="H124" s="3" t="inlineStr">
        <is>
          <t>ESRD including haemodialysis: q48h, dosed after HD (no q24h option)</t>
        </is>
      </c>
      <c r="I124" s="3" t="inlineStr">
        <is>
          <t>Taiwan 仿單 §3.3 表9 footnote 3; UK SmPC §4.2 Table 4</t>
        </is>
      </c>
      <c r="J124" s="3" t="inlineStr">
        <is>
          <t>Open</t>
        </is>
      </c>
      <c r="K124" s="3" t="inlineStr"/>
    </row>
    <row r="125">
      <c r="A125" s="3" t="n">
        <v>159</v>
      </c>
      <c r="B125" s="3" t="inlineStr">
        <is>
          <t>Zerbaxa (Ceftolozane-tazobactam) (ZER01)</t>
        </is>
      </c>
      <c r="C125" s="7" t="inlineStr">
        <is>
          <t>High</t>
        </is>
      </c>
      <c r="D125" s="3" t="inlineStr">
        <is>
          <t>Dosing – adult</t>
        </is>
      </c>
      <c r="E125" s="3" t="inlineStr"/>
      <c r="F125" s="3" t="inlineStr">
        <is>
          <t>cIAI: 1.5 g q8h with metronidazole for 4–14 days; remove 3 g dose and 4–5 day limit</t>
        </is>
      </c>
      <c r="G125" s="3" t="inlineStr">
        <is>
          <t>1.5–3 g q8h for 4–5 days</t>
        </is>
      </c>
      <c r="H125" s="3" t="inlineStr">
        <is>
          <t>1.5 g q8h over 1 h with metronidazole 500 mg q8h, for 4–14 days</t>
        </is>
      </c>
      <c r="I125" s="3" t="inlineStr">
        <is>
          <t>US label §2.1 Table 1; Taiwan insert 表1 – https://mcp.fda.gov.tw/insert/pdfcasefile/i_455030c1-46d0-4eb4-8b58-92493c5ed054</t>
        </is>
      </c>
      <c r="J125" s="3" t="inlineStr">
        <is>
          <t>Open</t>
        </is>
      </c>
      <c r="K125" s="3" t="inlineStr"/>
    </row>
    <row r="126">
      <c r="A126" s="3" t="n">
        <v>169</v>
      </c>
      <c r="B126" s="3" t="inlineStr">
        <is>
          <t>Zerbaxa (Ceftolozane-tazobactam) (ZER01)</t>
        </is>
      </c>
      <c r="C126" s="7" t="inlineStr">
        <is>
          <t>High</t>
        </is>
      </c>
      <c r="D126" s="3" t="inlineStr">
        <is>
          <t>Dosing – adult</t>
        </is>
      </c>
      <c r="E126" s="3" t="inlineStr"/>
      <c r="F126" s="3" t="inlineStr">
        <is>
          <t>cIAI: 1.5 g q8h with metronidazole for 4–14 days; no 3 g dose</t>
        </is>
      </c>
      <c r="G126" s="3" t="inlineStr">
        <is>
          <t>1.5 to 3 g q8h with metronidazole for 4 to 5 days</t>
        </is>
      </c>
      <c r="H126" s="3" t="inlineStr">
        <is>
          <t>1.5 g q8h with metronidazole for 4–14 days. No label gives 3 g for cIAI.</t>
        </is>
      </c>
      <c r="I126" s="3" t="inlineStr">
        <is>
          <t>Taiwan insert §2.1 表1; US §2.1 Table 1; UK §4.2 Table 1</t>
        </is>
      </c>
      <c r="J126" s="3" t="inlineStr">
        <is>
          <t>Open</t>
        </is>
      </c>
      <c r="K126" s="3" t="inlineStr"/>
    </row>
    <row r="127">
      <c r="A127" s="3" t="n">
        <v>163</v>
      </c>
      <c r="B127" s="3" t="inlineStr">
        <is>
          <t>Zerbaxa (Ceftolozane-tazobactam) (ZER01)</t>
        </is>
      </c>
      <c r="C127" s="7" t="inlineStr">
        <is>
          <t>High</t>
        </is>
      </c>
      <c r="D127" s="3" t="inlineStr">
        <is>
          <t>Dosing – renal/dialysis</t>
        </is>
      </c>
      <c r="E127" s="3" t="inlineStr">
        <is>
          <t>Renal table outdated</t>
        </is>
      </c>
      <c r="F127" s="3" t="inlineStr">
        <is>
          <t>Replace fractions with fixed doses by band and indication; add HD LD + maintenance after dialysis</t>
        </is>
      </c>
      <c r="G127" s="3" t="inlineStr">
        <is>
          <t>'Half' or '1/4 of usual dose' by CrCl band; for CrCl &lt;15 'no adjustment provided'</t>
        </is>
      </c>
      <c r="H127" s="3" t="inlineStr">
        <is>
          <t>Fixed doses: CrCl 30–50 → 750 mg (HAP 1.5 g); CrCl 15–29 → 375 mg (HAP 750 mg); on HD → LD 750 mg then 150 mg q8h (HAP: LD 2.25 g then 450 mg q8h), given after dialysis. CrCl &lt;15 without HD: dose not established. The '1/4' reading of 15–29 does match 375 mg for cIAI/cUTI, but the site gives no HD dosing.</t>
        </is>
      </c>
      <c r="I127" s="3" t="inlineStr">
        <is>
          <t>US label §2.3 Table 3; Taiwan insert §2.2 表2; UK SmPC §4.2 Table 3</t>
        </is>
      </c>
      <c r="J127" s="3" t="inlineStr">
        <is>
          <t>Open</t>
        </is>
      </c>
      <c r="K127" s="3" t="inlineStr"/>
    </row>
    <row r="128">
      <c r="A128" s="3" t="n">
        <v>173</v>
      </c>
      <c r="B128" s="3" t="inlineStr">
        <is>
          <t>Zerbaxa (Ceftolozane-tazobactam) (ZER01)</t>
        </is>
      </c>
      <c r="C128" s="7" t="inlineStr">
        <is>
          <t>High</t>
        </is>
      </c>
      <c r="D128" s="3" t="inlineStr">
        <is>
          <t>Dosing – renal/dialysis</t>
        </is>
      </c>
      <c r="E128" s="3" t="inlineStr">
        <is>
          <t>Renal table outdated</t>
        </is>
      </c>
      <c r="F128" s="3" t="inlineStr">
        <is>
          <t>Add HD dosing: LD 750 mg then 150 mg q8h (HAP: 2.25 g then 450 mg q8h) after dialysis</t>
        </is>
      </c>
      <c r="G128" s="3" t="inlineStr">
        <is>
          <t>CrCl &lt;15: 'There are no dosage adjustments provided in the manufacturer's labeling.'</t>
        </is>
      </c>
      <c r="H128" s="3" t="inlineStr">
        <is>
          <t>For ESRD on haemodialysis the labels give a 750 mg loading dose then 150 mg q8h (cIAI/cUTI), or 2.25 g then 450 mg q8h (HAP/VAP), dosed after HD. Without HD the dose is not established (US). The CrCl 30–50 and 15–29 'half' / '1/4' statements are numerically correct.</t>
        </is>
      </c>
      <c r="I128" s="3" t="inlineStr">
        <is>
          <t>Taiwan insert §2.2 表2; US §2.3 Table 3; UK §4.2 Table 3</t>
        </is>
      </c>
      <c r="J128" s="3" t="inlineStr">
        <is>
          <t>Open</t>
        </is>
      </c>
      <c r="K128" s="3" t="inlineStr"/>
    </row>
    <row r="129">
      <c r="A129" s="3" t="n">
        <v>93</v>
      </c>
      <c r="B129" s="3" t="inlineStr">
        <is>
          <t>Zinforo (Ceftaroline) (ZIN04)</t>
        </is>
      </c>
      <c r="C129" s="7" t="inlineStr">
        <is>
          <t>High</t>
        </is>
      </c>
      <c r="D129" s="3" t="inlineStr">
        <is>
          <t>Dosing – pediatric</t>
        </is>
      </c>
      <c r="E129" s="3" t="inlineStr"/>
      <c r="F129" s="3" t="inlineStr">
        <is>
          <t>Add maximum 400 mg per dose for 12 mg/kg q8h standard pediatric dose</t>
        </is>
      </c>
      <c r="G129" s="3" t="inlineStr">
        <is>
          <t>2-12 years of old: 12 mg/kg Q8H (no maximum)</t>
        </is>
      </c>
      <c r="H129" s="3" t="inlineStr">
        <is>
          <t>12 mg/kg q8h to a maximum of 400 mg (standard dose) for ≥2 to &lt;12 y and for 12 to &lt;18 y weighing &lt;33 kg</t>
        </is>
      </c>
      <c r="I129" s="3" t="inlineStr">
        <is>
          <t>Taiwan insert 3.1 表1 — https://mcp.fda.gov.tw/im_detail_1/%E8%A1%9B%E9%83%A8%E8%97%A5%E8%BC%B8%E5%AD%97%E7%AC%AC026611%E8%99%9F</t>
        </is>
      </c>
      <c r="J129" s="3" t="inlineStr">
        <is>
          <t>Open</t>
        </is>
      </c>
      <c r="K129" s="3" t="inlineStr"/>
    </row>
    <row r="130">
      <c r="A130" s="3" t="n">
        <v>94</v>
      </c>
      <c r="B130" s="3" t="inlineStr">
        <is>
          <t>Zinforo (Ceftaroline) (ZIN04)</t>
        </is>
      </c>
      <c r="C130" s="7" t="inlineStr">
        <is>
          <t>High</t>
        </is>
      </c>
      <c r="D130" s="3" t="inlineStr">
        <is>
          <t>Dosing – pediatric</t>
        </is>
      </c>
      <c r="E130" s="3" t="inlineStr"/>
      <c r="F130" s="3" t="inlineStr">
        <is>
          <t>Fix truncated rows: 12–&lt;18 y ≥33 kg 600 mg q12h, &lt;33 kg 12 mg/kg max 400 mg; ESRD 200 mg q12h</t>
        </is>
      </c>
      <c r="G130" s="3" t="inlineStr">
        <is>
          <t>'12-18 years of old, weight' (cut off); renal table header '12-18 years old (weight' and the 'CrCl' row for &lt;15 cut off</t>
        </is>
      </c>
      <c r="H130" s="3" t="inlineStr">
        <is>
          <t>12 to &lt;18 y and ≥33 kg: 600 mg q12h; 12 to &lt;18 y and &lt;33 kg: 12 mg/kg (max 400 mg) q8h; renal ESRD 200 mg q12h for adults and adolescents ≥12 y and ≥33 kg only</t>
        </is>
      </c>
      <c r="I130" s="3" t="inlineStr">
        <is>
          <t>Taiwan insert 3.1 表1, 3.3 表2 — https://mcp.fda.gov.tw/im_detail_1/%E8%A1%9B%E9%83%A8%E8%97%A5%E8%BC%B8%E5%AD%97%E7%AC%AC026611%E8%99%9F</t>
        </is>
      </c>
      <c r="J130" s="3" t="inlineStr">
        <is>
          <t>Open</t>
        </is>
      </c>
      <c r="K130" s="3" t="inlineStr"/>
    </row>
    <row r="131">
      <c r="A131" s="3" t="n">
        <v>108</v>
      </c>
      <c r="B131" s="3" t="inlineStr">
        <is>
          <t>Zinforo (Ceftaroline) (ZIN04)</t>
        </is>
      </c>
      <c r="C131" s="7" t="inlineStr">
        <is>
          <t>High</t>
        </is>
      </c>
      <c r="D131" s="3" t="inlineStr">
        <is>
          <t>Dosing – pediatric</t>
        </is>
      </c>
      <c r="E131" s="3" t="inlineStr"/>
      <c r="F131" s="3" t="inlineStr">
        <is>
          <t>Fix rendering loss of '&lt;': restore &lt;33 kg, CrCl &lt;15/ESRD, and 600 mg q12h rows</t>
        </is>
      </c>
      <c r="G131" s="3" t="inlineStr">
        <is>
          <t>'12-18 years of old, weight 2-12 years of old: 12 mg/kg' and 'CrCl 200mg Q12H': text after '&lt;' is lost, so the &lt;33 kg and CrCl &lt;15/ESRD labels disappear, and the 12–&lt;18 y ≥33 kg 600 mg q12h row is unreadable</t>
        </is>
      </c>
      <c r="H131" s="3" t="inlineStr">
        <is>
          <t>12–&lt;18y ≥33 kg: 600 mg q12h; 12–&lt;18y &lt;33 kg and 2–&lt;12y: 12 mg/kg (max 400 mg) q8h; ESRD incl. HD: 200 mg q12h</t>
        </is>
      </c>
      <c r="I131" s="3" t="inlineStr">
        <is>
          <t>Taiwan insert 表1, 表2</t>
        </is>
      </c>
      <c r="J131" s="3" t="inlineStr">
        <is>
          <t>Open</t>
        </is>
      </c>
      <c r="K131" s="3" t="inlineStr"/>
    </row>
    <row r="132">
      <c r="A132" s="3" t="n">
        <v>109</v>
      </c>
      <c r="B132" s="3" t="inlineStr">
        <is>
          <t>Zinforo (Ceftaroline) (ZIN04)</t>
        </is>
      </c>
      <c r="C132" s="7" t="inlineStr">
        <is>
          <t>High</t>
        </is>
      </c>
      <c r="D132" s="3" t="inlineStr">
        <is>
          <t>Dosing – pediatric</t>
        </is>
      </c>
      <c r="E132" s="3" t="inlineStr"/>
      <c r="F132" s="3" t="inlineStr">
        <is>
          <t>Add max 400 mg per dose to 12 mg/kg q8h pediatric regimen</t>
        </is>
      </c>
      <c r="G132" s="3" t="inlineStr">
        <is>
          <t>2-12 years: 12 mg/kg Q8H (no maximum)</t>
        </is>
      </c>
      <c r="H132" s="3" t="inlineStr">
        <is>
          <t>12 mg/kg to a maximum of 400 mg q8h (standard dose)</t>
        </is>
      </c>
      <c r="I132" s="3" t="inlineStr">
        <is>
          <t>Taiwan insert 表1; UK SmPC Table 2</t>
        </is>
      </c>
      <c r="J132" s="3" t="inlineStr">
        <is>
          <t>Open</t>
        </is>
      </c>
      <c r="K132" s="3" t="inlineStr"/>
    </row>
    <row r="133">
      <c r="A133" s="3" t="n">
        <v>113</v>
      </c>
      <c r="B133" s="3" t="inlineStr">
        <is>
          <t>Zovirax (Acyclovir) (ZOV01, ACY01)</t>
        </is>
      </c>
      <c r="C133" s="7" t="inlineStr">
        <is>
          <t>High</t>
        </is>
      </c>
      <c r="D133" s="3" t="inlineStr">
        <is>
          <t>Dosing – adult</t>
        </is>
      </c>
      <c r="E133" s="3" t="inlineStr"/>
      <c r="F133" s="3" t="inlineStr">
        <is>
          <t>Adult varicella: 800 mg 4 times daily for 5 days (FDA)</t>
        </is>
      </c>
      <c r="G133" s="3" t="inlineStr">
        <is>
          <t>Varicella (chickenpox): 800 mg 5 times daily for &gt;5 to 7 days</t>
        </is>
      </c>
      <c r="H133" s="3" t="inlineStr">
        <is>
          <t>FDA tablet label: adults and children &gt;40 kg 800 mg 4 times daily for 5 days (Acylete insert gives no adult varicella regimen)</t>
        </is>
      </c>
      <c r="I133" s="3" t="inlineStr">
        <is>
          <t>https://dailymed.nlm.nih.gov/dailymed/drugInfo.cfm?setid=05f42300-2a06-45f1-a9b9-6e5c84ae58ec</t>
        </is>
      </c>
      <c r="J133" s="3" t="inlineStr">
        <is>
          <t>Open</t>
        </is>
      </c>
      <c r="K133" s="3" t="inlineStr"/>
    </row>
    <row r="134">
      <c r="A134" s="3" t="n">
        <v>125</v>
      </c>
      <c r="B134" s="3" t="inlineStr">
        <is>
          <t>Zovirax (Acyclovir) (ZOV01, ACY01)</t>
        </is>
      </c>
      <c r="C134" s="7" t="inlineStr">
        <is>
          <t>High</t>
        </is>
      </c>
      <c r="D134" s="3" t="inlineStr">
        <is>
          <t>Dosing – adult</t>
        </is>
      </c>
      <c r="E134" s="3" t="inlineStr"/>
      <c r="F134" s="3" t="inlineStr">
        <is>
          <t>VZV in immunocompetent: 5 mg/kg q8h; restrict 10 mg/kg q8h to immunocompromised VZV and HSE</t>
        </is>
      </c>
      <c r="G134" s="3" t="inlineStr">
        <is>
          <t>Herpes zoster: 10 mg/kg q8h; Varicella: 10 mg/kg q8h for 7 to 10 days (no immune-status qualifier)</t>
        </is>
      </c>
      <c r="H134" s="3" t="inlineStr">
        <is>
          <t>SmPC and TW 仿單: VZV in patients who are not immunocompromised is 5 mg/kg q8h; 10 mg/kg q8h is for immunocompromised patients with VZV, and for HSE.</t>
        </is>
      </c>
      <c r="I134" s="3" t="inlineStr">
        <is>
          <t>https://www.medicines.org.uk/emc/product/5472/smpc ; https://mcp.fda.gov.tw/insert/pdfcasefile/i_43ee63d3-02bb-4b8b-956a-0d7296e71d7e</t>
        </is>
      </c>
      <c r="J134" s="3" t="inlineStr">
        <is>
          <t>Open</t>
        </is>
      </c>
      <c r="K134" s="3" t="inlineStr"/>
    </row>
    <row r="135">
      <c r="A135" s="3" t="n">
        <v>121</v>
      </c>
      <c r="B135" s="3" t="inlineStr">
        <is>
          <t>Zovirax (Acyclovir) (ZOV01, ACY01)</t>
        </is>
      </c>
      <c r="C135" s="7" t="inlineStr">
        <is>
          <t>High</t>
        </is>
      </c>
      <c r="D135" s="3" t="inlineStr">
        <is>
          <t>Dosing – pediatric</t>
        </is>
      </c>
      <c r="E135" s="3" t="inlineStr"/>
      <c r="F135" s="3" t="inlineStr">
        <is>
          <t>Remove zoster 800 mg 5×/day from pediatric section; oral pediatric dosing only chickenpox 20 mg/kg QID ≥2 y</t>
        </is>
      </c>
      <c r="G135" s="3" t="inlineStr">
        <is>
          <t>Herpes zoster (shingles): 800 mg every 4 hours (5 doses per day) for 5 to 7 days (listed under pediatric dosing)</t>
        </is>
      </c>
      <c r="H135" s="3" t="inlineStr">
        <is>
          <t>Acylete 仿單: 對免疫功能健全的兒童…治療帶狀疱疹感染，尚無資料可查. The FDA tablet label gives oral paediatric dosing only for chickenpox (≥2 y, 20 mg/kg QID × 5 d).</t>
        </is>
      </c>
      <c r="I135" s="3" t="inlineStr">
        <is>
          <t>https://mcp.fda.gov.tw/insert/pdfcasefile/i_846aed79-8984-4d2b-8863-39852b6a0175 ; https://dailymed.nlm.nih.gov/dailymed/drugInfo.cfm?setid=05f42300-2a06-45f1-a9b9-6e5c84ae58ec</t>
        </is>
      </c>
      <c r="J135" s="3" t="inlineStr">
        <is>
          <t>Open</t>
        </is>
      </c>
      <c r="K135" s="3" t="inlineStr"/>
    </row>
    <row r="136">
      <c r="A136" s="3" t="n">
        <v>110</v>
      </c>
      <c r="B136" s="3" t="inlineStr">
        <is>
          <t>Zovirax (Acyclovir) (ZOV01, ACY01)</t>
        </is>
      </c>
      <c r="C136" s="7" t="inlineStr">
        <is>
          <t>High</t>
        </is>
      </c>
      <c r="D136" s="3" t="inlineStr">
        <is>
          <t>Dosing – renal/dialysis</t>
        </is>
      </c>
      <c r="E136" s="3" t="inlineStr">
        <is>
          <t>Renal table outdated</t>
        </is>
      </c>
      <c r="F136" s="3" t="inlineStr">
        <is>
          <t>ACY01 CrCl &lt;10 (usual 800 mg 5×/day): 800 mg q12h, not 200–400 mg</t>
        </is>
      </c>
      <c r="G136" s="3" t="inlineStr">
        <is>
          <t>CrCl&lt;10: 200 mg every 12 hours or 400 mg every 12 hours</t>
        </is>
      </c>
      <c r="H136" s="3" t="inlineStr">
        <is>
          <t>800 mg every 12 hours (FDA tablet label Table 3; Acylete TW insert: CrCl &lt;10 每日 2 次，每次 800mg)</t>
        </is>
      </c>
      <c r="I136" s="3" t="inlineStr">
        <is>
          <t>https://dailymed.nlm.nih.gov/dailymed/drugInfo.cfm?setid=05f42300-2a06-45f1-a9b9-6e5c84ae58ec ; https://mcp.fda.gov.tw/insert/pdfcasefile/i_846aed79-8984-4d2b-8863-39852b6a0175</t>
        </is>
      </c>
      <c r="J136" s="3" t="inlineStr">
        <is>
          <t>Open</t>
        </is>
      </c>
      <c r="K136" s="3" t="inlineStr"/>
    </row>
    <row r="137">
      <c r="A137" s="3" t="n">
        <v>111</v>
      </c>
      <c r="B137" s="3" t="inlineStr">
        <is>
          <t>Zovirax (Acyclovir) (ZOV01, ACY01)</t>
        </is>
      </c>
      <c r="C137" s="7" t="inlineStr">
        <is>
          <t>High</t>
        </is>
      </c>
      <c r="D137" s="3" t="inlineStr">
        <is>
          <t>Dosing – renal/dialysis</t>
        </is>
      </c>
      <c r="E137" s="3" t="inlineStr">
        <is>
          <t>Renal table outdated</t>
        </is>
      </c>
      <c r="F137" s="3" t="inlineStr">
        <is>
          <t>No adjustment at CrCl 10–25; reduce to 200 mg q12h only at CrCl &lt;10</t>
        </is>
      </c>
      <c r="G137" s="3" t="inlineStr">
        <is>
          <t>CrCl 10-25: No dosage adjustment necessary or reduce to 200 mg Q12H</t>
        </is>
      </c>
      <c r="H137" s="3" t="inlineStr">
        <is>
          <t>No adjustment at CrCl &gt;10; reduce to 200 mg q12h only at CrCl 0–10 (FDA tablet label Table 3; Acylete insert: adjust only when CrCl &lt;10)</t>
        </is>
      </c>
      <c r="I137" s="3" t="inlineStr">
        <is>
          <t>https://dailymed.nlm.nih.gov/dailymed/drugInfo.cfm?setid=05f42300-2a06-45f1-a9b9-6e5c84ae58ec ; https://mcp.fda.gov.tw/insert/pdfcasefile/i_846aed79-8984-4d2b-8863-39852b6a0175</t>
        </is>
      </c>
      <c r="J137" s="3" t="inlineStr">
        <is>
          <t>Open</t>
        </is>
      </c>
      <c r="K137" s="3" t="inlineStr"/>
    </row>
    <row r="138">
      <c r="A138" s="3" t="n">
        <v>114</v>
      </c>
      <c r="B138" s="3" t="inlineStr">
        <is>
          <t>Zovirax (Acyclovir) (ZOV01, ACY01)</t>
        </is>
      </c>
      <c r="C138" s="7" t="inlineStr">
        <is>
          <t>High</t>
        </is>
      </c>
      <c r="D138" s="3" t="inlineStr">
        <is>
          <t>Dosing – renal/dialysis</t>
        </is>
      </c>
      <c r="E138" s="3" t="inlineStr">
        <is>
          <t>Renal table outdated</t>
        </is>
      </c>
      <c r="F138" s="3" t="inlineStr">
        <is>
          <t>Apply renal steps to 10 mg/kg regimen too; add HD half dose q24h after dialysis</t>
        </is>
      </c>
      <c r="G138" s="3" t="inlineStr">
        <is>
          <t>ClCr 25–50: 5 mg/kg Q12H; 10–25: 5 mg/kg Q24H; &lt;10: 2.5 mg/kg Q24H (5 mg/kg regimen only; no HD instruction)</t>
        </is>
      </c>
      <c r="H138" s="3" t="inlineStr">
        <is>
          <t>TW insert 表1, UK SmPC and FDA all apply the steps to both the 5 and the 10 mg/kg regimens: 10 mg/kg q12h, then 10 mg/kg q24h, then 5 mg/kg q24h for HSE or immunocompromised VZV. HD: half dose q24h, given after dialysis. Following the hospital text for HSE would underdose by 50%.</t>
        </is>
      </c>
      <c r="I138" s="3" t="inlineStr">
        <is>
          <t>https://mcp.fda.gov.tw/insert/pdfcasefile/i_43ee63d3-02bb-4b8b-956a-0d7296e71d7e ; https://www.medicines.org.uk/emc/product/5472/smpc</t>
        </is>
      </c>
      <c r="J138" s="3" t="inlineStr">
        <is>
          <t>Open</t>
        </is>
      </c>
      <c r="K138" s="3" t="inlineStr"/>
    </row>
    <row r="139">
      <c r="A139" s="3" t="n">
        <v>118</v>
      </c>
      <c r="B139" s="3" t="inlineStr">
        <is>
          <t>Zovirax (Acyclovir) (ZOV01, ACY01)</t>
        </is>
      </c>
      <c r="C139" s="7" t="inlineStr">
        <is>
          <t>High</t>
        </is>
      </c>
      <c r="D139" s="3" t="inlineStr">
        <is>
          <t>Dosing – renal/dialysis</t>
        </is>
      </c>
      <c r="E139" s="3" t="inlineStr">
        <is>
          <t>Renal table outdated</t>
        </is>
      </c>
      <c r="F139" s="3" t="inlineStr">
        <is>
          <t>ACY01 800 mg regimen CrCl &lt;10: change to 800 mg q12h (FDA/TW insert); current text underdoses</t>
        </is>
      </c>
      <c r="G139" s="3" t="inlineStr">
        <is>
          <t>CrCl&lt;10: 200 mg every 12 hours or 400 mg every 12 hours</t>
        </is>
      </c>
      <c r="H139" s="3" t="inlineStr">
        <is>
          <t>800 mg every 12 hours (FDA tablet Table 3; Acylete 仿單: 嚴重腎衰竭 &lt;10 mL/min → 每日2次每次800mg). The hospital's text under-doses zoster four- to twofold.</t>
        </is>
      </c>
      <c r="I139" s="3" t="inlineStr">
        <is>
          <t>https://dailymed.nlm.nih.gov/dailymed/drugInfo.cfm?setid=05f42300-2a06-45f1-a9b9-6e5c84ae58ec ; https://mcp.fda.gov.tw/insert/pdfcasefile/i_846aed79-8984-4d2b-8863-39852b6a0175</t>
        </is>
      </c>
      <c r="J139" s="3" t="inlineStr">
        <is>
          <t>Open</t>
        </is>
      </c>
      <c r="K139" s="3" t="inlineStr"/>
    </row>
    <row r="140">
      <c r="A140" s="3" t="n">
        <v>119</v>
      </c>
      <c r="B140" s="3" t="inlineStr">
        <is>
          <t>Zovirax (Acyclovir) (ZOV01, ACY01)</t>
        </is>
      </c>
      <c r="C140" s="7" t="inlineStr">
        <is>
          <t>High</t>
        </is>
      </c>
      <c r="D140" s="3" t="inlineStr">
        <is>
          <t>Dosing – renal/dialysis</t>
        </is>
      </c>
      <c r="E140" s="3" t="inlineStr">
        <is>
          <t>Renal table outdated</t>
        </is>
      </c>
      <c r="F140" s="3" t="inlineStr">
        <is>
          <t>CrCl 10–25 HSV regimens: no adjustment; reduce to 200 mg q12h only at CrCl &lt;10</t>
        </is>
      </c>
      <c r="G140" s="3" t="inlineStr">
        <is>
          <t>CrCl 10-25: No dosage adjustment necessary or reduce to 200 mg Q12H</t>
        </is>
      </c>
      <c r="H140" s="3" t="inlineStr">
        <is>
          <t>No change for CrCl &gt;10; reduce to 200 mg q12h only at CrCl 0–10 (FDA tablet Table 3). Acylete 仿單 also reduces HSV dosing only at &lt;10 mL/min.</t>
        </is>
      </c>
      <c r="I140" s="3" t="inlineStr">
        <is>
          <t>https://dailymed.nlm.nih.gov/dailymed/drugInfo.cfm?setid=05f42300-2a06-45f1-a9b9-6e5c84ae58ec</t>
        </is>
      </c>
      <c r="J140" s="3" t="inlineStr">
        <is>
          <t>Open</t>
        </is>
      </c>
      <c r="K140" s="3" t="inlineStr"/>
    </row>
    <row r="141">
      <c r="A141" s="3" t="n">
        <v>123</v>
      </c>
      <c r="B141" s="3" t="inlineStr">
        <is>
          <t>Zovirax (Acyclovir) (ZOV01, ACY01)</t>
        </is>
      </c>
      <c r="C141" s="7" t="inlineStr">
        <is>
          <t>High</t>
        </is>
      </c>
      <c r="D141" s="3" t="inlineStr">
        <is>
          <t>Dosing – renal/dialysis</t>
        </is>
      </c>
      <c r="E141" s="3" t="inlineStr">
        <is>
          <t>Renal table outdated</t>
        </is>
      </c>
      <c r="F141" s="3" t="inlineStr">
        <is>
          <t>Add 10 mg/kg regimen renal bands, HD dosing (half dose q24h post-HD) and pediatric renal table</t>
        </is>
      </c>
      <c r="G141" s="3" t="inlineStr">
        <is>
          <t>ClCr 25–50: 5 mg/kg Q12H; 10–25: 5 mg/kg Q24H; &lt;10: 2.5 mg/kg Q24H (5 mg/kg regimen only; no HD guidance)</t>
        </is>
      </c>
      <c r="H141" s="3" t="inlineStr">
        <is>
          <t>Correct for the 5 mg/kg regimen. The page omits the 10 mg/kg regimen (HSE, or VZV in immunocompromised patients), which is 10 mg/kg q12h / 10 mg/kg q24h / 5 mg/kg q24h, even though its own dosing section uses 10 mg/kg. It also omits haemodialysis: half dose q24h after dialysis. Paediatric renal Table 2 (20 → 20 q12h → 10 q12h → 5 mg/kg q12h) is absent and the 小兒調整劑量 field is empty.</t>
        </is>
      </c>
      <c r="I141" s="3" t="inlineStr">
        <is>
          <t>https://mcp.fda.gov.tw/insert/pdfcasefile/i_43ee63d3-02bb-4b8b-956a-0d7296e71d7e ; https://www.medicines.org.uk/emc/product/5472/smpc</t>
        </is>
      </c>
      <c r="J141" s="3" t="inlineStr">
        <is>
          <t>Open</t>
        </is>
      </c>
      <c r="K141" s="3" t="inlineStr"/>
    </row>
    <row r="142">
      <c r="A142" s="3" t="n">
        <v>449</v>
      </c>
      <c r="B142" s="3" t="inlineStr">
        <is>
          <t>Zyvox (Linezolid) (ZYV01, ZYV02)</t>
        </is>
      </c>
      <c r="C142" s="7" t="inlineStr">
        <is>
          <t>High</t>
        </is>
      </c>
      <c r="D142" s="3" t="inlineStr">
        <is>
          <t>Contraindication/warning</t>
        </is>
      </c>
      <c r="E142" s="3" t="inlineStr"/>
      <c r="F142" s="3" t="inlineStr">
        <is>
          <t>Add contraindication: MAO-A/B inhibitors or within 2 weeks; fill ZYV02 field</t>
        </is>
      </c>
      <c r="G142" s="3" t="inlineStr">
        <is>
          <t>ZYV01: hypersensitivity only; ZYV02: blank</t>
        </is>
      </c>
      <c r="H142" s="3" t="inlineStr">
        <is>
          <t>US label §4 / Taiwan insert §4: (4.1) hypersensitivity to linezolid or product components; (4.2) patients taking any MAO-A/B inhibitor (e.g., phenelzine, isocarboxazid) or within two weeks of taking one. UK SmPC 4.3 adds conditional contraindications: uncontrolled hypertension, pheochromocytoma, carcinoid, thyrotoxicosis, and serotonergic/adrenergic co-medication unless close monitoring is available.</t>
        </is>
      </c>
      <c r="I142" s="3" t="inlineStr">
        <is>
          <t>US FDA label §4; Taiwan insert §4 禁忌 - https://mcp.fda.gov.tw/im_detail_1/%E8%A1%9B%E7%BD%B2%E8%97%A5%E8%BC%B8%E5%AD%97%E7%AC%AC023181%E8%99%9F; UK SmPC §4.3 - https://www.medicines.org.uk/emc/product/1688/smpc</t>
        </is>
      </c>
      <c r="J142" s="3" t="inlineStr">
        <is>
          <t>Open</t>
        </is>
      </c>
      <c r="K142" s="3" t="inlineStr"/>
    </row>
    <row r="143">
      <c r="A143" s="3" t="n">
        <v>451</v>
      </c>
      <c r="B143" s="3" t="inlineStr">
        <is>
          <t>Zyvox (Linezolid) (ZYV01, ZYV02)</t>
        </is>
      </c>
      <c r="C143" s="7" t="inlineStr">
        <is>
          <t>High</t>
        </is>
      </c>
      <c r="D143" s="3" t="inlineStr">
        <is>
          <t>Contraindication/warning</t>
        </is>
      </c>
      <c r="E143" s="3" t="inlineStr"/>
      <c r="F143" s="3" t="inlineStr">
        <is>
          <t>Add weekly CBC monitoring, visual monitoring ≥3 months, sodium, BP with adrenergics</t>
        </is>
      </c>
      <c r="G143" s="3" t="inlineStr">
        <is>
          <t>No CBC monitoring recommendation (ZYV02 notes only that myelosuppression is more common beyond 2 weeks)</t>
        </is>
      </c>
      <c r="H143" s="3" t="inlineStr">
        <is>
          <t>Monitor complete blood counts weekly in all patients, particularly with therapy &gt;2 weeks, pre-existing myelosuppression, severe renal or moderate–severe hepatic impairment, or myelosuppressive co-medication. Also: visual function with therapy ≥3 months, serum sodium in at-risk patients, and blood pressure with adrenergic agents.</t>
        </is>
      </c>
      <c r="I143" s="3" t="inlineStr">
        <is>
          <t>US FDA label §5.1, §5.2, §5.6, §5.11; Taiwan insert 5.1.1 (應每週監測全血球計數)</t>
        </is>
      </c>
      <c r="J143" s="3" t="inlineStr">
        <is>
          <t>Open</t>
        </is>
      </c>
      <c r="K143" s="3" t="inlineStr"/>
    </row>
    <row r="144">
      <c r="A144" s="3" t="n">
        <v>456</v>
      </c>
      <c r="B144" s="3" t="inlineStr">
        <is>
          <t>Zyvox (Linezolid) (ZYV01, ZYV02)</t>
        </is>
      </c>
      <c r="C144" s="7" t="inlineStr">
        <is>
          <t>High</t>
        </is>
      </c>
      <c r="D144" s="3" t="inlineStr">
        <is>
          <t>Contraindication/warning</t>
        </is>
      </c>
      <c r="E144" s="3" t="inlineStr"/>
      <c r="F144" s="3" t="inlineStr">
        <is>
          <t>Add MAOI contraindication (within 2 weeks); UK conditional contraindications</t>
        </is>
      </c>
      <c r="G144" s="3" t="inlineStr">
        <is>
          <t>ZYV01 lists only hypersensitivity; ZYV02 lists nothing</t>
        </is>
      </c>
      <c r="H144" s="3" t="inlineStr">
        <is>
          <t>Also contraindicated in patients taking any MAO-A/B inhibitor (e.g., phenelzine, isocarboxazid) or within 2 weeks of taking one. The UK SmPC also contraindicates use, unless blood pressure and the patient can be closely monitored, with uncontrolled hypertension, pheochromocytoma, carcinoid, thyrotoxicosis, or concomitant SSRIs/TCAs/triptans/sympathomimetics/vasopressors/dopaminergics/pethidine/buspirone.</t>
        </is>
      </c>
      <c r="I144" s="3" t="inlineStr">
        <is>
          <t>US label §4.2; Taiwan 仿單 §4.2; UK SmPC 4.3</t>
        </is>
      </c>
      <c r="J144" s="3" t="inlineStr">
        <is>
          <t>Open</t>
        </is>
      </c>
      <c r="K144" s="3" t="inlineStr"/>
    </row>
    <row r="145">
      <c r="A145" s="3" t="n">
        <v>458</v>
      </c>
      <c r="B145" s="3" t="inlineStr">
        <is>
          <t>Zyvox (Linezolid) (ZYV01, ZYV02)</t>
        </is>
      </c>
      <c r="C145" s="7" t="inlineStr">
        <is>
          <t>High</t>
        </is>
      </c>
      <c r="D145" s="3" t="inlineStr">
        <is>
          <t>Contraindication/warning</t>
        </is>
      </c>
      <c r="E145" s="3" t="inlineStr"/>
      <c r="F145" s="3" t="inlineStr">
        <is>
          <t>Add weekly CBC monitoring and related monitoring warnings</t>
        </is>
      </c>
      <c r="G145" s="3" t="inlineStr">
        <is>
          <t>No mention of weekly CBC monitoring</t>
        </is>
      </c>
      <c r="H145" s="3" t="inlineStr">
        <is>
          <t>Monitor CBC weekly in all patients, particularly with therapy &gt;2 weeks, pre-existing myelosuppression, severe renal or moderate–severe hepatic impairment, or concomitant myelosuppressive drugs. Also: visual function with therapy ≥3 months, serum sodium in at-risk patients, and blood pressure with adrenergic agents.</t>
        </is>
      </c>
      <c r="I145" s="3" t="inlineStr">
        <is>
          <t>US label §5.1, §5.2, §5.6, §5.11; Taiwan 仿單 §5.1.1; UK SmPC 4.4</t>
        </is>
      </c>
      <c r="J145" s="3" t="inlineStr">
        <is>
          <t>Open</t>
        </is>
      </c>
      <c r="K145" s="3" t="inlineStr"/>
    </row>
    <row r="146">
      <c r="A146" s="3" t="n">
        <v>450</v>
      </c>
      <c r="B146" s="3" t="inlineStr">
        <is>
          <t>Zyvox (Linezolid) (ZYV01, ZYV02)</t>
        </is>
      </c>
      <c r="C146" s="7" t="inlineStr">
        <is>
          <t>High</t>
        </is>
      </c>
      <c r="D146" s="3" t="inlineStr">
        <is>
          <t>Dosing – pediatric</t>
        </is>
      </c>
      <c r="E146" s="3" t="inlineStr"/>
      <c r="F146" s="3" t="inlineStr">
        <is>
          <t>Fix neonatal dosing: 10 mg/kg q8h birth–11 y; preterm &lt;7 days start q12h</t>
        </is>
      </c>
      <c r="G146" s="3" t="inlineStr">
        <is>
          <t>ZYV01: 'Neonates 10 mg/kg Q12H'; ZYV02: 'neonates 7 days of age: 10 mg/kg Q8H' (garbled)</t>
        </is>
      </c>
      <c r="H146" s="3" t="inlineStr">
        <is>
          <t>Birth–11 y: 10 mg/kg IV/PO q8h. Preterm neonates (GA &lt;34 wk) &lt;7 days: start 10 mg/kg q12h, consider q8h if response is suboptimal; all neonates should be on 10 mg/kg q8h by 7 days of life. uSSSI: &lt;5 y 10 mg/kg PO q8h, 5–11 y 10 mg/kg PO q12h. ≥12 y: 600 mg q12h.</t>
        </is>
      </c>
      <c r="I146" s="3" t="inlineStr">
        <is>
          <t>US FDA label §2.1 Table 1, §8.4; Taiwan insert §3.1 表一 footnote †</t>
        </is>
      </c>
      <c r="J146" s="3" t="inlineStr">
        <is>
          <t>Open</t>
        </is>
      </c>
      <c r="K146" s="3" t="inlineStr"/>
    </row>
    <row r="147">
      <c r="A147" s="3" t="n">
        <v>457</v>
      </c>
      <c r="B147" s="3" t="inlineStr">
        <is>
          <t>Zyvox (Linezolid) (ZYV01, ZYV02)</t>
        </is>
      </c>
      <c r="C147" s="7" t="inlineStr">
        <is>
          <t>High</t>
        </is>
      </c>
      <c r="D147" s="3" t="inlineStr">
        <is>
          <t>Dosing – pediatric</t>
        </is>
      </c>
      <c r="E147" s="3" t="inlineStr"/>
      <c r="F147" s="3" t="inlineStr">
        <is>
          <t>Fix neonatal dosing per label: q8h by day 7; birth–11 y 10 mg/kg q8h</t>
        </is>
      </c>
      <c r="G147" s="3" t="inlineStr">
        <is>
          <t>ZYV01: 'Neonates 10 mg/kg Q12H'; ZYV02: 'neonates 7 days of age: 10 mg/kg Q8H'</t>
        </is>
      </c>
      <c r="H147" s="3" t="inlineStr">
        <is>
          <t>Preterm neonates (&lt;34 wk GA) under 7 days old start at 10 mg/kg q12h and may move to q8h if response is poor; all neonates should be on 10 mg/kg q8h by day 7 of life. Birth to 11 years: 10 mg/kg q8h. For uSSSI: under 5 y 10 mg/kg PO q8h; 5–11 y 10 mg/kg PO q12h. ≥12 y: 600 mg q12h.</t>
        </is>
      </c>
      <c r="I147" s="3" t="inlineStr">
        <is>
          <t>US label §2.1 Table 1, §8.4; Taiwan 仿單 §3.1 表一 footnote †</t>
        </is>
      </c>
      <c r="J147" s="3" t="inlineStr">
        <is>
          <t>Open</t>
        </is>
      </c>
      <c r="K147" s="3" t="inlineStr"/>
    </row>
    <row r="148">
      <c r="A148" s="3" t="n">
        <v>227</v>
      </c>
      <c r="B148" s="3" t="inlineStr">
        <is>
          <t>Amikacin (AMI12)</t>
        </is>
      </c>
      <c r="C148" s="8" t="inlineStr">
        <is>
          <t>Medium</t>
        </is>
      </c>
      <c r="D148" s="3" t="inlineStr">
        <is>
          <t>Contraindication/warning</t>
        </is>
      </c>
      <c r="E148" s="3" t="inlineStr"/>
      <c r="F148" s="3" t="inlineStr">
        <is>
          <t>Add myasthenia gravis contraindication/caution per UK SmPC</t>
        </is>
      </c>
      <c r="G148" s="3" t="inlineStr">
        <is>
          <t>Hypersensitivity to amikacin, other aminoglycosides, or any component</t>
        </is>
      </c>
      <c r="H148" s="3" t="inlineStr">
        <is>
          <t>Consistent with the US label. The UK SmPC 4.3 also lists myasthenia gravis, which the hospital page omits. The Taiwan insert says '目前尚無資訊'.</t>
        </is>
      </c>
      <c r="I148" s="3" t="inlineStr">
        <is>
          <t>US CONTRAINDICATIONS; UK SmPC 4.3; Taiwan insert 4</t>
        </is>
      </c>
      <c r="J148" s="3" t="inlineStr">
        <is>
          <t>Open</t>
        </is>
      </c>
      <c r="K148" s="3" t="inlineStr"/>
    </row>
    <row r="149">
      <c r="A149" s="3" t="n">
        <v>225</v>
      </c>
      <c r="B149" s="3" t="inlineStr">
        <is>
          <t>Amikacin (AMI12)</t>
        </is>
      </c>
      <c r="C149" s="8" t="inlineStr">
        <is>
          <t>Medium</t>
        </is>
      </c>
      <c r="D149" s="3" t="inlineStr">
        <is>
          <t>Dosing – adult</t>
        </is>
      </c>
      <c r="E149" s="3" t="inlineStr"/>
      <c r="F149" s="3" t="inlineStr">
        <is>
          <t>Add duration ≤10 days and cumulative ≤15 g limit (TW insert)</t>
        </is>
      </c>
      <c r="G149" s="3" t="inlineStr">
        <is>
          <t>Not mentioned</t>
        </is>
      </c>
      <c r="H149" s="3" t="inlineStr">
        <is>
          <t>TW insert (stocked product): life-threatening/Pseudomonas infections 500 mg q8h, ≤1.5 g/day, ≤10 days, total ≤15 g. US/UK: usual 7–10 days; safety &gt;14 days not established.</t>
        </is>
      </c>
      <c r="I149" s="3" t="inlineStr">
        <is>
          <t>Taiwan insert 3.1; US WARNINGS box; UK SmPC 4.2/4.4</t>
        </is>
      </c>
      <c r="J149" s="3" t="inlineStr">
        <is>
          <t>Open</t>
        </is>
      </c>
      <c r="K149" s="3" t="inlineStr"/>
    </row>
    <row r="150">
      <c r="A150" s="3" t="n">
        <v>234</v>
      </c>
      <c r="B150" s="3" t="inlineStr">
        <is>
          <t>Amikacin (AMI12)</t>
        </is>
      </c>
      <c r="C150" s="8" t="inlineStr">
        <is>
          <t>Medium</t>
        </is>
      </c>
      <c r="D150" s="3" t="inlineStr">
        <is>
          <t>Indication/coverage</t>
        </is>
      </c>
      <c r="E150" s="3" t="inlineStr"/>
      <c r="F150" s="3" t="inlineStr">
        <is>
          <t>Note aminoglycoside main use is serious Gram-negative infection; streptococci/pneumococci need added beta-lactam</t>
        </is>
      </c>
      <c r="G150" s="3" t="inlineStr">
        <is>
          <t>葡萄球菌，鏈球菌，肺炎雙球菌，腦膜炎球菌及其他具有感受性細菌引起之感染症 (copied from the TW insert)</t>
        </is>
      </c>
      <c r="H150" s="3" t="inlineStr">
        <is>
          <t>This matches the TW insert. The US label, however, says aminoglycosides have low activity against Gram-positives other than staphylococci, and recommends adding a penicillin-type drug for streptococci and pneumococci. The main labelled use (US and UK) is serious Gram-negative infections, including Pseudomonas. Not an error against the TW insert, but the hospital text should not be used to justify streptococcal coverage.</t>
        </is>
      </c>
      <c r="I150" s="3" t="inlineStr">
        <is>
          <t>US label INDICATIONS AND USAGE and Mechanism of Resistance; UK SmPC 4.1</t>
        </is>
      </c>
      <c r="J150" s="3" t="inlineStr">
        <is>
          <t>Open</t>
        </is>
      </c>
      <c r="K150" s="3" t="inlineStr"/>
    </row>
    <row r="151">
      <c r="A151" s="3" t="n">
        <v>244</v>
      </c>
      <c r="B151" s="3" t="inlineStr">
        <is>
          <t>AmoClav (Amoxicillin/clavulanate) (AMO04, AMO08)</t>
        </is>
      </c>
      <c r="C151" s="8" t="inlineStr">
        <is>
          <t>Medium</t>
        </is>
      </c>
      <c r="D151" s="3" t="inlineStr">
        <is>
          <t>Administration/compatibility</t>
        </is>
      </c>
      <c r="E151" s="3" t="inlineStr"/>
      <c r="F151" s="3" t="inlineStr">
        <is>
          <t>Verify stability against TW insert; UK SmPC: reconstituted 15 min, infusion within 60 min at 25°C</t>
        </is>
      </c>
      <c r="G151" s="3" t="inlineStr">
        <is>
          <t>25°C in SWFI/NS/sodium lactate: 4 h; Ringer's/LR/Hartmann's/KCl-NS: 3 h; 5°C SWFI/NS: 8 h; IVD diluted in 100 mL</t>
        </is>
      </c>
      <c r="H151" s="3" t="inlineStr">
        <is>
          <t>UK Sandoz SmPC: reconstituted injection stable 15 min and infusion 60 min at 25°C; infusions should be given in full within 60 min. The Taiwan product's insert (not found) may differ, so this needs checking against the actual 仿單.</t>
        </is>
      </c>
      <c r="I151" s="3" t="inlineStr">
        <is>
          <t>UK SmPC 6.3/6.6 — https://www.medicines.org.uk/emc/product/7211/smpc</t>
        </is>
      </c>
      <c r="J151" s="3" t="inlineStr">
        <is>
          <t>Open</t>
        </is>
      </c>
      <c r="K151" s="3" t="inlineStr"/>
    </row>
    <row r="152">
      <c r="A152" s="3" t="n">
        <v>253</v>
      </c>
      <c r="B152" s="3" t="inlineStr">
        <is>
          <t>AmoClav (Amoxicillin/clavulanate) (AMO04, AMO08)</t>
        </is>
      </c>
      <c r="C152" s="8" t="inlineStr">
        <is>
          <t>Medium</t>
        </is>
      </c>
      <c r="D152" s="3" t="inlineStr">
        <is>
          <t>Adverse effects</t>
        </is>
      </c>
      <c r="E152" s="3" t="inlineStr">
        <is>
          <t>Missing SCAR (SJS/TEN/DRESS)</t>
        </is>
      </c>
      <c r="F152" s="3" t="inlineStr">
        <is>
          <t>Add hepatitis/cholestatic jaundice, C. difficile, SJS/TEN/DRESS/AGEP, DIES, Kounis, convulsions, crystalluria</t>
        </is>
      </c>
      <c r="G152" s="3" t="inlineStr">
        <is>
          <t>Diarrhea, diaper rash, skin rash, urticaria, abdominal distress, loose stools, nausea, vomiting, vaginitis, candidiasis, vaginal mycosis</t>
        </is>
      </c>
      <c r="H152" s="3" t="inlineStr">
        <is>
          <t>Also missing the key serious reactions: hepatitis/cholestatic jaundice, C. difficile colitis, SCAR (SJS/TEN/DRESS/AGEP), DIES, Kounis syndrome, convulsions, injection-site thrombophlebitis, crystalluria</t>
        </is>
      </c>
      <c r="I152" s="3" t="inlineStr">
        <is>
          <t>UK SmPC §4.4, §4.8, https://www.medicines.org.uk/emc/product/7211/smpc</t>
        </is>
      </c>
      <c r="J152" s="3" t="inlineStr">
        <is>
          <t>Open</t>
        </is>
      </c>
      <c r="K152" s="3" t="inlineStr"/>
    </row>
    <row r="153">
      <c r="A153" s="3" t="n">
        <v>254</v>
      </c>
      <c r="B153" s="3" t="inlineStr">
        <is>
          <t>AmoClav (Amoxicillin/clavulanate) (AMO04, AMO08)</t>
        </is>
      </c>
      <c r="C153" s="8" t="inlineStr">
        <is>
          <t>Medium</t>
        </is>
      </c>
      <c r="D153" s="3" t="inlineStr">
        <is>
          <t>Dosing – hepatic</t>
        </is>
      </c>
      <c r="E153" s="3" t="inlineStr"/>
      <c r="F153" s="3" t="inlineStr">
        <is>
          <t>Add: dose with caution and monitor hepatic function regularly</t>
        </is>
      </c>
      <c r="G153" s="3" t="inlineStr">
        <is>
          <t>No dosage adjustments in manufacturer's labeling; use with caution</t>
        </is>
      </c>
      <c r="H153" s="3" t="inlineStr">
        <is>
          <t>Dose with caution and monitor hepatic function at regular intervals</t>
        </is>
      </c>
      <c r="I153" s="3" t="inlineStr">
        <is>
          <t>UK SmPC §4.2, https://www.medicines.org.uk/emc/product/7211/smpc</t>
        </is>
      </c>
      <c r="J153" s="3" t="inlineStr">
        <is>
          <t>Open</t>
        </is>
      </c>
      <c r="K153" s="3" t="inlineStr"/>
    </row>
    <row r="154">
      <c r="A154" s="3" t="n">
        <v>245</v>
      </c>
      <c r="B154" s="3" t="inlineStr">
        <is>
          <t>AmoClav (Amoxicillin/clavulanate) (AMO04, AMO08)</t>
        </is>
      </c>
      <c r="C154" s="8" t="inlineStr">
        <is>
          <t>Medium</t>
        </is>
      </c>
      <c r="D154" s="3" t="inlineStr">
        <is>
          <t>Pharmacokinetics/other</t>
        </is>
      </c>
      <c r="E154" s="3" t="inlineStr"/>
      <c r="F154" s="3" t="inlineStr">
        <is>
          <t>Complete AMO08 clinical fields to match corrected AMO04 and attach package insert</t>
        </is>
      </c>
      <c r="G154" s="3" t="inlineStr">
        <is>
          <t>Every clinical field empty except the drug-bag text (stomach upset, diarrhoea, nausea, vomiting, headache); 仿單 field empty</t>
        </is>
      </c>
      <c r="H154" s="3" t="inlineStr">
        <is>
          <t>Same active ingredients and strength as AMO04, so the same SmPC dosing and warnings apply. The record should be completed and its package insert attached.</t>
        </is>
      </c>
      <c r="I154" s="3" t="inlineStr">
        <is>
          <t>UK SmPC — https://www.medicines.org.uk/emc/product/7211/smpc</t>
        </is>
      </c>
      <c r="J154" s="3" t="inlineStr">
        <is>
          <t>Open</t>
        </is>
      </c>
      <c r="K154" s="3" t="inlineStr"/>
    </row>
    <row r="155">
      <c r="A155" s="3" t="n">
        <v>257</v>
      </c>
      <c r="B155" s="3" t="inlineStr">
        <is>
          <t>AmoClav (Amoxicillin/clavulanate) (AMO04, AMO08)</t>
        </is>
      </c>
      <c r="C155" s="8" t="inlineStr">
        <is>
          <t>Medium</t>
        </is>
      </c>
      <c r="D155" s="3" t="inlineStr">
        <is>
          <t>Pharmacokinetics/other</t>
        </is>
      </c>
      <c r="E155" s="3" t="inlineStr"/>
      <c r="F155" s="3" t="inlineStr">
        <is>
          <t>Fill AMO08 fields from corrected AMO04 content</t>
        </is>
      </c>
      <c r="G155" s="3" t="inlineStr">
        <is>
          <t>Indications, pharmacology, contraindications, pregnancy, lactation, side effects, dosing, renal and hepatic fields are all empty; only the drug-bag text is filled</t>
        </is>
      </c>
      <c r="H155" s="3" t="inlineStr">
        <is>
          <t>This is the same 1000/200 mg IV product, so these fields should be filled to match AMO04 after AMO04 is corrected against the label</t>
        </is>
      </c>
      <c r="I155" s="3" t="inlineStr">
        <is>
          <t>UK SmPC §4.1–4.8, https://www.medicines.org.uk/emc/product/7211/smpc</t>
        </is>
      </c>
      <c r="J155" s="3" t="inlineStr">
        <is>
          <t>Open</t>
        </is>
      </c>
      <c r="K155" s="3" t="inlineStr"/>
    </row>
    <row r="156">
      <c r="A156" s="3" t="n">
        <v>241</v>
      </c>
      <c r="B156" s="3" t="inlineStr">
        <is>
          <t>AmoClav (Amoxicillin/clavulanate) (AMO04, AMO08)</t>
        </is>
      </c>
      <c r="C156" s="8" t="inlineStr">
        <is>
          <t>Medium</t>
        </is>
      </c>
      <c r="D156" s="3" t="inlineStr">
        <is>
          <t>Pregnancy</t>
        </is>
      </c>
      <c r="E156" s="3" t="inlineStr"/>
      <c r="F156" s="3" t="inlineStr">
        <is>
          <t>Add: avoid unless essential; PPROM prophylaxis linked to neonatal necrotising enterocolitis</t>
        </is>
      </c>
      <c r="G156" s="3" t="inlineStr">
        <is>
          <t>Both amoxicillin and clavulanic acid cross the placenta; use with caution</t>
        </is>
      </c>
      <c r="H156" s="3" t="inlineStr">
        <is>
          <t>No established risk of major birth defects (US 8.1). PPROM prophylaxis is associated with increased neonatal necrotising enterocolitis. UK SmPC: avoid in pregnancy unless considered essential. The hospital entry omits the PPROM/NEC warning.</t>
        </is>
      </c>
      <c r="I156" s="3" t="inlineStr">
        <is>
          <t>US label 8.1 — https://dailymed.nlm.nih.gov/dailymed/drugInfo.cfm?setid=80bef3fd-4f6f-4190-8865-9ac46c8947a3; UK SmPC 4.6 — https://www.medicines.org.uk/emc/product/7211/smpc</t>
        </is>
      </c>
      <c r="J156" s="3" t="inlineStr">
        <is>
          <t>Open</t>
        </is>
      </c>
      <c r="K156" s="3" t="inlineStr"/>
    </row>
    <row r="157">
      <c r="A157" s="3" t="n">
        <v>252</v>
      </c>
      <c r="B157" s="3" t="inlineStr">
        <is>
          <t>AmoClav (Amoxicillin/clavulanate) (AMO04, AMO08)</t>
        </is>
      </c>
      <c r="C157" s="8" t="inlineStr">
        <is>
          <t>Medium</t>
        </is>
      </c>
      <c r="D157" s="3" t="inlineStr">
        <is>
          <t>Pregnancy</t>
        </is>
      </c>
      <c r="E157" s="3" t="inlineStr"/>
      <c r="F157" s="3" t="inlineStr">
        <is>
          <t>Add: avoid unless essential; PPROM prophylaxis associated with neonatal NEC</t>
        </is>
      </c>
      <c r="G157" s="3" t="inlineStr">
        <is>
          <t>Both amoxicillin and clavulanic acid cross the placenta; use with caution</t>
        </is>
      </c>
      <c r="H157" s="3" t="inlineStr">
        <is>
          <t>Avoid in pregnancy unless considered essential. Prophylactic use in PPROM is associated with ↑ neonatal necrotising enterocolitis.</t>
        </is>
      </c>
      <c r="I157" s="3" t="inlineStr">
        <is>
          <t>UK SmPC §4.6, https://www.medicines.org.uk/emc/product/7211/smpc; US label §8.1</t>
        </is>
      </c>
      <c r="J157" s="3" t="inlineStr">
        <is>
          <t>Open</t>
        </is>
      </c>
      <c r="K157" s="3" t="inlineStr"/>
    </row>
    <row r="158">
      <c r="A158" s="3" t="n">
        <v>268</v>
      </c>
      <c r="B158" s="3" t="inlineStr">
        <is>
          <t>Antifect (Cefepime) (ANT10)</t>
        </is>
      </c>
      <c r="C158" s="8" t="inlineStr">
        <is>
          <t>Medium</t>
        </is>
      </c>
      <c r="D158" s="3" t="inlineStr">
        <is>
          <t>Administration/compatibility</t>
        </is>
      </c>
      <c r="E158" s="3" t="inlineStr"/>
      <c r="F158" s="3" t="inlineStr">
        <is>
          <t>1 g vial IV reconstitution: 10 mL (≈100 mg/mL), not 5 mL; IM 1 g + 2.4 mL</t>
        </is>
      </c>
      <c r="G158" s="3" t="inlineStr">
        <is>
          <t>再生溶液5mL (cited to 仿單/Handbook/Micromedex) for the stocked 1 g vial</t>
        </is>
      </c>
      <c r="H158" s="3" t="inlineStr">
        <is>
          <t>Antifect 表6: IV 0.5 g vial + 5 mL; 1 g vial + 10 mL (≈100 mg/mL); IM 1 g + 2.4 mL (≈280 mg/mL). For a 1 g vial, 5 mL is the wrong IV volume. FDA Table 3: 1 g IV + 10 mL.</t>
        </is>
      </c>
      <c r="I158" s="3" t="inlineStr">
        <is>
          <t>Taiwan Antifect insert §3.2 表6 — https://mcp.fda.gov.tw/im_detail_1/%E8%A1%9B%E7%BD%B2%E8%97%A5%E8%A3%BD%E5%AD%97%E7%AC%AC047983%E8%99%9F ; US FDA label §2.4 Table 3</t>
        </is>
      </c>
      <c r="J158" s="3" t="inlineStr">
        <is>
          <t>Open</t>
        </is>
      </c>
      <c r="K158" s="3" t="inlineStr"/>
    </row>
    <row r="159">
      <c r="A159" s="3" t="n">
        <v>263</v>
      </c>
      <c r="B159" s="3" t="inlineStr">
        <is>
          <t>Antifect (Cefepime) (ANT10)</t>
        </is>
      </c>
      <c r="C159" s="8" t="inlineStr">
        <is>
          <t>Medium</t>
        </is>
      </c>
      <c r="D159" s="3" t="inlineStr">
        <is>
          <t>Indication/coverage</t>
        </is>
      </c>
      <c r="E159" s="3" t="inlineStr"/>
      <c r="F159" s="3" t="inlineStr">
        <is>
          <t>Add TW-insert indications: septicaemia, gynaecological, IAI/biliary, bronchitis, pediatric meningitis</t>
        </is>
      </c>
      <c r="G159" s="3" t="inlineStr">
        <is>
          <t>Indications follow the US label: pneumonia, FN, UTI, uncomplicated SSSI, cIAI with metronidazole.</t>
        </is>
      </c>
      <c r="H159" s="3" t="inlineStr">
        <is>
          <t>The stocked product's Taiwan insert also includes septicaemia (敗血症), gynaecological infections (婦科感染), IAI including peritonitis and biliary infections, bronchitis, and bacterial meningitis in children. The UK SmPC agrees.</t>
        </is>
      </c>
      <c r="I159" s="3" t="inlineStr">
        <is>
          <t>Taiwan Antifect insert 2 適應症 — https://mcp.fda.gov.tw/im_detail_1/%E8%A1%9B%E7%BD%B2%E8%97%A5%E8%A3%BD%E5%AD%97%E7%AC%AC047983%E8%99%9F; UK SmPC 4.1 — https://www.medicines.org.uk/emc/product/9671/smpc</t>
        </is>
      </c>
      <c r="J159" s="3" t="inlineStr">
        <is>
          <t>Open</t>
        </is>
      </c>
      <c r="K159" s="3" t="inlineStr"/>
    </row>
    <row r="160">
      <c r="A160" s="3" t="n">
        <v>267</v>
      </c>
      <c r="B160" s="3" t="inlineStr">
        <is>
          <t>Antifect (Cefepime) (ANT10)</t>
        </is>
      </c>
      <c r="C160" s="8" t="inlineStr">
        <is>
          <t>Medium</t>
        </is>
      </c>
      <c r="D160" s="3" t="inlineStr">
        <is>
          <t>Indication/coverage</t>
        </is>
      </c>
      <c r="E160" s="3" t="inlineStr"/>
      <c r="F160" s="3" t="inlineStr">
        <is>
          <t>Add TW indications: LRTI/bronchitis, peritonitis/biliary, gynaecological, septicaemia, pediatric meningitis</t>
        </is>
      </c>
      <c r="G160" s="3" t="inlineStr">
        <is>
          <t>US-label list: pneumonia, febrile neutropenia, UTI, uncomplicated skin, complicated intra-abdominal (with metronidazole).</t>
        </is>
      </c>
      <c r="H160" s="3" t="inlineStr">
        <is>
          <t>The stocked Antifect insert also approves LRTI including bronchitis, intra-abdominal infection including peritonitis and biliary infection, gynaecological infections, septicaemia, and (paediatric) bacterial meningitis.</t>
        </is>
      </c>
      <c r="I160" s="3" t="inlineStr">
        <is>
          <t>Taiwan Antifect insert §2 適應症 — https://mcp.fda.gov.tw/im_detail_1/%E8%A1%9B%E7%BD%B2%E8%97%A5%E8%A3%BD%E5%AD%97%E7%AC%AC047983%E8%99%9F</t>
        </is>
      </c>
      <c r="J160" s="3" t="inlineStr">
        <is>
          <t>Open</t>
        </is>
      </c>
      <c r="K160" s="3" t="inlineStr"/>
    </row>
    <row r="161">
      <c r="A161" s="3" t="n">
        <v>273</v>
      </c>
      <c r="B161" s="3" t="inlineStr">
        <is>
          <t>Brosym (cefoperazone-sulbactam) (BRO04, BUR01)</t>
        </is>
      </c>
      <c r="C161" s="8" t="inlineStr">
        <is>
          <t>Medium</t>
        </is>
      </c>
      <c r="D161" s="3" t="inlineStr">
        <is>
          <t>Breastfeeding</t>
        </is>
      </c>
      <c r="E161" s="3" t="inlineStr">
        <is>
          <t>LactMed outdated</t>
        </is>
      </c>
      <c r="F161" s="3" t="inlineStr">
        <is>
          <t>Cite LactMed 'acceptable' alongside TW insert advice to stop breastfeeding</t>
        </is>
      </c>
      <c r="G161" s="3" t="inlineStr">
        <is>
          <t>Infant risk cannot be ruled out (MDX)</t>
        </is>
      </c>
      <c r="H161" s="3" t="inlineStr">
        <is>
          <t>LactMed: 'Cefoperazone is acceptable in nursing mothers'. The Taiwan insert says to stop breastfeeding during treatment (BUR01 reproduces this insert text).</t>
        </is>
      </c>
      <c r="I161" s="3" t="inlineStr">
        <is>
          <t>LactMed NBK501355 — https://www.ncbi.nlm.nih.gov/books/NBK501355/; Brosym TW insert §6.2</t>
        </is>
      </c>
      <c r="J161" s="3" t="inlineStr">
        <is>
          <t>Open</t>
        </is>
      </c>
      <c r="K161" s="3" t="inlineStr"/>
    </row>
    <row r="162">
      <c r="A162" s="3" t="n">
        <v>280</v>
      </c>
      <c r="B162" s="3" t="inlineStr">
        <is>
          <t>Brosym (cefoperazone-sulbactam) (BRO04, BUR01)</t>
        </is>
      </c>
      <c r="C162" s="8" t="inlineStr">
        <is>
          <t>Medium</t>
        </is>
      </c>
      <c r="D162" s="3" t="inlineStr">
        <is>
          <t>Breastfeeding</t>
        </is>
      </c>
      <c r="E162" s="3" t="inlineStr">
        <is>
          <t>LactMed outdated</t>
        </is>
      </c>
      <c r="F162" s="3" t="inlineStr">
        <is>
          <t>Replace MDX text with LactMed 'acceptable' plus TW insert advice</t>
        </is>
      </c>
      <c r="G162" s="3" t="inlineStr">
        <is>
          <t>Infant risk cannot be ruled out (MDX)</t>
        </is>
      </c>
      <c r="H162" s="3" t="inlineStr">
        <is>
          <t>TW 仿單 §6.2: stop breastfeeding during treatment. LactMed: 'acceptable in nursing mothers'. BUR01 correctly quotes the insert.</t>
        </is>
      </c>
      <c r="I162" s="3" t="inlineStr">
        <is>
          <t>TFDA insert Brosym §6.2; LactMed NBK501355 https://www.ncbi.nlm.nih.gov/books/NBK501355/</t>
        </is>
      </c>
      <c r="J162" s="3" t="inlineStr">
        <is>
          <t>Open</t>
        </is>
      </c>
      <c r="K162" s="3" t="inlineStr"/>
    </row>
    <row r="163">
      <c r="A163" s="3" t="n">
        <v>274</v>
      </c>
      <c r="B163" s="3" t="inlineStr">
        <is>
          <t>Brosym (cefoperazone-sulbactam) (BRO04, BUR01)</t>
        </is>
      </c>
      <c r="C163" s="8" t="inlineStr">
        <is>
          <t>Medium</t>
        </is>
      </c>
      <c r="D163" s="3" t="inlineStr">
        <is>
          <t>Indication/coverage</t>
        </is>
      </c>
      <c r="E163" s="3" t="inlineStr"/>
      <c r="F163" s="3" t="inlineStr">
        <is>
          <t>Restrict indications to TW insert list; remove septicaemia, meningitis, gonorrhoea</t>
        </is>
      </c>
      <c r="G163" s="3" t="inlineStr">
        <is>
          <t>Septicemia, meningitis, peritonitis, cholecystitis, cholangitis, pelvic inflammatory disease, endometritis, gonorrhea, and other abdominal and genital tract infections (#仿單變更2021, no source given)</t>
        </is>
      </c>
      <c r="H163" s="3" t="inlineStr">
        <is>
          <t>The Taiwan insert indications do not include septicaemia, meningitis or gonorrhoea. They are: upper and lower RTI, upper and lower UTI, peritonitis, cholecystitis, cholangitis and other intra-abdominal infections, pelvic inflammation, endometritis and other genital tract infections, and secondary infections of wounds, burns and surgical sites.</t>
        </is>
      </c>
      <c r="I163" s="3" t="inlineStr">
        <is>
          <t>Brosym TW insert §2 — https://mcp.fda.gov.tw/im_detail_1/%E8%A1%9B%E9%83%A8%E8%97%A5%E8%A3%BD%E5%AD%97%E7%AC%AC058156%E8%99%9F</t>
        </is>
      </c>
      <c r="J163" s="3" t="inlineStr">
        <is>
          <t>Open</t>
        </is>
      </c>
      <c r="K163" s="3" t="inlineStr"/>
    </row>
    <row r="164">
      <c r="A164" s="3" t="n">
        <v>281</v>
      </c>
      <c r="B164" s="3" t="inlineStr">
        <is>
          <t>Brosym (cefoperazone-sulbactam) (BRO04, BUR01)</t>
        </is>
      </c>
      <c r="C164" s="8" t="inlineStr">
        <is>
          <t>Medium</t>
        </is>
      </c>
      <c r="D164" s="3" t="inlineStr">
        <is>
          <t>Indication/coverage</t>
        </is>
      </c>
      <c r="E164" s="3" t="inlineStr"/>
      <c r="F164" s="3" t="inlineStr">
        <is>
          <t>Remove septicemia, meningitis, bone/joint, gonorrhea; align with TW insert (as BUR01)</t>
        </is>
      </c>
      <c r="G164" s="3" t="inlineStr">
        <is>
          <t>Includes septicemia, meningitis, bone and joint infections, gonorrhea ('#仿單變更2021', no source given)</t>
        </is>
      </c>
      <c r="H164" s="3" t="inlineStr">
        <is>
          <t>TW 仿單 §2 lists respiratory, urinary, peritonitis/cholecystitis/cholangitis/IAI, pelvic/endometritis/genital tract, and secondary infections of trauma/burn/surgery only. No septicemia, meningitis, bone/joint or gonorrhea. BUR01 matches the insert.</t>
        </is>
      </c>
      <c r="I164" s="3" t="inlineStr">
        <is>
          <t>TFDA insert Brosym §2 適應症</t>
        </is>
      </c>
      <c r="J164" s="3" t="inlineStr">
        <is>
          <t>Open</t>
        </is>
      </c>
      <c r="K164" s="3" t="inlineStr"/>
    </row>
    <row r="165">
      <c r="A165" s="3" t="n">
        <v>287</v>
      </c>
      <c r="B165" s="3" t="inlineStr">
        <is>
          <t>Cefin (Ceftriaxone) (CEF10)</t>
        </is>
      </c>
      <c r="C165" s="8" t="inlineStr">
        <is>
          <t>Medium</t>
        </is>
      </c>
      <c r="D165" s="3" t="inlineStr">
        <is>
          <t>Adverse effects</t>
        </is>
      </c>
      <c r="E165" s="3" t="inlineStr">
        <is>
          <t>Missing SCAR (SJS/TEN/DRESS)</t>
        </is>
      </c>
      <c r="F165" s="3" t="inlineStr">
        <is>
          <t>Add haemolytic anaemia, pseudolithiasis, urolithiasis, pancreatitis, CDAD, neurotoxicity, SJS/TEN/DRESS, Ca precipitation</t>
        </is>
      </c>
      <c r="G165" s="3" t="inlineStr">
        <is>
          <t>Only skin tightness/induration (IM), rash 2%, diarrhea 3%, eosinophilia 6%, leukopenia 2%, thrombocytosis 5%, ALT/AST ↑3%, BUN ↑1%</t>
        </is>
      </c>
      <c r="H165" s="3" t="inlineStr">
        <is>
          <t>Several boxed or highlighted label warnings are missing: immune-mediated haemolytic anaemia (including fatal cases), gallbladder pseudolithiasis, urolithiasis/post-renal ARF, pancreatitis, CDAD, neurotoxicity (encephalopathy, seizures, NCSE; overdose in severe renal impairment), SJS/TEN/DRESS, PT prolongation, and fatal ceftriaxone-calcium precipitation in neonates.</t>
        </is>
      </c>
      <c r="I165" s="3" t="inlineStr">
        <is>
          <t>US FDA WARNINGS/ADVERSE REACTIONS https://dailymed.nlm.nih.gov/dailymed/drugInfo.cfm?setid=8351aa37-552d-471d-b293-c564dcb6ec29 ; UK SmPC 4.4/4.8 ; TW insert 2.4/2.6</t>
        </is>
      </c>
      <c r="J165" s="3" t="inlineStr">
        <is>
          <t>Open</t>
        </is>
      </c>
      <c r="K165" s="3" t="inlineStr"/>
    </row>
    <row r="166">
      <c r="A166" s="3" t="n">
        <v>292</v>
      </c>
      <c r="B166" s="3" t="inlineStr">
        <is>
          <t>Cefin (Ceftriaxone) (CEF10)</t>
        </is>
      </c>
      <c r="C166" s="8" t="inlineStr">
        <is>
          <t>Medium</t>
        </is>
      </c>
      <c r="D166" s="3" t="inlineStr">
        <is>
          <t>Adverse effects</t>
        </is>
      </c>
      <c r="E166" s="3" t="inlineStr">
        <is>
          <t>Missing SCAR (SJS/TEN/DRESS)</t>
        </is>
      </c>
      <c r="F166" s="3" t="inlineStr">
        <is>
          <t>Add label warnings: haemolytic anaemia, CDAD, biliary/renal precipitates, pancreatitis, neurotoxicity, SCAR, PT prolongation</t>
        </is>
      </c>
      <c r="G166" s="3" t="inlineStr">
        <is>
          <t>Lists only eosinophilia 6%, thrombocytosis 5%, diarrhoea 3%, ALT/AST rise 3%, rash 2%, leukopenia 2%, BUN rise 1%, and IM local reactions.</t>
        </is>
      </c>
      <c r="H166" s="3" t="inlineStr">
        <is>
          <t>The labels' warnings cover immune haemolytic anaemia (including fatal cases), CDAD, gallbladder pseudolithiasis, urolithiasis with post-renal ARF, pancreatitis, neurological reactions (encephalopathy, seizures, NCSE, especially in severe renal impairment), SJS/TEN/DRESS/AGEP and PT prolongation. The site has none of these.</t>
        </is>
      </c>
      <c r="I166" s="3" t="inlineStr">
        <is>
          <t>FDA WARNINGS/PRECAUTIONS https://dailymed.nlm.nih.gov/dailymed/drugInfo.cfm?setid=8351aa37-552d-471d-b293-c564dcb6ec29 ; SmPC 4.4/4.8 https://www.medicines.org.uk/emc/product/15077/smpc ; 仿單 2.4/2.6</t>
        </is>
      </c>
      <c r="J166" s="3" t="inlineStr">
        <is>
          <t>Open</t>
        </is>
      </c>
      <c r="K166" s="3" t="inlineStr"/>
    </row>
    <row r="167">
      <c r="A167" s="3" t="n">
        <v>289</v>
      </c>
      <c r="B167" s="3" t="inlineStr">
        <is>
          <t>Cefin (Ceftriaxone) (CEF10)</t>
        </is>
      </c>
      <c r="C167" s="8" t="inlineStr">
        <is>
          <t>Medium</t>
        </is>
      </c>
      <c r="D167" s="3" t="inlineStr">
        <is>
          <t>Dosing – adult</t>
        </is>
      </c>
      <c r="E167" s="3" t="inlineStr"/>
      <c r="F167" s="3" t="inlineStr">
        <is>
          <t>Add insert dosing: 1–2 g q24h (max 4 g/day), prophylaxis 1–2 g 30–90 min pre-op; link 仿單</t>
        </is>
      </c>
      <c r="G167" s="3" t="inlineStr">
        <is>
          <t>Indication-based dosing (bloodstream infection 2 g daily, meningitis 2 g q12h, cUTI 1 g daily, etc.) in Lexicomp style; no insert-based dosing and no 仿單 PDF link</t>
        </is>
      </c>
      <c r="H167" s="3" t="inlineStr">
        <is>
          <t>The stocked product's TW insert gives 1–2 g q24h (up to 4 g once daily), surgical prophylaxis 1–2 g 30–90 min pre-op, and neonatal/paediatric 20–80 mg/kg QD. The hospital page does not link the insert (仿單) PDF.</t>
        </is>
      </c>
      <c r="I167" s="3" t="inlineStr">
        <is>
          <t>TW insert https://mcp.fda.gov.tw/insert/pdfcasefile/i_e5d33886-d20a-423d-9bc2-14ea9861a989</t>
        </is>
      </c>
      <c r="J167" s="3" t="inlineStr">
        <is>
          <t>Open</t>
        </is>
      </c>
      <c r="K167" s="3" t="inlineStr"/>
    </row>
    <row r="168">
      <c r="A168" s="3" t="n">
        <v>295</v>
      </c>
      <c r="B168" s="3" t="inlineStr">
        <is>
          <t>Cefin (Ceftriaxone) (CEF10)</t>
        </is>
      </c>
      <c r="C168" s="8" t="inlineStr">
        <is>
          <t>Medium</t>
        </is>
      </c>
      <c r="D168" s="3" t="inlineStr">
        <is>
          <t>Dosing – adult</t>
        </is>
      </c>
      <c r="E168" s="3" t="inlineStr"/>
      <c r="F168" s="3" t="inlineStr">
        <is>
          <t>AOM: single 1–2 g IM dose; 3-day IM only if severe/failure; remove IV regimen</t>
        </is>
      </c>
      <c r="G168" s="3" t="inlineStr">
        <is>
          <t>IM, IV: 1 to 2 g once daily for 3 days.</t>
        </is>
      </c>
      <c r="H168" s="3" t="inlineStr">
        <is>
          <t>The UK SmPC gives a single IM dose of 1–2 g. A 3-day IM course is only for severely ill patients or after previous treatment failure ('limited data'). The FDA label gives a single IM dose of 50 mg/kg in children. No label gives an IV regimen for AOM.</t>
        </is>
      </c>
      <c r="I168" s="3" t="inlineStr">
        <is>
          <t>UK SmPC 4.2 https://www.medicines.org.uk/emc/product/15077/smpc ; FDA 'PEDIATRIC PATIENTS'</t>
        </is>
      </c>
      <c r="J168" s="3" t="inlineStr">
        <is>
          <t>Open</t>
        </is>
      </c>
      <c r="K168" s="3" t="inlineStr"/>
    </row>
    <row r="169">
      <c r="A169" s="3" t="n">
        <v>297</v>
      </c>
      <c r="B169" s="3" t="inlineStr">
        <is>
          <t>Cefin (Ceftriaxone) (CEF10)</t>
        </is>
      </c>
      <c r="C169" s="8" t="inlineStr">
        <is>
          <t>Medium</t>
        </is>
      </c>
      <c r="D169" s="3" t="inlineStr">
        <is>
          <t>Dosing – adult</t>
        </is>
      </c>
      <c r="E169" s="3" t="inlineStr"/>
      <c r="F169" s="3" t="inlineStr">
        <is>
          <t>Add insert surgical-prophylaxis dose and 4 g/day max; link Cefin 仿單</t>
        </is>
      </c>
      <c r="G169" s="3" t="inlineStr">
        <is>
          <t>There is no package insert PDF link. The adult dosing (bloodstream 2 g daily, cUTI 1 g daily, etc.) follows a tertiary drug reference, not the product insert.</t>
        </is>
      </c>
      <c r="H169" s="3" t="inlineStr">
        <is>
          <t>The Cefin 仿單 adult dosing is 1–2 g q24h, up to 4 g once daily, with surgical prophylaxis of 1–2 g given 30–90 min before surgery. The site does not mention the surgical-prophylaxis dose or the insert's 4 g/day maximum.</t>
        </is>
      </c>
      <c r="I169" s="3" t="inlineStr">
        <is>
          <t>Cefin 仿單 2.2 https://mcp.fda.gov.tw/im_detail_pdf/%E8%A1%9B%E7%BD%B2%E8%97%A5%E8%A3%BD%E5%AD%97%E7%AC%AC038615%E8%99%9F</t>
        </is>
      </c>
      <c r="J169" s="3" t="inlineStr">
        <is>
          <t>Open</t>
        </is>
      </c>
      <c r="K169" s="3" t="inlineStr"/>
    </row>
    <row r="170">
      <c r="A170" s="3" t="n">
        <v>284</v>
      </c>
      <c r="B170" s="3" t="inlineStr">
        <is>
          <t>Cefin (Ceftriaxone) (CEF10)</t>
        </is>
      </c>
      <c r="C170" s="8" t="inlineStr">
        <is>
          <t>Medium</t>
        </is>
      </c>
      <c r="D170" s="3" t="inlineStr">
        <is>
          <t>Dosing – renal/dialysis</t>
        </is>
      </c>
      <c r="E170" s="3" t="inlineStr">
        <is>
          <t>Renal table outdated</t>
        </is>
      </c>
      <c r="F170" s="3" t="inlineStr">
        <is>
          <t>Use label wording: no adjustment if liver normal; max 2 g/day at CrCl &lt;10; monitor levels in dialysis</t>
        </is>
      </c>
      <c r="G170" s="3" t="inlineStr">
        <is>
          <t>CrCl &gt;15 mL/min: no adjustment; CrCl &lt;15: doses &gt;2 g/day not studied, monitor closely; HD/PD and CRRT/PIRRT: no adjustment</t>
        </is>
      </c>
      <c r="H170" s="3" t="inlineStr">
        <is>
          <t>TW Cefin insert 2.2.1 and UK SmPC 4.2: no reduction if liver function is normal, but max 2 g/day when CrCl &lt;10 mL/min. TW adds that plasma levels should be monitored in dialysis. US FDA: no adjustment; max 2 g/day only with combined hepatic dysfunction and significant renal disease. No label uses a CrCl cutoff of 15.</t>
        </is>
      </c>
      <c r="I170" s="3" t="inlineStr">
        <is>
          <t>TW insert https://mcp.fda.gov.tw/im_detail_pdf/%E8%A1%9B%E7%BD%B2%E8%97%A5%E8%A3%BD%E5%AD%97%E7%AC%AC038615%E8%99%9F ; UK SmPC https://www.medicines.org.uk/emc/product/15077/smpc ; US FDA https://dailymed.nlm.nih.gov/dailymed/drugInfo.cfm?setid=8351aa37-552d-471d-b293-c564dcb6ec29</t>
        </is>
      </c>
      <c r="J170" s="3" t="inlineStr">
        <is>
          <t>Open</t>
        </is>
      </c>
      <c r="K170" s="3" t="inlineStr"/>
    </row>
    <row r="171">
      <c r="A171" s="3" t="n">
        <v>290</v>
      </c>
      <c r="B171" s="3" t="inlineStr">
        <is>
          <t>Cefin (Ceftriaxone) (CEF10)</t>
        </is>
      </c>
      <c r="C171" s="8" t="inlineStr">
        <is>
          <t>Medium</t>
        </is>
      </c>
      <c r="D171" s="3" t="inlineStr">
        <is>
          <t>Dosing – renal/dialysis</t>
        </is>
      </c>
      <c r="E171" s="3" t="inlineStr">
        <is>
          <t>Renal table outdated</t>
        </is>
      </c>
      <c r="F171" s="3" t="inlineStr">
        <is>
          <t>Replace CrCl 15 cutoff with max 2 g/day at CrCl &lt;10 (TW/UK)</t>
        </is>
      </c>
      <c r="G171" s="3" t="inlineStr">
        <is>
          <t>CrCl &gt;15 mL/min: no dosage adjustment. Below 15 mL/min: doses above 2 g/day have not been studied and need close monitoring.</t>
        </is>
      </c>
      <c r="H171" s="3" t="inlineStr">
        <is>
          <t>The Cefin 仿單 and UK SmPC say no reduction if hepatic function is normal, with a 2 g/day maximum only when CrCl is below 10 mL/min. The US FDA label says no adjustment, with a 2 g/day cap only when hepatic dysfunction and significant renal disease coexist. No label uses a CrCl 15 cutoff.</t>
        </is>
      </c>
      <c r="I171" s="3" t="inlineStr">
        <is>
          <t>Cefin 仿單 2.2.1 https://mcp.fda.gov.tw/im_detail_pdf/%E8%A1%9B%E7%BD%B2%E8%97%A5%E8%A3%BD%E5%AD%97%E7%AC%AC038615%E8%99%9F ; UK SmPC 4.2 https://www.medicines.org.uk/emc/product/15077/smpc ; FDA Precautions https://dailymed.nlm.nih.gov/dailymed/drugInfo.cfm?setid=8351aa37-552d-471d-b293-c564dcb6ec29</t>
        </is>
      </c>
      <c r="J171" s="3" t="inlineStr">
        <is>
          <t>Open</t>
        </is>
      </c>
      <c r="K171" s="3" t="inlineStr"/>
    </row>
    <row r="172">
      <c r="A172" s="3" t="n">
        <v>305</v>
      </c>
      <c r="B172" s="3" t="inlineStr">
        <is>
          <t>Cefmore (Cefoxitin) (CEF08)</t>
        </is>
      </c>
      <c r="C172" s="8" t="inlineStr">
        <is>
          <t>Medium</t>
        </is>
      </c>
      <c r="D172" s="3" t="inlineStr">
        <is>
          <t>Adverse effects</t>
        </is>
      </c>
      <c r="E172" s="3" t="inlineStr">
        <is>
          <t>Missing SCAR (SJS/TEN/DRESS)</t>
        </is>
      </c>
      <c r="F172" s="3" t="inlineStr">
        <is>
          <t>Add rash, eosinophilia, fever, leukopenia/neutropenia, LFT and renal rises, TEN</t>
        </is>
      </c>
      <c r="G172" s="3" t="inlineStr">
        <is>
          <t>Common: thrombophlebitis, diarrhea; Serious: erythema multiforme, SJS, pseudomembranous enterocolitis, anaphylaxis</t>
        </is>
      </c>
      <c r="H172" s="3" t="inlineStr">
        <is>
          <t>The product insert also lists rash/pruritus, eosinophilia, fever, transient leukopenia/neutropenia, transient rises in SGOT/SGPT/LDH/ALP, rises in creatinine/urea, and TEN.</t>
        </is>
      </c>
      <c r="I172" s="3" t="inlineStr">
        <is>
          <t>Taiwan 仿單 §8.1.1-8.1.2</t>
        </is>
      </c>
      <c r="J172" s="3" t="inlineStr">
        <is>
          <t>Open</t>
        </is>
      </c>
      <c r="K172" s="3" t="inlineStr"/>
    </row>
    <row r="173">
      <c r="A173" s="3" t="n">
        <v>298</v>
      </c>
      <c r="B173" s="3" t="inlineStr">
        <is>
          <t>Cefmore (Cefoxitin) (CEF08)</t>
        </is>
      </c>
      <c r="C173" s="8" t="inlineStr">
        <is>
          <t>Medium</t>
        </is>
      </c>
      <c r="D173" s="3" t="inlineStr">
        <is>
          <t>Dosing – pediatric</t>
        </is>
      </c>
      <c r="E173" s="3" t="inlineStr"/>
      <c r="F173" s="3" t="inlineStr">
        <is>
          <t>Pediatric: 80–160 mg/kg/day divided in 4–6 doses (not 3–6), max 12 g/day</t>
        </is>
      </c>
      <c r="G173" s="3" t="inlineStr">
        <is>
          <t>(&gt;3 months of age and Children) 80 to 160 mg/kg/day in 3 to 6 equally divided doses. Maximum daily dosage is 12 g.</t>
        </is>
      </c>
      <c r="H173" s="3" t="inlineStr">
        <is>
          <t>80-160 mg/kg/day divided into FOUR to six equal doses (q4-6h); max 12 g/day</t>
        </is>
      </c>
      <c r="I173" s="3" t="inlineStr">
        <is>
          <t>Taiwan 仿單 Cefmore §3.3 ('分4～6次使用'); US FDA label D&amp;A – Pediatric Patients – https://mcp.fda.gov.tw/im_detail_1/%E8%A1%9B%E7%BD%B2%E8%97%A5%E8%A3%BD%E5%AD%97%E7%AC%AC038843%E8%99%9F</t>
        </is>
      </c>
      <c r="J173" s="3" t="inlineStr">
        <is>
          <t>Open</t>
        </is>
      </c>
      <c r="K173" s="3" t="inlineStr"/>
    </row>
    <row r="174">
      <c r="A174" s="3" t="n">
        <v>307</v>
      </c>
      <c r="B174" s="3" t="inlineStr">
        <is>
          <t>Cefmore (Cefoxitin) (CEF08)</t>
        </is>
      </c>
      <c r="C174" s="8" t="inlineStr">
        <is>
          <t>Medium</t>
        </is>
      </c>
      <c r="D174" s="3" t="inlineStr">
        <is>
          <t>Dosing – pediatric</t>
        </is>
      </c>
      <c r="E174" s="3" t="inlineStr"/>
      <c r="F174" s="3" t="inlineStr">
        <is>
          <t>Pediatric divided in 4–6 doses (not 3–6), max 12 g/day</t>
        </is>
      </c>
      <c r="G174" s="3" t="inlineStr">
        <is>
          <t>(&gt;3 months of age and Children) 80 to 160 mg/kg/day in 3 to 6 equally divided doses. Maximum daily dosage is 12 g.</t>
        </is>
      </c>
      <c r="H174" s="3" t="inlineStr">
        <is>
          <t>80-160 mg/kg/day divided into 4 to 6 equal doses (分4～6次使用); max 12 g/day</t>
        </is>
      </c>
      <c r="I174" s="3" t="inlineStr">
        <is>
          <t>Taiwan insert §3.3 (衛署藥製字第038843號); US FDA label DOSAGE AND ADMINISTRATION – Pediatric Patients (DailyMed setid 658a0dc6…, v8 2026)</t>
        </is>
      </c>
      <c r="J174" s="3" t="inlineStr">
        <is>
          <t>Open</t>
        </is>
      </c>
      <c r="K174" s="3" t="inlineStr"/>
    </row>
    <row r="175">
      <c r="A175" s="3" t="n">
        <v>302</v>
      </c>
      <c r="B175" s="3" t="inlineStr">
        <is>
          <t>Cefmore (Cefoxitin) (CEF08)</t>
        </is>
      </c>
      <c r="C175" s="8" t="inlineStr">
        <is>
          <t>Medium</t>
        </is>
      </c>
      <c r="D175" s="3" t="inlineStr">
        <is>
          <t>Indication/coverage</t>
        </is>
      </c>
      <c r="E175" s="3" t="inlineStr"/>
      <c r="F175" s="3" t="inlineStr">
        <is>
          <t>Remove duplicate septicemia; add intra-abdominal infection and surgical prophylaxis; cite TW indication</t>
        </is>
      </c>
      <c r="G175" s="3" t="inlineStr">
        <is>
          <t>US-label (Micromedex-style) indication list. Septicemia appears twice ('Bacteremia/sepsis' and 'Septicemia'). Intra-abdominal infection and surgical prophylaxis are missing.</t>
        </is>
      </c>
      <c r="H175" s="3" t="inlineStr">
        <is>
          <t>Taiwan 仿單 §2 適應症: 葡萄球菌、鏈球菌、肺炎雙球菌、腦膜炎球菌及其它具有感受性細菌引起之感染症. The FDA label also lists intra-abdominal infections and prophylaxis.</t>
        </is>
      </c>
      <c r="I175" s="3" t="inlineStr">
        <is>
          <t>Taiwan 仿單 §2; US FDA label INDICATIONS AND USAGE (3) and Prevention</t>
        </is>
      </c>
      <c r="J175" s="3" t="inlineStr">
        <is>
          <t>Open</t>
        </is>
      </c>
      <c r="K175" s="3" t="inlineStr"/>
    </row>
    <row r="176">
      <c r="A176" s="3" t="n">
        <v>312</v>
      </c>
      <c r="B176" s="3" t="inlineStr">
        <is>
          <t>Cefmore (Cefoxitin) (CEF08)</t>
        </is>
      </c>
      <c r="C176" s="8" t="inlineStr">
        <is>
          <t>Medium</t>
        </is>
      </c>
      <c r="D176" s="3" t="inlineStr">
        <is>
          <t>Indication/coverage</t>
        </is>
      </c>
      <c r="E176" s="3" t="inlineStr"/>
      <c r="F176" s="3" t="inlineStr">
        <is>
          <t>Remove duplicate septicemia; add prophylaxis; reference TW-approved indication</t>
        </is>
      </c>
      <c r="G176" s="3" t="inlineStr">
        <is>
          <t>US-label indication list (Bacteremia/sepsis, bone &amp; joint, gynaecological, LRTI, Septicemia, SSSI, UTI). Bacteremia/sepsis and Septicemia are duplicated, and surgical prophylaxis is omitted.</t>
        </is>
      </c>
      <c r="H176" s="3" t="inlineStr">
        <is>
          <t>The Taiwan-approved indication for the stocked product is: 葡萄球菌、鏈球菌、肺炎雙球菌、腦膜炎球菌及其它具有感受性細菌引起之感染症. The US label adds prophylaxis (GI surgery, hysterectomy, C-section).</t>
        </is>
      </c>
      <c r="I176" s="3" t="inlineStr">
        <is>
          <t>Taiwan insert §2; US FDA label INDICATIONS AND USAGE – Prevention</t>
        </is>
      </c>
      <c r="J176" s="3" t="inlineStr">
        <is>
          <t>Open</t>
        </is>
      </c>
      <c r="K176" s="3" t="inlineStr"/>
    </row>
    <row r="177">
      <c r="A177" s="3" t="n">
        <v>320</v>
      </c>
      <c r="B177" s="3" t="inlineStr">
        <is>
          <t>Cetazone (Cefmetazole) (CET03)</t>
        </is>
      </c>
      <c r="C177" s="8" t="inlineStr">
        <is>
          <t>Medium</t>
        </is>
      </c>
      <c r="D177" s="3" t="inlineStr">
        <is>
          <t>Adverse effects</t>
        </is>
      </c>
      <c r="E177" s="3" t="inlineStr"/>
      <c r="F177" s="3" t="inlineStr">
        <is>
          <t>Add shock, rash/urticaria, BUN and LFT rises, eosinophilia, RBC decrease, headache</t>
        </is>
      </c>
      <c r="G177" s="3" t="inlineStr">
        <is>
          <t>Leukopenia, nausea, diarrhoea, superinfection</t>
        </is>
      </c>
      <c r="H177" s="3" t="inlineStr">
        <is>
          <t>Consistent with TW §8.1, but incomplete. The label also lists shock, rash/urticaria, BUN rise, AST/ALT/ALP rise, eosinophilia, RBC decrease and headache.</t>
        </is>
      </c>
      <c r="I177" s="3" t="inlineStr">
        <is>
          <t>TW仿單 §8.1, https://mcp.fda.gov.tw/im_detail_1/%E8%A1%9B%E7%BD%B2%E8%97%A5%E8%A3%BD%E5%AD%97%E7%AC%AC035182%E8%99%9F</t>
        </is>
      </c>
      <c r="J177" s="3" t="inlineStr">
        <is>
          <t>Open</t>
        </is>
      </c>
      <c r="K177" s="3" t="inlineStr"/>
    </row>
    <row r="178">
      <c r="A178" s="3" t="n">
        <v>325</v>
      </c>
      <c r="B178" s="3" t="inlineStr">
        <is>
          <t>Cetazone (Cefmetazole) (CET03)</t>
        </is>
      </c>
      <c r="C178" s="8" t="inlineStr">
        <is>
          <t>Medium</t>
        </is>
      </c>
      <c r="D178" s="3" t="inlineStr">
        <is>
          <t>Adverse effects</t>
        </is>
      </c>
      <c r="E178" s="3" t="inlineStr"/>
      <c r="F178" s="3" t="inlineStr">
        <is>
          <t>Add shock, rash, BUN/LFT rises, eosinophilia, RBC decrease, vomiting, headache, injection pain</t>
        </is>
      </c>
      <c r="G178" s="3" t="inlineStr">
        <is>
          <t>Leukopenia, nausea, diarrhea, and superinfection</t>
        </is>
      </c>
      <c r="H178" s="3" t="inlineStr">
        <is>
          <t>TW §8.1 also lists shock, hypersensitivity rash/urticaria, BUN rise, AST/ALT/ALP rise, eosinophilia, decreased RBC, vomiting and headache. §5.1(8) adds vascular pain at the injection site. The hospital list is incomplete.</t>
        </is>
      </c>
      <c r="I178" s="3" t="inlineStr">
        <is>
          <t>TW 仿單 §8.1, §5.1(8) — https://mcp.fda.gov.tw/im_detail_1/%E8%A1%9B%E7%BD%B2%E8%97%A5%E8%A3%BD%E5%AD%97%E7%AC%AC035182%E8%99%9F</t>
        </is>
      </c>
      <c r="J178" s="3" t="inlineStr">
        <is>
          <t>Open</t>
        </is>
      </c>
      <c r="K178" s="3" t="inlineStr"/>
    </row>
    <row r="179">
      <c r="A179" s="3" t="n">
        <v>317</v>
      </c>
      <c r="B179" s="3" t="inlineStr">
        <is>
          <t>Cetazone (Cefmetazole) (CET03)</t>
        </is>
      </c>
      <c r="C179" s="8" t="inlineStr">
        <is>
          <t>Medium</t>
        </is>
      </c>
      <c r="D179" s="3" t="inlineStr">
        <is>
          <t>Dosing – renal/dialysis</t>
        </is>
      </c>
      <c r="E179" s="3" t="inlineStr">
        <is>
          <t>Renal table outdated</t>
        </is>
      </c>
      <c r="F179" s="3" t="inlineStr">
        <is>
          <t>Flag renal table as from discontinued US label; cite PK literature; TW: caution in severe impairment</t>
        </is>
      </c>
      <c r="G179" s="3" t="inlineStr">
        <is>
          <t>CrCl 30–49: 1–2 g q16h; 10–29: 1–2 g q24h; &lt;10: 1–2 g q48h after HD (appears derived from the discontinued US Zefazone label)</t>
        </is>
      </c>
      <c r="H179" s="3" t="inlineStr">
        <is>
          <t>The TW insert has no renal dose table (§6.7 '目前尚無資訊'; §5.1(5) '高度腎障害患者須慎重投與'). No current US or UK label exists to support the table. The verified PK study (PMID 2344159) supports standard doses at extended intervals and a standard dose after HD, but gives no specific interval table.</t>
        </is>
      </c>
      <c r="I179" s="3" t="inlineStr">
        <is>
          <t>TW仿單 §5.1(5), §6.7, https://mcp.fda.gov.tw/im_detail_1/%E8%A1%9B%E7%BD%B2%E8%97%A5%E8%A3%BD%E5%AD%97%E7%AC%AC035182%E8%99%9F; Drugs@FDA NDA050637 Discontinued</t>
        </is>
      </c>
      <c r="J179" s="3" t="inlineStr">
        <is>
          <t>Open</t>
        </is>
      </c>
      <c r="K179" s="3" t="inlineStr"/>
    </row>
    <row r="180">
      <c r="A180" s="3" t="n">
        <v>322</v>
      </c>
      <c r="B180" s="3" t="inlineStr">
        <is>
          <t>Cetazone (Cefmetazole) (CET03)</t>
        </is>
      </c>
      <c r="C180" s="8" t="inlineStr">
        <is>
          <t>Medium</t>
        </is>
      </c>
      <c r="D180" s="3" t="inlineStr">
        <is>
          <t>Dosing – renal/dialysis</t>
        </is>
      </c>
      <c r="E180" s="3" t="inlineStr">
        <is>
          <t>Renal table outdated</t>
        </is>
      </c>
      <c r="F180" s="3" t="inlineStr">
        <is>
          <t>Mark renal table as non-label (Zefazone); consider PK data suggesting more frequent dosing at CrCl &lt;30</t>
        </is>
      </c>
      <c r="G180" s="3" t="inlineStr">
        <is>
          <t>CrCl 30-49 mL/min/1.73m2: 1-2 g q16h; 10-29: 1-2 g q24h; &lt;10: 1-2 g q48h after hemodialysis</t>
        </is>
      </c>
      <c r="H180" s="3" t="inlineStr">
        <is>
          <t>The TW insert for the stocked product has no renal table (§6.7 目前尚無資訊; §5.1(5) caution in severe renal impairment). There is no current FDA or UK label. The values appear to come from the discontinued US Zefazone label (NDA050637, Discontinued). Halstenson 1990 (PMID 2344159) supports standard doses at extended intervals with dosing after HD. ESBL PK/PD data (PMID 35453208) suggest more frequent dosing, such as 1 g q12h at CCr &lt;30.</t>
        </is>
      </c>
      <c r="I180" s="3" t="inlineStr">
        <is>
          <t>TW 仿單 §5.1, §6.7 — https://mcp.fda.gov.tw/im_detail_1/%E8%A1%9B%E7%BD%B2%E8%97%A5%E8%A3%BD%E5%AD%97%E7%AC%AC035182%E8%99%9F ; Drugs@FDA NDA050637 (Discontinued) — https://api.fda.gov/drug/drugsfda.json?search=products.active_ingredients.name:cefmetazole</t>
        </is>
      </c>
      <c r="J180" s="3" t="inlineStr">
        <is>
          <t>Open</t>
        </is>
      </c>
      <c r="K180" s="3" t="inlineStr"/>
    </row>
    <row r="181">
      <c r="A181" s="3" t="n">
        <v>318</v>
      </c>
      <c r="B181" s="3" t="inlineStr">
        <is>
          <t>Cetazone (Cefmetazole) (CET03)</t>
        </is>
      </c>
      <c r="C181" s="8" t="inlineStr">
        <is>
          <t>Medium</t>
        </is>
      </c>
      <c r="D181" s="3" t="inlineStr">
        <is>
          <t>Indication/coverage</t>
        </is>
      </c>
      <c r="E181" s="3" t="inlineStr"/>
      <c r="F181" s="3" t="inlineStr">
        <is>
          <t>Align with TW indications; SSTI and surgical prophylaxis not label-stated</t>
        </is>
      </c>
      <c r="G181" s="3" t="inlineStr">
        <is>
          <t>Skin/soft tissue, intra-abdominal, surgical prophylaxis, respiratory, urinary</t>
        </is>
      </c>
      <c r="H181" s="3" t="inlineStr">
        <is>
          <t>TW insert §2: infections caused by susceptible staphylococci, streptococci, pneumococci, meningococci and others. §10.1(3) lists sepsis, bronchitis, pneumonia, lung abscess, empyema, cholangitis/cholecystitis, peritonitis, pyelonephritis/cystitis and intrauterine infection. Skin/soft-tissue infection and surgical prophylaxis are not stated.</t>
        </is>
      </c>
      <c r="I181" s="3" t="inlineStr">
        <is>
          <t>TW仿單 §2, §10.1, https://mcp.fda.gov.tw/im_detail_1/%E8%A1%9B%E7%BD%B2%E8%97%A5%E8%A3%BD%E5%AD%97%E7%AC%AC035182%E8%99%9F</t>
        </is>
      </c>
      <c r="J181" s="3" t="inlineStr">
        <is>
          <t>Open</t>
        </is>
      </c>
      <c r="K181" s="3" t="inlineStr"/>
    </row>
    <row r="182">
      <c r="A182" s="3" t="n">
        <v>323</v>
      </c>
      <c r="B182" s="3" t="inlineStr">
        <is>
          <t>Cetazone (Cefmetazole) (CET03)</t>
        </is>
      </c>
      <c r="C182" s="8" t="inlineStr">
        <is>
          <t>Medium</t>
        </is>
      </c>
      <c r="D182" s="3" t="inlineStr">
        <is>
          <t>Indication/coverage</t>
        </is>
      </c>
      <c r="E182" s="3" t="inlineStr"/>
      <c r="F182" s="3" t="inlineStr">
        <is>
          <t>Align indication list with TW §2/§10.1; SSTI and prophylaxis not label-stated</t>
        </is>
      </c>
      <c r="G182" s="3" t="inlineStr">
        <is>
          <t>1. Skin and soft tissue infection 2. Infectious disease of abdomen 3. Postoperative infection; Prophylaxis 4. Respiratory tract infection 5. Urinary tract infectious disease</t>
        </is>
      </c>
      <c r="H182" s="3" t="inlineStr">
        <is>
          <t>TW §2 covers infections caused by susceptible staphylococci, streptococci, pneumococci, meningococci and others. §10.1(3) lists sepsis, bronchitis/bronchiectasis infection/pneumonia/lung abscess/empyema, cholangitis/cholecystitis, peritonitis, pyelonephritis/cystitis and intrauterine infection. The TW insert does not state skin/soft-tissue infection or surgical prophylaxis.</t>
        </is>
      </c>
      <c r="I182" s="3" t="inlineStr">
        <is>
          <t>TW 仿單 §2, §10.1 — https://mcp.fda.gov.tw/im_detail_1/%E8%A1%9B%E7%BD%B2%E8%97%A5%E8%A3%BD%E5%AD%97%E7%AC%AC035182%E8%99%9F</t>
        </is>
      </c>
      <c r="J182" s="3" t="inlineStr">
        <is>
          <t>Open</t>
        </is>
      </c>
      <c r="K182" s="3" t="inlineStr"/>
    </row>
    <row r="183">
      <c r="A183" s="3" t="n">
        <v>9</v>
      </c>
      <c r="B183" s="3" t="inlineStr">
        <is>
          <t>Colistin (COL04)</t>
        </is>
      </c>
      <c r="C183" s="8" t="inlineStr">
        <is>
          <t>Medium</t>
        </is>
      </c>
      <c r="D183" s="3" t="inlineStr">
        <is>
          <t>Breastfeeding</t>
        </is>
      </c>
      <c r="E183" s="3" t="inlineStr">
        <is>
          <t>LactMed outdated</t>
        </is>
      </c>
      <c r="F183" s="3" t="inlineStr">
        <is>
          <t>Update per LactMed: minimal milk excretion, poor oral absorption; use acceptable</t>
        </is>
      </c>
      <c r="G183" s="3" t="inlineStr">
        <is>
          <t>Avoided</t>
        </is>
      </c>
      <c r="H183" s="3" t="inlineStr">
        <is>
          <t>Minimal milk excretion, poor oral absorption; inhaled use acceptable</t>
        </is>
      </c>
      <c r="I183" s="3" t="inlineStr">
        <is>
          <t>LactMed NBK501329 (rev. 2024)</t>
        </is>
      </c>
      <c r="J183" s="3" t="inlineStr">
        <is>
          <t>Open</t>
        </is>
      </c>
      <c r="K183" s="3" t="inlineStr"/>
    </row>
    <row r="184">
      <c r="A184" s="3" t="n">
        <v>8</v>
      </c>
      <c r="B184" s="3" t="inlineStr">
        <is>
          <t>Colistin (COL04)</t>
        </is>
      </c>
      <c r="C184" s="8" t="inlineStr">
        <is>
          <t>Medium</t>
        </is>
      </c>
      <c r="D184" s="3" t="inlineStr">
        <is>
          <t>Contraindication/warning</t>
        </is>
      </c>
      <c r="E184" s="3" t="inlineStr"/>
      <c r="F184" s="3" t="inlineStr">
        <is>
          <t>Add pseudo-Bartter/renal tubulopathy warning (hypoK, hypoCa, hypoMg, alkalosis); monitor electrolytes</t>
        </is>
      </c>
      <c r="G184" s="3" t="inlineStr">
        <is>
          <t>No mention of pseudo-Bartter syndrome</t>
        </is>
      </c>
      <c r="H184" s="3" t="inlineStr">
        <is>
          <t>Renal tubulopathy with hypokalemia, metabolic alkalosis, hypocalcemia, hypomagnesemia; monitor electrolytes</t>
        </is>
      </c>
      <c r="I184" s="3" t="inlineStr">
        <is>
          <t>US label (Warnings); UK SmPC 4.4</t>
        </is>
      </c>
      <c r="J184" s="3" t="inlineStr">
        <is>
          <t>Open</t>
        </is>
      </c>
      <c r="K184" s="3" t="inlineStr"/>
    </row>
    <row r="185">
      <c r="A185" s="3" t="n">
        <v>6</v>
      </c>
      <c r="B185" s="3" t="inlineStr">
        <is>
          <t>Colistin (COL04)</t>
        </is>
      </c>
      <c r="C185" s="8" t="inlineStr">
        <is>
          <t>Medium</t>
        </is>
      </c>
      <c r="D185" s="3" t="inlineStr">
        <is>
          <t>Dosing – renal/dialysis</t>
        </is>
      </c>
      <c r="E185" s="3" t="inlineStr">
        <is>
          <t>Renal table outdated</t>
        </is>
      </c>
      <c r="F185" s="3" t="inlineStr">
        <is>
          <t>Convert colistin renal bands from SCr to CrCl (≥80/50–79/30–49/10–29) per current US label</t>
        </is>
      </c>
      <c r="G185" s="3" t="inlineStr">
        <is>
          <t>Bands by serum creatinine (old US label)</t>
        </is>
      </c>
      <c r="H185" s="3" t="inlineStr">
        <is>
          <t>Current US label uses CrCl (≥80 / 50–79 / 30–49 / 10–29)</t>
        </is>
      </c>
      <c r="I185" s="3" t="inlineStr">
        <is>
          <t>US label (DailyMed 2026)</t>
        </is>
      </c>
      <c r="J185" s="3" t="inlineStr">
        <is>
          <t>Open</t>
        </is>
      </c>
      <c r="K185" s="3" t="inlineStr"/>
    </row>
    <row r="186">
      <c r="A186" s="3" t="n">
        <v>342</v>
      </c>
      <c r="B186" s="3" t="inlineStr">
        <is>
          <t>Cravit (levofloxacin) (CRA03, LEV08)</t>
        </is>
      </c>
      <c r="C186" s="8" t="inlineStr">
        <is>
          <t>Medium</t>
        </is>
      </c>
      <c r="D186" s="3" t="inlineStr">
        <is>
          <t>Administration/compatibility</t>
        </is>
      </c>
      <c r="E186" s="3" t="inlineStr"/>
      <c r="F186" s="3" t="inlineStr">
        <is>
          <t>Remove IV dosing from tablet entries; keep IV under CRA01</t>
        </is>
      </c>
      <c r="G186" s="3" t="inlineStr">
        <is>
          <t>'PO or IV for …' and IV infusion instructions on tablet-only products</t>
        </is>
      </c>
      <c r="H186" s="3" t="inlineStr">
        <is>
          <t>These products are film-coated tablets only (TFDA 衛署藥製字第047516號 and 第057839號). IV dosing belongs to CRA01 (衛署藥製字第057185號)</t>
        </is>
      </c>
      <c r="I186" s="3" t="inlineStr">
        <is>
          <t>https://mcp.fda.gov.tw/im_detail_1/%E8%A1%9B%E7%BD%B2%E8%97%A5%E8%A3%BD%E5%AD%97%E7%AC%AC057839%E8%99%9F</t>
        </is>
      </c>
      <c r="J186" s="3" t="inlineStr">
        <is>
          <t>Open</t>
        </is>
      </c>
      <c r="K186" s="3" t="inlineStr"/>
    </row>
    <row r="187">
      <c r="A187" s="3" t="n">
        <v>330</v>
      </c>
      <c r="B187" s="3" t="inlineStr">
        <is>
          <t>Cravit (levofloxacin) (CRA03, LEV08)</t>
        </is>
      </c>
      <c r="C187" s="8" t="inlineStr">
        <is>
          <t>Medium</t>
        </is>
      </c>
      <c r="D187" s="3" t="inlineStr">
        <is>
          <t>Breastfeeding</t>
        </is>
      </c>
      <c r="E187" s="3" t="inlineStr">
        <is>
          <t>LactMed outdated</t>
        </is>
      </c>
      <c r="F187" s="3" t="inlineStr">
        <is>
          <t>Present in milk (RID ~6%); avoid during treatment +2 days (US); contraindicated per TW/UK</t>
        </is>
      </c>
      <c r="G187" s="3" t="inlineStr">
        <is>
          <t>Excretion in breast milk unknown</t>
        </is>
      </c>
      <c r="H187" s="3" t="inlineStr">
        <is>
          <t>Present in human milk (US label 8.2; LactMed peak 8.2–16.9 mg/L, RID ~6%). US label: BF not recommended during treatment + 2 days. Taiwan inserts and UK SmPC: contraindicated in breastfeeding.</t>
        </is>
      </c>
      <c r="I187" s="3" t="inlineStr">
        <is>
          <t>US FDA label sec 8.2; LactMed NBK501002: https://www.ncbi.nlm.nih.gov/books/NBK501002/; Taiwan 仿單 Cravit sec 6.2</t>
        </is>
      </c>
      <c r="J187" s="3" t="inlineStr">
        <is>
          <t>Open</t>
        </is>
      </c>
      <c r="K187" s="3" t="inlineStr"/>
    </row>
    <row r="188">
      <c r="A188" s="3" t="n">
        <v>338</v>
      </c>
      <c r="B188" s="3" t="inlineStr">
        <is>
          <t>Cravit (levofloxacin) (CRA03, LEV08)</t>
        </is>
      </c>
      <c r="C188" s="8" t="inlineStr">
        <is>
          <t>Medium</t>
        </is>
      </c>
      <c r="D188" s="3" t="inlineStr">
        <is>
          <t>Breastfeeding</t>
        </is>
      </c>
      <c r="E188" s="3" t="inlineStr">
        <is>
          <t>LactMed outdated</t>
        </is>
      </c>
      <c r="F188" s="3" t="inlineStr">
        <is>
          <t>Present in milk (RID ~6%, LactMed); TW inserts contraindicate breastfeeding</t>
        </is>
      </c>
      <c r="G188" s="3" t="inlineStr">
        <is>
          <t>Excretion in breast milk unknown/not recommended</t>
        </is>
      </c>
      <c r="H188" s="3" t="inlineStr">
        <is>
          <t>US FDA 8.2 and LactMed: present in human milk (peak about 8–17 mg/L; RID about 6%). The Taiwan inserts contraindicate breastfeeding</t>
        </is>
      </c>
      <c r="I188" s="3" t="inlineStr">
        <is>
          <t>https://www.ncbi.nlm.nih.gov/books/NBK501002/ ; https://dailymed.nlm.nih.gov/dailymed/drugInfo.cfm?setid=5a65b2bc-9edc-f193-e063-6394a90a0104</t>
        </is>
      </c>
      <c r="J188" s="3" t="inlineStr">
        <is>
          <t>Open</t>
        </is>
      </c>
      <c r="K188" s="3" t="inlineStr"/>
    </row>
    <row r="189">
      <c r="A189" s="3" t="n">
        <v>328</v>
      </c>
      <c r="B189" s="3" t="inlineStr">
        <is>
          <t>Cravit (levofloxacin) (CRA03, LEV08)</t>
        </is>
      </c>
      <c r="C189" s="8" t="inlineStr">
        <is>
          <t>Medium</t>
        </is>
      </c>
      <c r="D189" s="3" t="inlineStr">
        <is>
          <t>Dosing – adult</t>
        </is>
      </c>
      <c r="E189" s="3" t="inlineStr"/>
      <c r="F189" s="3" t="inlineStr">
        <is>
          <t>Align Cravit 500 dosing with TW 仿單 EU-style regimens (500 mg BID CAP; 125 mg renal steps)</t>
        </is>
      </c>
      <c r="G189" s="3" t="inlineStr">
        <is>
          <t>US-style regimens: AECB 500 mg QD; pneumonia/sinusitis/skin 750 mg QD ×5 d; UTI 250 mg QD 3–10 d or 750 mg ×5 d; US 750/500 mg renal tables</t>
        </is>
      </c>
      <c r="H189" s="3" t="inlineStr">
        <is>
          <t>The stocked Cravit 500 mg 仿單 uses EU-style regimens: CAP 500 mg BID ×7–14 d; AECB 250–500 mg QD ×7–10 d; cUTI/pyelonephritis 250 mg QD ×7–10 d; SSTI 250 mg QD or 500 mg BID; renal adjustment in 125 mg steps; no 750 mg regimen</t>
        </is>
      </c>
      <c r="I189" s="3" t="inlineStr">
        <is>
          <t>Taiwan 仿單 Cravit 衛署藥製字第047516號 sec 3.1, 3.3: https://mcp.fda.gov.tw/im_detail_1/%E8%A1%9B%E7%BD%B2%E8%97%A5%E8%A3%BD%E5%AD%97%E7%AC%AC047516%E8%99%9F</t>
        </is>
      </c>
      <c r="J189" s="3" t="inlineStr">
        <is>
          <t>Open</t>
        </is>
      </c>
      <c r="K189" s="3" t="inlineStr"/>
    </row>
    <row r="190">
      <c r="A190" s="3" t="n">
        <v>335</v>
      </c>
      <c r="B190" s="3" t="inlineStr">
        <is>
          <t>Cravit (levofloxacin) (CRA03, LEV08)</t>
        </is>
      </c>
      <c r="C190" s="8" t="inlineStr">
        <is>
          <t>Medium</t>
        </is>
      </c>
      <c r="D190" s="3" t="inlineStr">
        <is>
          <t>Dosing – adult</t>
        </is>
      </c>
      <c r="E190" s="3" t="inlineStr"/>
      <c r="F190" s="3" t="inlineStr">
        <is>
          <t>Use Cravit 仿單 regimens for CRA03/CRA01; remove sinusitis/AECB from IV entry</t>
        </is>
      </c>
      <c r="G190" s="3" t="inlineStr">
        <is>
          <t>US-style regimens: CAP/sinusitis/skin 750 mg QD ×5 d; UTI 250 mg QD ×3–10 d or 750 mg ×5 d; renal 750→q48h and 500→250 mg</t>
        </is>
      </c>
      <c r="H190" s="3" t="inlineStr">
        <is>
          <t>Cravit TFDA 仿單 (tab 衛署藥製字第047516號; IV 衛署藥製字第057185號) sec 3.1 and 3.3: CAP 500 mg BID ×7–14 d; cUTI 250 mg QD ×7–10 d; SSTI 250 mg QD or 500 mg BID; renal steps of 125 mg; IV 250 mg over ≥30 min. The IV insert does not list sinusitis or AECB</t>
        </is>
      </c>
      <c r="I190" s="3" t="inlineStr">
        <is>
          <t>https://mcp.fda.gov.tw/im_detail_1/%E8%A1%9B%E7%BD%B2%E8%97%A5%E8%A3%BD%E5%AD%97%E7%AC%AC047516%E8%99%9F ; https://mcp.fda.gov.tw/im_detail_1/%E8%A1%9B%E7%BD%B2%E8%97%A5%E8%A3%BD%E5%AD%97%E7%AC%AC057185%E8%99%9F</t>
        </is>
      </c>
      <c r="J190" s="3" t="inlineStr">
        <is>
          <t>Open</t>
        </is>
      </c>
      <c r="K190" s="3" t="inlineStr"/>
    </row>
    <row r="191">
      <c r="A191" s="3" t="n">
        <v>343</v>
      </c>
      <c r="B191" s="3" t="inlineStr">
        <is>
          <t>Cravit (levofloxacin) (CRA03, LEV08)</t>
        </is>
      </c>
      <c r="C191" s="8" t="inlineStr">
        <is>
          <t>Medium</t>
        </is>
      </c>
      <c r="D191" s="3" t="inlineStr">
        <is>
          <t>Dosing – pediatric</t>
        </is>
      </c>
      <c r="E191" s="3" t="inlineStr"/>
      <c r="F191" s="3" t="inlineStr">
        <is>
          <t>Label pediatric doses off-label; insert: not established; US: anthrax/plague 8 mg/kg q12h only</t>
        </is>
      </c>
      <c r="G191" s="3" t="inlineStr">
        <is>
          <t>Infants ≥6 mo and children 8–10 mg/kg/dose BID; ≥5 y 10 mg/kg QD (max 750 mg), presented as general dosing</t>
        </is>
      </c>
      <c r="H191" s="3" t="inlineStr">
        <is>
          <t>Cravit IV 仿單 5.1: pediatric safety and dosing not established. US label: approved only for anthrax PEP and plague at 8 mg/kg q12h (max 250 mg/dose) for &lt;50 kg. UK SmPC: contraindicated under 18 years. The hospital's mg/kg doses are off-label and should be labelled as such</t>
        </is>
      </c>
      <c r="I191" s="3" t="inlineStr">
        <is>
          <t>https://mcp.fda.gov.tw/im_detail_1/%E8%A1%9B%E7%BD%B2%E8%97%A5%E8%A3%BD%E5%AD%97%E7%AC%AC057185%E8%99%9F ; https://dailymed.nlm.nih.gov/dailymed/drugInfo.cfm?setid=9020cdeb-65fe-458f-bbbd-69265a49906e</t>
        </is>
      </c>
      <c r="J191" s="3" t="inlineStr">
        <is>
          <t>Open</t>
        </is>
      </c>
      <c r="K191" s="3" t="inlineStr"/>
    </row>
    <row r="192">
      <c r="A192" s="3" t="n">
        <v>332</v>
      </c>
      <c r="B192" s="3" t="inlineStr">
        <is>
          <t>Cravit (levofloxacin) (CRA03, LEV08)</t>
        </is>
      </c>
      <c r="C192" s="8" t="inlineStr">
        <is>
          <t>Medium</t>
        </is>
      </c>
      <c r="D192" s="3" t="inlineStr">
        <is>
          <t>Indication/coverage</t>
        </is>
      </c>
      <c r="E192" s="3" t="inlineStr">
        <is>
          <t>Missing boxed warning</t>
        </is>
      </c>
      <c r="F192" s="3" t="inlineStr">
        <is>
          <t>Add restriction: AECB, sinusitis, uncomplicated UTI only if no alternative</t>
        </is>
      </c>
      <c r="G192" s="3" t="inlineStr">
        <is>
          <t>Indication list without any restriction</t>
        </is>
      </c>
      <c r="H192" s="3" t="inlineStr">
        <is>
          <t>Reserve for AECB, acute sinusitis and uncomplicated UTI/cystitis only when there is no alternative (US label 1.12–1.14; Taiwan TFDA 特殊警語). The UK SmPC 4.1 restricts all indications to cases where first-line agents are inappropriate.</t>
        </is>
      </c>
      <c r="I192" s="3" t="inlineStr">
        <is>
          <t>US FDA label sec 1.12–1.14; UK SmPC 4.1: https://www.medicines.org.uk/emc/product/12130/smpc; Taiwan 仿單 Cravit 特殊警語</t>
        </is>
      </c>
      <c r="J192" s="3" t="inlineStr">
        <is>
          <t>Open</t>
        </is>
      </c>
      <c r="K192" s="3" t="inlineStr"/>
    </row>
    <row r="193">
      <c r="A193" s="3" t="n">
        <v>341</v>
      </c>
      <c r="B193" s="3" t="inlineStr">
        <is>
          <t>Cravit (levofloxacin) (CRA03, LEV08)</t>
        </is>
      </c>
      <c r="C193" s="8" t="inlineStr">
        <is>
          <t>Medium</t>
        </is>
      </c>
      <c r="D193" s="3" t="inlineStr">
        <is>
          <t>Indication/coverage</t>
        </is>
      </c>
      <c r="E193" s="3" t="inlineStr">
        <is>
          <t>Missing boxed warning</t>
        </is>
      </c>
      <c r="F193" s="3" t="inlineStr">
        <is>
          <t>Reserve AECB, sinusitis, uncomplicated cystitis for no-alternative cases</t>
        </is>
      </c>
      <c r="G193" s="3" t="inlineStr">
        <is>
          <t>Treatment of UTI, chronic bronchitis, CAP, skin infections, maxillary sinusitis (no restriction)</t>
        </is>
      </c>
      <c r="H193" s="3" t="inlineStr">
        <is>
          <t>FDA 1.12–1.14 and the TFDA 特殊警語 reserve AECB, acute sinusitis and uncomplicated cystitis/UTI for patients with no alternative. UK SmPC 4.1 applies the restriction to all indications</t>
        </is>
      </c>
      <c r="I193" s="3" t="inlineStr">
        <is>
          <t>https://mcp.fda.gov.tw/im_detail_1/%E8%A1%9B%E7%BD%B2%E8%97%A5%E8%A3%BD%E5%AD%97%E7%AC%AC047516%E8%99%9F ; https://www.medicines.org.uk/emc/product/12130/smpc</t>
        </is>
      </c>
      <c r="J193" s="3" t="inlineStr">
        <is>
          <t>Open</t>
        </is>
      </c>
      <c r="K193" s="3" t="inlineStr"/>
    </row>
    <row r="194">
      <c r="A194" s="3" t="n">
        <v>329</v>
      </c>
      <c r="B194" s="3" t="inlineStr">
        <is>
          <t>Cravit (levofloxacin) (CRA03, LEV08)</t>
        </is>
      </c>
      <c r="C194" s="8" t="inlineStr">
        <is>
          <t>Medium</t>
        </is>
      </c>
      <c r="D194" s="3" t="inlineStr">
        <is>
          <t>Pregnancy</t>
        </is>
      </c>
      <c r="E194" s="3" t="inlineStr">
        <is>
          <t>FDA letter category</t>
        </is>
      </c>
      <c r="F194" s="3" t="inlineStr">
        <is>
          <t>Replace category C: contraindicated in pregnancy (TW inserts, UK SmPC)</t>
        </is>
      </c>
      <c r="G194" s="3" t="inlineStr">
        <is>
          <t>Category C</t>
        </is>
      </c>
      <c r="H194" s="3" t="inlineStr">
        <is>
          <t>FDA letter categories are retired; US label 8.1 is a PLLR narrative. Both stocked-product Taiwan inserts and the UK SmPC contraindicate use in pregnancy.</t>
        </is>
      </c>
      <c r="I194" s="3" t="inlineStr">
        <is>
          <t>US FDA label sec 8.1; Taiwan 仿單 Cravit sec 4/6.1 and P.L. 750 mg sec 4/6.1: https://mcp.fda.gov.tw/im_detail_1/%E8%A1%9B%E7%BD%B2%E8%97%A5%E8%A3%BD%E5%AD%97%E7%AC%AC057839%E8%99%9F</t>
        </is>
      </c>
      <c r="J194" s="3" t="inlineStr">
        <is>
          <t>Open</t>
        </is>
      </c>
      <c r="K194" s="3" t="inlineStr"/>
    </row>
    <row r="195">
      <c r="A195" s="3" t="n">
        <v>337</v>
      </c>
      <c r="B195" s="3" t="inlineStr">
        <is>
          <t>Cravit (levofloxacin) (CRA03, LEV08)</t>
        </is>
      </c>
      <c r="C195" s="8" t="inlineStr">
        <is>
          <t>Medium</t>
        </is>
      </c>
      <c r="D195" s="3" t="inlineStr">
        <is>
          <t>Pregnancy</t>
        </is>
      </c>
      <c r="E195" s="3" t="inlineStr">
        <is>
          <t>FDA letter category</t>
        </is>
      </c>
      <c r="F195" s="3" t="inlineStr">
        <is>
          <t>Replace C with contraindicated in pregnancy (TW inserts/UK SmPC)</t>
        </is>
      </c>
      <c r="G195" s="3" t="inlineStr">
        <is>
          <t>C</t>
        </is>
      </c>
      <c r="H195" s="3" t="inlineStr">
        <is>
          <t>FDA letter categories are retired (8.1 is now a narrative risk summary). All three Taiwan inserts and UK SmPC 4.3 contraindicate use in pregnancy</t>
        </is>
      </c>
      <c r="I195" s="3" t="inlineStr">
        <is>
          <t>https://dailymed.nlm.nih.gov/dailymed/drugInfo.cfm?setid=5a65b2bc-9edc-f193-e063-6394a90a0104 ; https://mcp.fda.gov.tw/im_detail_1/%E8%A1%9B%E7%BD%B2%E8%97%A5%E8%A3%BD%E5%AD%97%E7%AC%AC047516%E8%99%9F</t>
        </is>
      </c>
      <c r="J195" s="3" t="inlineStr">
        <is>
          <t>Open</t>
        </is>
      </c>
      <c r="K195" s="3" t="inlineStr"/>
    </row>
    <row r="196">
      <c r="A196" s="3" t="n">
        <v>184</v>
      </c>
      <c r="B196" s="3" t="inlineStr">
        <is>
          <t>Cresemba (Isavuconazonium) (CRE02, CRE03)</t>
        </is>
      </c>
      <c r="C196" s="8" t="inlineStr">
        <is>
          <t>Medium</t>
        </is>
      </c>
      <c r="D196" s="3" t="inlineStr">
        <is>
          <t>Administration/compatibility</t>
        </is>
      </c>
      <c r="E196" s="3" t="inlineStr"/>
      <c r="F196" s="3" t="inlineStr">
        <is>
          <t>CRE03 hard capsule: swallow whole, do not open/crush; no reload on IV↔PO switch</t>
        </is>
      </c>
      <c r="G196" s="3" t="inlineStr">
        <is>
          <t>Capsule listed as 'tab'; 98% bioavailability noted</t>
        </is>
      </c>
      <c r="H196" s="3" t="inlineStr">
        <is>
          <t>Hard capsule; swallow whole; do not chew, crush, dissolve or open; with or without food; no reloading when switching IV↔PO.</t>
        </is>
      </c>
      <c r="I196" s="3" t="inlineStr">
        <is>
          <t>Taiwan insert 027795 §3.1, https://mcp.fda.gov.tw/im_detail_1/%E8%A1%9B%E9%83%A8%E8%97%A5%E8%BC%B8%E5%AD%97%E7%AC%AC027795%E8%99%9F</t>
        </is>
      </c>
      <c r="J196" s="3" t="inlineStr">
        <is>
          <t>Open</t>
        </is>
      </c>
      <c r="K196" s="3" t="inlineStr"/>
    </row>
    <row r="197">
      <c r="A197" s="3" t="n">
        <v>182</v>
      </c>
      <c r="B197" s="3" t="inlineStr">
        <is>
          <t>Cresemba (Isavuconazonium) (CRE02, CRE03)</t>
        </is>
      </c>
      <c r="C197" s="8" t="inlineStr">
        <is>
          <t>Medium</t>
        </is>
      </c>
      <c r="D197" s="3" t="inlineStr">
        <is>
          <t>Dosing – hepatic</t>
        </is>
      </c>
      <c r="E197" s="3" t="inlineStr"/>
      <c r="F197" s="3" t="inlineStr">
        <is>
          <t>Add Child-Pugh C: not studied, not recommended unless benefit outweighs risk; monitor</t>
        </is>
      </c>
      <c r="G197" s="3" t="inlineStr">
        <is>
          <t>Child-Pugh A/B: no adjustment. Child-Pugh C not addressed.</t>
        </is>
      </c>
      <c r="H197" s="3" t="inlineStr">
        <is>
          <t>Child-Pugh C: not studied; not recommended unless benefit outweighs risk; monitor closely for toxicity.</t>
        </is>
      </c>
      <c r="I197" s="3" t="inlineStr">
        <is>
          <t>Taiwan insert 027796 §3.3/§6.6; US FDA label §8.7</t>
        </is>
      </c>
      <c r="J197" s="3" t="inlineStr">
        <is>
          <t>Open</t>
        </is>
      </c>
      <c r="K197" s="3" t="inlineStr"/>
    </row>
    <row r="198">
      <c r="A198" s="3" t="n">
        <v>191</v>
      </c>
      <c r="B198" s="3" t="inlineStr">
        <is>
          <t>Cresemba (Isavuconazonium) (CRE02, CRE03)</t>
        </is>
      </c>
      <c r="C198" s="8" t="inlineStr">
        <is>
          <t>Medium</t>
        </is>
      </c>
      <c r="D198" s="3" t="inlineStr">
        <is>
          <t>Dosing – hepatic</t>
        </is>
      </c>
      <c r="E198" s="3" t="inlineStr"/>
      <c r="F198" s="3" t="inlineStr">
        <is>
          <t>Child-Pugh C: not studied; not recommended unless benefit outweighs risk; monitor toxicity</t>
        </is>
      </c>
      <c r="G198" s="3" t="inlineStr">
        <is>
          <t>Severe impairment (Child-Pugh class C): There are no dosage adjustments provided in the manufacturer's labeling</t>
        </is>
      </c>
      <c r="H198" s="3" t="inlineStr">
        <is>
          <t>Taiwan inserts §3.3/§6.6: not studied in Child-Pugh C; not recommended unless potential benefit outweighs risk; monitor closely for toxicity.</t>
        </is>
      </c>
      <c r="I198" s="3" t="inlineStr">
        <is>
          <t>https://mcp.fda.gov.tw/im_detail_1/%E8%A1%9B%E9%83%A8%E8%97%A5%E8%BC%B8%E5%AD%97%E7%AC%AC027796%E8%99%9F</t>
        </is>
      </c>
      <c r="J198" s="3" t="inlineStr">
        <is>
          <t>Open</t>
        </is>
      </c>
      <c r="K198" s="3" t="inlineStr"/>
    </row>
    <row r="199">
      <c r="A199" s="3" t="n">
        <v>178</v>
      </c>
      <c r="B199" s="3" t="inlineStr">
        <is>
          <t>Cresemba (Isavuconazonium) (CRE02, CRE03)</t>
        </is>
      </c>
      <c r="C199" s="8" t="inlineStr">
        <is>
          <t>Medium</t>
        </is>
      </c>
      <c r="D199" s="3" t="inlineStr">
        <is>
          <t>Dosing – pediatric</t>
        </is>
      </c>
      <c r="E199" s="3" t="inlineStr"/>
      <c r="F199" s="3" t="inlineStr">
        <is>
          <t>Add IV pediatric dosing ≥1 y: 5.4 mg/kg isavuconazole (&lt;37 kg), max 200 mg</t>
        </is>
      </c>
      <c r="G199" s="3" t="inlineStr">
        <is>
          <t>'Not recommened' for children</t>
        </is>
      </c>
      <c r="H199" s="3" t="inlineStr">
        <is>
          <t>The injection is approved from age 1 for invasive aspergillosis and mucormycosis: 5.4 mg/kg isavuconazole for &lt;37 kg, max 200 mg (TW insert §2/§3.1). The US label (from 1 y) and UK SmPC 5069 (from 1 y) agree.</t>
        </is>
      </c>
      <c r="I199" s="3" t="inlineStr">
        <is>
          <t>Taiwan insert 衛部藥輸字第027796號 §2, §3.1, https://mcp.fda.gov.tw/im_detail_1/%E8%A1%9B%E9%83%A8%E8%97%A5%E8%BC%B8%E5%AD%97%E7%AC%AC027796%E8%99%9F; US FDA label §1, https://dailymed.nlm.nih.gov/dailymed/drugInfo.cfm?setid=8f7f73b8-586a-4df0-935f-fecd4696c16c</t>
        </is>
      </c>
      <c r="J199" s="3" t="inlineStr">
        <is>
          <t>Open</t>
        </is>
      </c>
      <c r="K199" s="3" t="inlineStr"/>
    </row>
    <row r="200">
      <c r="A200" s="3" t="n">
        <v>186</v>
      </c>
      <c r="B200" s="3" t="inlineStr">
        <is>
          <t>Cresemba (Isavuconazonium) (CRE02, CRE03)</t>
        </is>
      </c>
      <c r="C200" s="8" t="inlineStr">
        <is>
          <t>Medium</t>
        </is>
      </c>
      <c r="D200" s="3" t="inlineStr">
        <is>
          <t>Dosing – pediatric</t>
        </is>
      </c>
      <c r="E200" s="3" t="inlineStr"/>
      <c r="F200" s="3" t="inlineStr">
        <is>
          <t>Replace 'not recommended' with IV pediatric dosing ≥1 y per TW insert</t>
        </is>
      </c>
      <c r="G200" s="3" t="inlineStr">
        <is>
          <t>Not recommened</t>
        </is>
      </c>
      <c r="H200" s="3" t="inlineStr">
        <is>
          <t>Taiwan injection insert §2/§3.1: 適用於1歲以上; 1–&lt;18 y &lt;37 kg 5.4 mg/kg isavuconazole, ≥37 kg 200 mg. US and UK also approve the IV form from age 1.</t>
        </is>
      </c>
      <c r="I200" s="3" t="inlineStr">
        <is>
          <t>https://mcp.fda.gov.tw/im_detail_1/%E8%A1%9B%E9%83%A8%E8%97%A5%E8%BC%B8%E5%AD%97%E7%AC%AC027796%E8%99%9F</t>
        </is>
      </c>
      <c r="J200" s="3" t="inlineStr">
        <is>
          <t>Open</t>
        </is>
      </c>
      <c r="K200" s="3" t="inlineStr"/>
    </row>
    <row r="201">
      <c r="A201" s="3" t="n">
        <v>179</v>
      </c>
      <c r="B201" s="3" t="inlineStr">
        <is>
          <t>Cresemba (Isavuconazonium) (CRE02, CRE03)</t>
        </is>
      </c>
      <c r="C201" s="8" t="inlineStr">
        <is>
          <t>Medium</t>
        </is>
      </c>
      <c r="D201" s="3" t="inlineStr">
        <is>
          <t>Indication/coverage</t>
        </is>
      </c>
      <c r="E201" s="3" t="inlineStr"/>
      <c r="F201" s="3" t="inlineStr">
        <is>
          <t>Add amphotericin-B-inappropriate restriction for mucormycosis; IV approved from age 1</t>
        </is>
      </c>
      <c r="G201" s="3" t="inlineStr">
        <is>
          <t>Aspergillosis and mucormycosis 'in adults'. The amphotericin B restriction for mucormycosis is not mentioned.</t>
        </is>
      </c>
      <c r="H201" s="3" t="inlineStr">
        <is>
          <t>TW (both inserts) and UK: mucormycosis only 'in patients for whom amphotericin B is inappropriate' (不適合接受 amphotericin B). The injection is also approved from age 1, not adults only. The capsule is adults only in TW; US/UK allow it from 6 y and ≥16 kg.</t>
        </is>
      </c>
      <c r="I201" s="3" t="inlineStr">
        <is>
          <t>Taiwan inserts §2 (027796 / 027795); UK SmPC 5069/5071 §4.1, https://www.medicines.org.uk/emc/product/5069/smpc</t>
        </is>
      </c>
      <c r="J201" s="3" t="inlineStr">
        <is>
          <t>Open</t>
        </is>
      </c>
      <c r="K201" s="3" t="inlineStr"/>
    </row>
    <row r="202">
      <c r="A202" s="3" t="n">
        <v>187</v>
      </c>
      <c r="B202" s="3" t="inlineStr">
        <is>
          <t>Cresemba (Isavuconazonium) (CRE02, CRE03)</t>
        </is>
      </c>
      <c r="C202" s="8" t="inlineStr">
        <is>
          <t>Medium</t>
        </is>
      </c>
      <c r="D202" s="3" t="inlineStr">
        <is>
          <t>Indication/coverage</t>
        </is>
      </c>
      <c r="E202" s="3" t="inlineStr"/>
      <c r="F202" s="3" t="inlineStr">
        <is>
          <t>Add age ≥1 y and amphotericin-B-inappropriate restriction for mucormycosis</t>
        </is>
      </c>
      <c r="G202" s="3" t="inlineStr">
        <is>
          <t>Treatment of invasive aspergillosis in adults; Treatment of invasive mucormycosis in adults</t>
        </is>
      </c>
      <c r="H202" s="3" t="inlineStr">
        <is>
          <t>Taiwan injection insert §2 covers patients aged 1 year and over, and limits mucormycosis to patients 不適合接受 amphotericin B. The hospital text leaves out both the paediatric age range and the amphotericin B restriction.</t>
        </is>
      </c>
      <c r="I202" s="3" t="inlineStr">
        <is>
          <t>https://mcp.fda.gov.tw/im_detail_1/%E8%A1%9B%E9%83%A8%E8%97%A5%E8%BC%B8%E5%AD%97%E7%AC%AC027796%E8%99%9F</t>
        </is>
      </c>
      <c r="J202" s="3" t="inlineStr">
        <is>
          <t>Open</t>
        </is>
      </c>
      <c r="K202" s="3" t="inlineStr"/>
    </row>
    <row r="203">
      <c r="A203" s="3" t="n">
        <v>188</v>
      </c>
      <c r="B203" s="3" t="inlineStr">
        <is>
          <t>Cresemba (Isavuconazonium) (CRE02, CRE03)</t>
        </is>
      </c>
      <c r="C203" s="8" t="inlineStr">
        <is>
          <t>Medium</t>
        </is>
      </c>
      <c r="D203" s="3" t="inlineStr">
        <is>
          <t>Indication/coverage</t>
        </is>
      </c>
      <c r="E203" s="3" t="inlineStr"/>
      <c r="F203" s="3" t="inlineStr">
        <is>
          <t>Add amphotericin-B-inappropriate restriction; capsule adults only</t>
        </is>
      </c>
      <c r="G203" s="3" t="inlineStr">
        <is>
          <t>Invasive mucormycosis in adults (no amphotericin B restriction)</t>
        </is>
      </c>
      <c r="H203" s="3" t="inlineStr">
        <is>
          <t>Taiwan capsule insert §2: (2) 使用於不適合接受 amphotericin B 的病人治療白黴菌病; 以上適應症僅適用於成人.</t>
        </is>
      </c>
      <c r="I203" s="3" t="inlineStr">
        <is>
          <t>https://mcp.fda.gov.tw/im_detail_1/%E8%A1%9B%E9%83%A8%E8%97%A5%E8%BC%B8%E5%AD%97%E7%AC%AC027795%E8%99%9F</t>
        </is>
      </c>
      <c r="J203" s="3" t="inlineStr">
        <is>
          <t>Open</t>
        </is>
      </c>
      <c r="K203" s="3" t="inlineStr"/>
    </row>
    <row r="204">
      <c r="A204" s="3" t="n">
        <v>183</v>
      </c>
      <c r="B204" s="3" t="inlineStr">
        <is>
          <t>Cresemba (Isavuconazonium) (CRE02, CRE03)</t>
        </is>
      </c>
      <c r="C204" s="8" t="inlineStr">
        <is>
          <t>Medium</t>
        </is>
      </c>
      <c r="D204" s="3" t="inlineStr">
        <is>
          <t>Pregnancy</t>
        </is>
      </c>
      <c r="E204" s="3" t="inlineStr"/>
      <c r="F204" s="3" t="inlineStr">
        <is>
          <t>Use label wording: avoid in pregnancy unless life-threatening infection; contraception advised</t>
        </is>
      </c>
      <c r="G204" s="3" t="inlineStr">
        <is>
          <t>'Alternative antifungals recommended' only</t>
        </is>
      </c>
      <c r="H204" s="3" t="inlineStr">
        <is>
          <t>CRESEMBA must not be used in pregnancy unless the patient has a severe or potentially life-threatening fungal infection and the expected benefit outweighs the possible fetal risk. Not recommended in women of childbearing potential not using contraception.</t>
        </is>
      </c>
      <c r="I204" s="3" t="inlineStr">
        <is>
          <t>Taiwan insert 027796 §6.1/§6.3</t>
        </is>
      </c>
      <c r="J204" s="3" t="inlineStr">
        <is>
          <t>Open</t>
        </is>
      </c>
      <c r="K204" s="3" t="inlineStr"/>
    </row>
    <row r="205">
      <c r="A205" s="3" t="n">
        <v>192</v>
      </c>
      <c r="B205" s="3" t="inlineStr">
        <is>
          <t>Cresemba (Isavuconazonium) (CRE02, CRE03)</t>
        </is>
      </c>
      <c r="C205" s="8" t="inlineStr">
        <is>
          <t>Medium</t>
        </is>
      </c>
      <c r="D205" s="3" t="inlineStr">
        <is>
          <t>Pregnancy</t>
        </is>
      </c>
      <c r="E205" s="3" t="inlineStr"/>
      <c r="F205" s="3" t="inlineStr">
        <is>
          <t>Use TW wording: do not use in pregnancy unless life-threatening; contraception advised</t>
        </is>
      </c>
      <c r="G205" s="3" t="inlineStr">
        <is>
          <t>Use of alternative antifungals is recommended in pregnant women</t>
        </is>
      </c>
      <c r="H205" s="3" t="inlineStr">
        <is>
          <t>Taiwan injection insert §6.1: CRESEMBA 不得使用於懷孕期間，除非病人患有嚴重或可能危及生命的黴菌感染，且預期利益高於對胎兒的可能風險. §6.3: not recommended for women of childbearing potential who are not using contraception.</t>
        </is>
      </c>
      <c r="I205" s="3" t="inlineStr">
        <is>
          <t>https://mcp.fda.gov.tw/im_detail_1/%E8%A1%9B%E9%83%A8%E8%97%A5%E8%BC%B8%E5%AD%97%E7%AC%AC027796%E8%99%9F</t>
        </is>
      </c>
      <c r="J205" s="3" t="inlineStr">
        <is>
          <t>Open</t>
        </is>
      </c>
      <c r="K205" s="3" t="inlineStr"/>
    </row>
    <row r="206">
      <c r="A206" s="3" t="n">
        <v>354</v>
      </c>
      <c r="B206" s="3" t="inlineStr">
        <is>
          <t>Cubicin (Daptomycin) (CUB01)</t>
        </is>
      </c>
      <c r="C206" s="8" t="inlineStr">
        <is>
          <t>Medium</t>
        </is>
      </c>
      <c r="D206" s="3" t="inlineStr">
        <is>
          <t>Administration/compatibility</t>
        </is>
      </c>
      <c r="E206" s="3" t="inlineStr"/>
      <c r="F206" s="3" t="inlineStr">
        <is>
          <t>Diluent: stocked product's TW insert allows 0.9% NaCl only; remove LR attribution to 仿單</t>
        </is>
      </c>
      <c r="G206" s="3" t="inlineStr">
        <is>
          <t>稀釋溶液：NS、LR (仿單); 'Stable in NS or LR'</t>
        </is>
      </c>
      <c r="H206" s="3" t="inlineStr">
        <is>
          <t>The Taiwan insert for the stocked product says reconstituted Cubicin may be diluted only with 0.9% NaCl ('調配後Cubicin只能以0.9%氯化鈉注射液稀釋'). The hospital page attributes LR to the 仿單 incorrectly. This is an administration/compatibility issue for the hospital site and was not proposed for Notion.</t>
        </is>
      </c>
      <c r="I206" s="3" t="inlineStr">
        <is>
          <t>仿單 3.2.3 (https://mcp.fda.gov.tw/im_detail_1/%E8%A1%9B%E7%BD%B2%E8%97%A5%E8%BC%B8%E5%AD%97%E7%AC%AC024565%E8%99%9F)</t>
        </is>
      </c>
      <c r="J206" s="3" t="inlineStr">
        <is>
          <t>Open</t>
        </is>
      </c>
      <c r="K206" s="3" t="inlineStr"/>
    </row>
    <row r="207">
      <c r="A207" s="3" t="n">
        <v>345</v>
      </c>
      <c r="B207" s="3" t="inlineStr">
        <is>
          <t>Cubicin (Daptomycin) (CUB01)</t>
        </is>
      </c>
      <c r="C207" s="8" t="inlineStr">
        <is>
          <t>Medium</t>
        </is>
      </c>
      <c r="D207" s="3" t="inlineStr">
        <is>
          <t>Breastfeeding</t>
        </is>
      </c>
      <c r="E207" s="3" t="inlineStr">
        <is>
          <t>LactMed outdated</t>
        </is>
      </c>
      <c r="F207" s="3" t="inlineStr">
        <is>
          <t>Present in milk at ~0.1% maternal dose; LactMed: very low levels, acceptable</t>
        </is>
      </c>
      <c r="G207" s="3" t="inlineStr">
        <is>
          <t>Excretion into breast milk unknown</t>
        </is>
      </c>
      <c r="H207" s="3" t="inlineStr">
        <is>
          <t>Daptomycin is present in human milk; infant dose ≈0.1% of the maternal dose (US §8.2; TW insert: 會分泌至人體乳汁，嬰兒暴露量約為母體的0.1%). LactMed: very low levels, 0.1–0.5% weight-adjusted dose.</t>
        </is>
      </c>
      <c r="I207" s="3" t="inlineStr">
        <is>
          <t>US FDA label §8.2; TW insert 哺乳; LactMed NBK501604 – https://www.ncbi.nlm.nih.gov/books/NBK501604/</t>
        </is>
      </c>
      <c r="J207" s="3" t="inlineStr">
        <is>
          <t>Open</t>
        </is>
      </c>
      <c r="K207" s="3" t="inlineStr"/>
    </row>
    <row r="208">
      <c r="A208" s="3" t="n">
        <v>351</v>
      </c>
      <c r="B208" s="3" t="inlineStr">
        <is>
          <t>Cubicin (Daptomycin) (CUB01)</t>
        </is>
      </c>
      <c r="C208" s="8" t="inlineStr">
        <is>
          <t>Medium</t>
        </is>
      </c>
      <c r="D208" s="3" t="inlineStr">
        <is>
          <t>Breastfeeding</t>
        </is>
      </c>
      <c r="E208" s="3" t="inlineStr">
        <is>
          <t>LactMed outdated</t>
        </is>
      </c>
      <c r="F208" s="3" t="inlineStr">
        <is>
          <t>Update: present in milk ~0.1% maternal dose; LactMed no special precautions (UK SmPC differs)</t>
        </is>
      </c>
      <c r="G208" s="3" t="inlineStr">
        <is>
          <t>Excretion in breast milk unknown/use caution</t>
        </is>
      </c>
      <c r="H208" s="3" t="inlineStr">
        <is>
          <t>Daptomycin is present in human milk; infant dose about 0.1% of the maternal dose (US/仿單); 0.1-0.5% (LactMed); no adverse effects expected, no special precautions (LactMed). UK SmPC advises stopping breastfeeding.</t>
        </is>
      </c>
      <c r="I208" s="3" t="inlineStr">
        <is>
          <t>US label §8.2; 仿單 6.2 '會分泌至人體乳汁，嬰兒暴露量約為母體的0.1%'; LactMed NBK501604 (https://www.ncbi.nlm.nih.gov/books/NBK501604/)</t>
        </is>
      </c>
      <c r="J208" s="3" t="inlineStr">
        <is>
          <t>Open</t>
        </is>
      </c>
      <c r="K208" s="3" t="inlineStr"/>
    </row>
    <row r="209">
      <c r="A209" s="3" t="n">
        <v>346</v>
      </c>
      <c r="B209" s="3" t="inlineStr">
        <is>
          <t>Cubicin (Daptomycin) (CUB01)</t>
        </is>
      </c>
      <c r="C209" s="8" t="inlineStr">
        <is>
          <t>Medium</t>
        </is>
      </c>
      <c r="D209" s="3" t="inlineStr">
        <is>
          <t>Dosing – pediatric</t>
        </is>
      </c>
      <c r="E209" s="3" t="inlineStr"/>
      <c r="F209" s="3" t="inlineStr">
        <is>
          <t>Replace 'not established &lt;18 y' with approval for ages 1–17 (cSSSI, S. aureus bacteremia); avoid &lt;1 y</t>
        </is>
      </c>
      <c r="G209" s="3" t="inlineStr">
        <is>
          <t>Safety and efficacy in patients under the age of 18 have not been established</t>
        </is>
      </c>
      <c r="H209" s="3" t="inlineStr">
        <is>
          <t>Approved for ages 1–17 for cSSSI and S. aureus bacteremia (US §1.1/1.3/8.4; UK SmPC 4.1/4.2; TW 2.1/2.3). Only children under 1 year should avoid it. The hospital page's own administration field cites the insert for ages 1–17, so the page contradicts itself.</t>
        </is>
      </c>
      <c r="I209" s="3" t="inlineStr">
        <is>
          <t>US FDA label §8.4 – https://dailymed.nlm.nih.gov/dailymed/drugInfo.cfm?setid=0b1a8885-2198-4a0e-8105-0c76c1cba6c2; UK SmPC 4.1 – https://www.medicines.org.uk/emc/product/177/smpc; TW insert 2 適應症</t>
        </is>
      </c>
      <c r="J209" s="3" t="inlineStr">
        <is>
          <t>Open</t>
        </is>
      </c>
      <c r="K209" s="3" t="inlineStr"/>
    </row>
    <row r="210">
      <c r="A210" s="3" t="n">
        <v>352</v>
      </c>
      <c r="B210" s="3" t="inlineStr">
        <is>
          <t>Cubicin (Daptomycin) (CUB01)</t>
        </is>
      </c>
      <c r="C210" s="8" t="inlineStr">
        <is>
          <t>Medium</t>
        </is>
      </c>
      <c r="D210" s="3" t="inlineStr">
        <is>
          <t>Dosing – pediatric</t>
        </is>
      </c>
      <c r="E210" s="3" t="inlineStr"/>
      <c r="F210" s="3" t="inlineStr">
        <is>
          <t>Remove '&lt;18 y not established' from adult dose text; state approved ages 1–17, not &lt;1 y</t>
        </is>
      </c>
      <c r="G210" s="3" t="inlineStr">
        <is>
          <t>Safety and efficacy in patients under the age of 18 have not been established.</t>
        </is>
      </c>
      <c r="H210" s="3" t="inlineStr">
        <is>
          <t>Approved for cSSSI and S. aureus bacteraemia in children aged 1-17 years. Not recommended under 1 year. The hospital page's own administration field cites the 仿單 for ages 1-17.</t>
        </is>
      </c>
      <c r="I210" s="3" t="inlineStr">
        <is>
          <t>US label §1.1, §1.3, §8.4; 仿單 2.1, 2.3, 6.4; UK SmPC §4.1</t>
        </is>
      </c>
      <c r="J210" s="3" t="inlineStr">
        <is>
          <t>Open</t>
        </is>
      </c>
      <c r="K210" s="3" t="inlineStr"/>
    </row>
    <row r="211">
      <c r="A211" s="3" t="n">
        <v>147</v>
      </c>
      <c r="B211" s="3" t="inlineStr">
        <is>
          <t>Diflucan (Fluconazole) (DIF02, FLU22)</t>
        </is>
      </c>
      <c r="C211" s="8" t="inlineStr">
        <is>
          <t>Medium</t>
        </is>
      </c>
      <c r="D211" s="3" t="inlineStr">
        <is>
          <t>Adverse effects</t>
        </is>
      </c>
      <c r="E211" s="3" t="inlineStr">
        <is>
          <t>Missing SCAR (SJS/TEN/DRESS)</t>
        </is>
      </c>
      <c r="F211" s="3" t="inlineStr">
        <is>
          <t>Add QT/TdP, serious hepatotoxicity, SJS/TEN, DRESS, seizures, agranulocytosis, adrenal insufficiency</t>
        </is>
      </c>
      <c r="G211" s="3" t="inlineStr">
        <is>
          <t>Nausea, vomiting, raised LFTs, hypokalaemia only</t>
        </is>
      </c>
      <c r="H211" s="3" t="inlineStr">
        <is>
          <t>The labels also list headache, rash, QT prolongation/torsade de pointes, serious hepatotoxicity (including fatal), SJS/TEN, DRESS, seizures, agranulocytosis/thrombocytopenia and adrenal insufficiency.</t>
        </is>
      </c>
      <c r="I211" s="3" t="inlineStr">
        <is>
          <t>US FDA label ADVERSE REACTIONS / Post-Marketing; TW Diflucan IV insert §8</t>
        </is>
      </c>
      <c r="J211" s="3" t="inlineStr">
        <is>
          <t>Open</t>
        </is>
      </c>
      <c r="K211" s="3" t="inlineStr"/>
    </row>
    <row r="212">
      <c r="A212" s="3" t="n">
        <v>155</v>
      </c>
      <c r="B212" s="3" t="inlineStr">
        <is>
          <t>Diflucan (Fluconazole) (DIF02, FLU22)</t>
        </is>
      </c>
      <c r="C212" s="8" t="inlineStr">
        <is>
          <t>Medium</t>
        </is>
      </c>
      <c r="D212" s="3" t="inlineStr">
        <is>
          <t>Breastfeeding</t>
        </is>
      </c>
      <c r="E212" s="3" t="inlineStr"/>
      <c r="F212" s="3" t="inlineStr">
        <is>
          <t>Add label caution: not recommended after repeated/high doses; note LactMed considers acceptable</t>
        </is>
      </c>
      <c r="G212" s="3" t="inlineStr">
        <is>
          <t>Infant risk is minimal</t>
        </is>
      </c>
      <c r="H212" s="3" t="inlineStr">
        <is>
          <t>TW Diflucan IV insert §6.2 and UK SmPC 4.6: breastfeeding may continue after a single 150 mg dose but is not recommended after repeated or high doses. The IV product is used at repeated high doses. LactMed calls it acceptable.</t>
        </is>
      </c>
      <c r="I212" s="3" t="inlineStr">
        <is>
          <t>TW 仿單 §6.2 哺乳; UK SmPC 4.6; LactMed NBK501223</t>
        </is>
      </c>
      <c r="J212" s="3" t="inlineStr">
        <is>
          <t>Open</t>
        </is>
      </c>
      <c r="K212" s="3" t="inlineStr"/>
    </row>
    <row r="213">
      <c r="A213" s="3" t="n">
        <v>156</v>
      </c>
      <c r="B213" s="3" t="inlineStr">
        <is>
          <t>Diflucan (Fluconazole) (DIF02, FLU22)</t>
        </is>
      </c>
      <c r="C213" s="8" t="inlineStr">
        <is>
          <t>Medium</t>
        </is>
      </c>
      <c r="D213" s="3" t="inlineStr">
        <is>
          <t>Dosing – adult</t>
        </is>
      </c>
      <c r="E213" s="3" t="inlineStr"/>
      <c r="F213" s="3" t="inlineStr">
        <is>
          <t>Mark 800/400 mg candidemia regimen as IDSA/UK-sourced; note TW insert 400→200 mg</t>
        </is>
      </c>
      <c r="G213" s="3" t="inlineStr">
        <is>
          <t>Loading 800 mg (12 mg/kg) day 1, then 400 mg (6 mg/kg) QD</t>
        </is>
      </c>
      <c r="H213" s="3" t="inlineStr">
        <is>
          <t>This matches the UK SmPC and IDSA but not the stocked TW Diflucan IV insert (400 mg day 1, then 200 mg QD, up to 400 mg). The site does not say the regimen comes from a guideline rather than the insert.</t>
        </is>
      </c>
      <c r="I213" s="3" t="inlineStr">
        <is>
          <t>TW 仿單 DIFLUCAN IV §3.1 成人 2.; UK SmPC 4.2</t>
        </is>
      </c>
      <c r="J213" s="3" t="inlineStr">
        <is>
          <t>Open</t>
        </is>
      </c>
      <c r="K213" s="3" t="inlineStr"/>
    </row>
    <row r="214">
      <c r="A214" s="3" t="n">
        <v>143</v>
      </c>
      <c r="B214" s="3" t="inlineStr">
        <is>
          <t>Diflucan (Fluconazole) (DIF02, FLU22)</t>
        </is>
      </c>
      <c r="C214" s="8" t="inlineStr">
        <is>
          <t>Medium</t>
        </is>
      </c>
      <c r="D214" s="3" t="inlineStr">
        <is>
          <t>Dosing – pediatric</t>
        </is>
      </c>
      <c r="E214" s="3" t="inlineStr"/>
      <c r="F214" s="3" t="inlineStr">
        <is>
          <t>Replace 'not recommended' with pediatric dosing (TW 1–2/3–6 mg/kg/d; US from birth)</t>
        </is>
      </c>
      <c r="G214" s="3" t="inlineStr">
        <is>
          <t>Not recommended in children</t>
        </is>
      </c>
      <c r="H214" s="3" t="inlineStr">
        <is>
          <t>The US label gives paediatric dosing from birth (systemic candidiasis 25 mg/kg load then 12 or 9 mg/kg; mucosal ≥6 months). The UK SmPC is indicated for ages 0–17. The TW insert says only '16歲以下不建議, unless necessary' and then gives 1–2 / 3–6 mg/kg/day.</t>
        </is>
      </c>
      <c r="I214" s="3" t="inlineStr">
        <is>
          <t>US FDA label Dosage and Administration in Pediatric Patients; UK SmPC §4.1/4.2; TW Diflucan IV insert §3.3</t>
        </is>
      </c>
      <c r="J214" s="3" t="inlineStr">
        <is>
          <t>Open</t>
        </is>
      </c>
      <c r="K214" s="3" t="inlineStr"/>
    </row>
    <row r="215">
      <c r="A215" s="3" t="n">
        <v>150</v>
      </c>
      <c r="B215" s="3" t="inlineStr">
        <is>
          <t>Diflucan (Fluconazole) (DIF02, FLU22)</t>
        </is>
      </c>
      <c r="C215" s="8" t="inlineStr">
        <is>
          <t>Medium</t>
        </is>
      </c>
      <c r="D215" s="3" t="inlineStr">
        <is>
          <t>Dosing – pediatric</t>
        </is>
      </c>
      <c r="E215" s="3" t="inlineStr"/>
      <c r="F215" s="3" t="inlineStr">
        <is>
          <t>Add pediatric dosing (US from birth; TW 1–2/3–6 mg/kg/d when necessary)</t>
        </is>
      </c>
      <c r="G215" s="3" t="inlineStr">
        <is>
          <t>Not recommended in children</t>
        </is>
      </c>
      <c r="H215" s="3" t="inlineStr">
        <is>
          <t>US label gives paediatric IV dosing from birth for systemic candidiasis and from 6 months for mucosal disease. UK SmPC 4.1/4.2 covers 0–17 years. The TW Diflucan IV insert says &lt;16 y 不建議 only 'unless the physician considers it necessary', and gives 1–2 / 3–6 mg/kg/d.</t>
        </is>
      </c>
      <c r="I215" s="3" t="inlineStr">
        <is>
          <t>US label Dosage and Administration in Pediatric Patients; UK SmPC 4.2 https://www.medicines.org.uk/emc/product/15231/smpc; TW 仿單 §3.3 小孩</t>
        </is>
      </c>
      <c r="J215" s="3" t="inlineStr">
        <is>
          <t>Open</t>
        </is>
      </c>
      <c r="K215" s="3" t="inlineStr"/>
    </row>
    <row r="216">
      <c r="A216" s="3" t="n">
        <v>142</v>
      </c>
      <c r="B216" s="3" t="inlineStr">
        <is>
          <t>Diflucan (Fluconazole) (DIF02, FLU22)</t>
        </is>
      </c>
      <c r="C216" s="8" t="inlineStr">
        <is>
          <t>Medium</t>
        </is>
      </c>
      <c r="D216" s="3" t="inlineStr">
        <is>
          <t>Pregnancy</t>
        </is>
      </c>
      <c r="E216" s="3" t="inlineStr">
        <is>
          <t>FDA letter category</t>
        </is>
      </c>
      <c r="F216" s="3" t="inlineStr">
        <is>
          <t>Replace D/C letters with narrative: avoid except severe/life-threatening infection; high-dose anomaly risk; contraception</t>
        </is>
      </c>
      <c r="G216" s="3" t="inlineStr">
        <is>
          <t>DIF02: 'D [FDA.AUS]'; FLU22: 'C'</t>
        </is>
      </c>
      <c r="H216" s="3" t="inlineStr">
        <is>
          <t>The FDA retired letter categories. The current US label is narrative: avoid except in severe or life-threatening infection; high-dose anomalies; 150 mg epidemiological signal; contraception for ~1 week after the last dose. The TW inserts use the same narrative. 'C' (the old FDA category for single 150 mg vaginal use) is out of date. Note that 'AUS' (TGA) letter categories are still used in Australia; this review did not verify them.</t>
        </is>
      </c>
      <c r="I216" s="3" t="inlineStr">
        <is>
          <t>US FDA label WARNINGS (4) / PRECAUTIONS Teratogenic Effects https://dailymed.nlm.nih.gov/dailymed/drugInfo.cfm?setid=02f74fe7-0649-46c5-a06a-0700cd265773; TW Diflucan IV insert §6.1</t>
        </is>
      </c>
      <c r="J216" s="3" t="inlineStr">
        <is>
          <t>Open</t>
        </is>
      </c>
      <c r="K216" s="3" t="inlineStr"/>
    </row>
    <row r="217">
      <c r="A217" s="3" t="n">
        <v>149</v>
      </c>
      <c r="B217" s="3" t="inlineStr">
        <is>
          <t>Diflucan (Fluconazole) (DIF02, FLU22)</t>
        </is>
      </c>
      <c r="C217" s="8" t="inlineStr">
        <is>
          <t>Medium</t>
        </is>
      </c>
      <c r="D217" s="3" t="inlineStr">
        <is>
          <t>Pregnancy</t>
        </is>
      </c>
      <c r="E217" s="3" t="inlineStr">
        <is>
          <t>FDA letter category</t>
        </is>
      </c>
      <c r="F217" s="3" t="inlineStr">
        <is>
          <t>Replace 'C' with narrative (avoid unless severe infection); align with DIF02</t>
        </is>
      </c>
      <c r="G217" s="3" t="inlineStr">
        <is>
          <t>C</t>
        </is>
      </c>
      <c r="H217" s="3" t="inlineStr">
        <is>
          <t>TW Fluene insert: 懷孕時應避免使用本品，除非病人患有嚴重或可能危及生命的黴菌感染 (narrative, no letter category). The retired FDA letter is also inconsistent with DIF02's 'D' for the same molecule.</t>
        </is>
      </c>
      <c r="I217" s="3" t="inlineStr">
        <is>
          <t>TW 仿單 FLUENE 衛署藥製字第041997號 懷孕 section https://mcp.fda.gov.tw/im_detail_1/%E8%A1%9B%E7%BD%B2%E8%97%A5%E8%A3%BD%E5%AD%97%E7%AC%AC041997%E8%99%9F</t>
        </is>
      </c>
      <c r="J217" s="3" t="inlineStr">
        <is>
          <t>Open</t>
        </is>
      </c>
      <c r="K217" s="3" t="inlineStr"/>
    </row>
    <row r="218">
      <c r="A218" s="3" t="n">
        <v>372</v>
      </c>
      <c r="B218" s="3" t="inlineStr">
        <is>
          <t>Ertapenem (ERT01)</t>
        </is>
      </c>
      <c r="C218" s="8" t="inlineStr">
        <is>
          <t>Medium</t>
        </is>
      </c>
      <c r="D218" s="3" t="inlineStr">
        <is>
          <t>Adverse effects</t>
        </is>
      </c>
      <c r="E218" s="3" t="inlineStr">
        <is>
          <t>Missing SCAR (SJS/TEN/DRESS)</t>
        </is>
      </c>
      <c r="F218" s="3" t="inlineStr">
        <is>
          <t>Use stocked insert ADR rates; add post-marketing SJS/TEN</t>
        </is>
      </c>
      <c r="G218" s="3" t="inlineStr">
        <is>
          <t>Adults: diarrhea 5.5%, infused vein complication 3.7%, nausea 3.1%, headache 2.2%, vaginitis 2.1%, seizures 0.5%. Pediatrics: diarrhea 6.5%, infusion site pain 5.5%, erythema 2.6%, vomiting 2.1%</t>
        </is>
      </c>
      <c r="H218" s="3" t="inlineStr">
        <is>
          <t>These figures come from the US INVANZ label. The stocked SLC insert gives adults diarrhea 4.3%, infused vein complication 3.9%, nausea 2.9%, headache 2.1%, drug-related seizures 0.2%; pediatrics diarrhea 5.5%, infusion site pain 5.5%, erythema 2.6%. It also lists SJS/TEN post-marketing, which the hospital page omits.</t>
        </is>
      </c>
      <c r="I218" s="3" t="inlineStr">
        <is>
          <t>TW insert 8.2, 8.3; US label 6.1</t>
        </is>
      </c>
      <c r="J218" s="3" t="inlineStr">
        <is>
          <t>Open</t>
        </is>
      </c>
      <c r="K218" s="3" t="inlineStr"/>
    </row>
    <row r="219">
      <c r="A219" s="3" t="n">
        <v>361</v>
      </c>
      <c r="B219" s="3" t="inlineStr">
        <is>
          <t>Ertapenem (ERT01)</t>
        </is>
      </c>
      <c r="C219" s="8" t="inlineStr">
        <is>
          <t>Medium</t>
        </is>
      </c>
      <c r="D219" s="3" t="inlineStr">
        <is>
          <t>Dosing – renal/dialysis</t>
        </is>
      </c>
      <c r="E219" s="3" t="inlineStr"/>
      <c r="F219" s="3" t="inlineStr">
        <is>
          <t>Fix encoding: '?' should read ≥13 years and CrCl ≤30 mL/min/1.73 m²</t>
        </is>
      </c>
      <c r="G219" s="3" t="inlineStr">
        <is>
          <t>'≥13 years' and 'CrCl ≤30' display as '?' on the site</t>
        </is>
      </c>
      <c r="H219" s="3" t="inlineStr">
        <is>
          <t>≥13 years; CrCl ≤30 mL/min/1.73 m2</t>
        </is>
      </c>
      <c r="I219" s="3" t="inlineStr">
        <is>
          <t>US FDA label §2.2, §2.4; TW 仿單 3.1</t>
        </is>
      </c>
      <c r="J219" s="3" t="inlineStr">
        <is>
          <t>Open</t>
        </is>
      </c>
      <c r="K219" s="3" t="inlineStr"/>
    </row>
    <row r="220">
      <c r="A220" s="3" t="n">
        <v>370</v>
      </c>
      <c r="B220" s="3" t="inlineStr">
        <is>
          <t>Ertapenem (ERT01)</t>
        </is>
      </c>
      <c r="C220" s="8" t="inlineStr">
        <is>
          <t>Medium</t>
        </is>
      </c>
      <c r="D220" s="3" t="inlineStr">
        <is>
          <t>Dosing – renal/dialysis</t>
        </is>
      </c>
      <c r="E220" s="3" t="inlineStr"/>
      <c r="F220" s="3" t="inlineStr">
        <is>
          <t>Fix '?' encoding: ≥13 y, CrCl ≤30, ESRD ≤10, given ≥6 h before HD</t>
        </is>
      </c>
      <c r="G220" s="3" t="inlineStr">
        <is>
          <t>'(1)?13 years'; 'CrCl ?30 mL/min/1.73 m2 or ESRD (CrCl ?10 ...)'; 'if given ?6 hours before HD'</t>
        </is>
      </c>
      <c r="H220" s="3" t="inlineStr">
        <is>
          <t>≥13 years; CrCl ≤30; ESRD CrCl ≤10; given ≥6 hours before HD (no supplement). The ≥/≤ characters are shown as '?'.</t>
        </is>
      </c>
      <c r="I220" s="3" t="inlineStr">
        <is>
          <t>US label 2.2, 2.4, 2.5; TW insert 3.1, 3.3</t>
        </is>
      </c>
      <c r="J220" s="3" t="inlineStr">
        <is>
          <t>Open</t>
        </is>
      </c>
      <c r="K220" s="3" t="inlineStr"/>
    </row>
    <row r="221">
      <c r="A221" s="3" t="n">
        <v>357</v>
      </c>
      <c r="B221" s="3" t="inlineStr">
        <is>
          <t>Ertapenem (ERT01)</t>
        </is>
      </c>
      <c r="C221" s="8" t="inlineStr">
        <is>
          <t>Medium</t>
        </is>
      </c>
      <c r="D221" s="3" t="inlineStr">
        <is>
          <t>Indication/coverage</t>
        </is>
      </c>
      <c r="E221" s="3" t="inlineStr"/>
      <c r="F221" s="3" t="inlineStr">
        <is>
          <t>Change to complicated intra-abdominal infection, moderate to severe</t>
        </is>
      </c>
      <c r="G221" s="3" t="inlineStr">
        <is>
          <t>Intra-abdominal infection, 'mild to moderate'</t>
        </is>
      </c>
      <c r="H221" s="3" t="inlineStr">
        <is>
          <t>Complicated intra-abdominal infections; US/TW indication covers 'moderate to severe infections'</t>
        </is>
      </c>
      <c r="I221" s="3" t="inlineStr">
        <is>
          <t>US FDA label §1 'moderate to severe infections', §1.1; TW 仿單 2 「中度至重度感染…複雜的腹腔內感染」</t>
        </is>
      </c>
      <c r="J221" s="3" t="inlineStr">
        <is>
          <t>Open</t>
        </is>
      </c>
      <c r="K221" s="3" t="inlineStr"/>
    </row>
    <row r="222">
      <c r="A222" s="3" t="n">
        <v>359</v>
      </c>
      <c r="B222" s="3" t="inlineStr">
        <is>
          <t>Ertapenem (ERT01)</t>
        </is>
      </c>
      <c r="C222" s="8" t="inlineStr">
        <is>
          <t>Medium</t>
        </is>
      </c>
      <c r="D222" s="3" t="inlineStr">
        <is>
          <t>Indication/coverage</t>
        </is>
      </c>
      <c r="E222" s="3" t="inlineStr"/>
      <c r="F222" s="3" t="inlineStr">
        <is>
          <t>Flag diabetic foot and colorectal prophylaxis as not in stocked TW product insert (US/UK only)</t>
        </is>
      </c>
      <c r="G222" s="3" t="inlineStr">
        <is>
          <t>Lists both indications for the TW-licensed SLC product</t>
        </is>
      </c>
      <c r="H222" s="3" t="inlineStr">
        <is>
          <t>The stocked product's TW 仿單 section 2 does not list them; they appear only in its clinical-trial sections. They are approved in the US (§1.2, §1.6) and UK (4.1).</t>
        </is>
      </c>
      <c r="I222" s="3" t="inlineStr">
        <is>
          <t>TW 仿單 2 適應症 vs US FDA label §1 and UK SmPC 4.1</t>
        </is>
      </c>
      <c r="J222" s="3" t="inlineStr">
        <is>
          <t>Open</t>
        </is>
      </c>
      <c r="K222" s="3" t="inlineStr"/>
    </row>
    <row r="223">
      <c r="A223" s="3" t="n">
        <v>366</v>
      </c>
      <c r="B223" s="3" t="inlineStr">
        <is>
          <t>Ertapenem (ERT01)</t>
        </is>
      </c>
      <c r="C223" s="8" t="inlineStr">
        <is>
          <t>Medium</t>
        </is>
      </c>
      <c r="D223" s="3" t="inlineStr">
        <is>
          <t>Indication/coverage</t>
        </is>
      </c>
      <c r="E223" s="3" t="inlineStr"/>
      <c r="F223" s="3" t="inlineStr">
        <is>
          <t>Change to complicated IAI, moderate to severe</t>
        </is>
      </c>
      <c r="G223" s="3" t="inlineStr">
        <is>
          <t>Intra-abdominal infection, mild to moderate</t>
        </is>
      </c>
      <c r="H223" s="3" t="inlineStr">
        <is>
          <t>Complicated intra-abdominal infections, moderate to severe.</t>
        </is>
      </c>
      <c r="I223" s="3" t="inlineStr">
        <is>
          <t>US label 1 ('moderate to severe infections'), 1.1; TW insert 2 (中度至重度感染; 複雜的腹腔內感染)</t>
        </is>
      </c>
      <c r="J223" s="3" t="inlineStr">
        <is>
          <t>Open</t>
        </is>
      </c>
      <c r="K223" s="3" t="inlineStr"/>
    </row>
    <row r="224">
      <c r="A224" s="3" t="n">
        <v>367</v>
      </c>
      <c r="B224" s="3" t="inlineStr">
        <is>
          <t>Ertapenem (ERT01)</t>
        </is>
      </c>
      <c r="C224" s="8" t="inlineStr">
        <is>
          <t>Medium</t>
        </is>
      </c>
      <c r="D224" s="3" t="inlineStr">
        <is>
          <t>Indication/coverage</t>
        </is>
      </c>
      <c r="E224" s="3" t="inlineStr"/>
      <c r="F224" s="3" t="inlineStr">
        <is>
          <t>Specify diabetic foot infection without osteomyelitis; cSSSI wording</t>
        </is>
      </c>
      <c r="G224" s="3" t="inlineStr">
        <is>
          <t>Diabetic foot infection, moderate to severe; Skin and soft tissue infection, moderate to severe</t>
        </is>
      </c>
      <c r="H224" s="3" t="inlineStr">
        <is>
          <t>Complicated skin and skin structure infections, including diabetic foot infections WITHOUT osteomyelitis (not studied with osteomyelitis). UK: diabetic foot infections of the skin and soft tissue.</t>
        </is>
      </c>
      <c r="I224" s="3" t="inlineStr">
        <is>
          <t>US label 1.2; UK SmPC 4.1/4.4; TW insert 2</t>
        </is>
      </c>
      <c r="J224" s="3" t="inlineStr">
        <is>
          <t>Open</t>
        </is>
      </c>
      <c r="K224" s="3" t="inlineStr"/>
    </row>
    <row r="225">
      <c r="A225" s="3" t="n">
        <v>368</v>
      </c>
      <c r="B225" s="3" t="inlineStr">
        <is>
          <t>Ertapenem (ERT01)</t>
        </is>
      </c>
      <c r="C225" s="8" t="inlineStr">
        <is>
          <t>Medium</t>
        </is>
      </c>
      <c r="D225" s="3" t="inlineStr">
        <is>
          <t>Indication/coverage</t>
        </is>
      </c>
      <c r="E225" s="3" t="inlineStr"/>
      <c r="F225" s="3" t="inlineStr">
        <is>
          <t>Mark diabetic foot and colorectal prophylaxis as US/UK-only, not in stocked SLC insert</t>
        </is>
      </c>
      <c r="G225" s="3" t="inlineStr">
        <is>
          <t>Lists diabetic foot infection and surgical prophylaxis (colorectal surgery)</t>
        </is>
      </c>
      <c r="H225" s="3" t="inlineStr">
        <is>
          <t>The insert of the product actually stocked (SLC, 衛部藥製字第059078號) lists only cIAI, cSSSI, CAP, cUTI incl. pyelonephritis and acute pelvic infection in Section 2. Diabetic foot and colorectal prophylaxis are approved only in the US/UK INVANZ labels.</t>
        </is>
      </c>
      <c r="I225" s="3" t="inlineStr">
        <is>
          <t>TW insert 2 適應症 (TFDA 059078); US label 1.2/1.6; UK SmPC 4.1</t>
        </is>
      </c>
      <c r="J225" s="3" t="inlineStr">
        <is>
          <t>Open</t>
        </is>
      </c>
      <c r="K225" s="3" t="inlineStr"/>
    </row>
    <row r="226">
      <c r="A226" s="3" t="n">
        <v>379</v>
      </c>
      <c r="B226" s="3" t="inlineStr">
        <is>
          <t>Flumarin (Flomoxef) (FLU05)</t>
        </is>
      </c>
      <c r="C226" s="8" t="inlineStr">
        <is>
          <t>Medium</t>
        </is>
      </c>
      <c r="D226" s="3" t="inlineStr">
        <is>
          <t>Breastfeeding</t>
        </is>
      </c>
      <c r="E226" s="3" t="inlineStr"/>
      <c r="F226" s="3" t="inlineStr">
        <is>
          <t>Replace 'not recommended' with insert data: milk ≤0.5 µg/mL after 1 g IV; no label recommendation</t>
        </is>
      </c>
      <c r="G226" s="3" t="inlineStr">
        <is>
          <t>Not recommended</t>
        </is>
      </c>
      <c r="H226" s="3" t="inlineStr">
        <is>
          <t>The insert gives no breastfeeding recommendation. It reports a mean milk concentration ≤0.5 µg/mL after 1 g IV (n=5). LactMed has no flomoxef record.</t>
        </is>
      </c>
      <c r="I226" s="3" t="inlineStr">
        <is>
          <t>Taiwan insert, 【體內藥物動力學】二.分佈 and 【使用注意事項】八, https://mcp.fda.gov.tw/insert/pdfcasefile/f00601dd-69fd-4c6e-a282-74a0922a818d</t>
        </is>
      </c>
      <c r="J226" s="3" t="inlineStr">
        <is>
          <t>Open</t>
        </is>
      </c>
      <c r="K226" s="3" t="inlineStr"/>
    </row>
    <row r="227">
      <c r="A227" s="3" t="n">
        <v>386</v>
      </c>
      <c r="B227" s="3" t="inlineStr">
        <is>
          <t>Flumarin (Flomoxef) (FLU05)</t>
        </is>
      </c>
      <c r="C227" s="8" t="inlineStr">
        <is>
          <t>Medium</t>
        </is>
      </c>
      <c r="D227" s="3" t="inlineStr">
        <is>
          <t>Breastfeeding</t>
        </is>
      </c>
      <c r="E227" s="3" t="inlineStr"/>
      <c r="F227" s="3" t="inlineStr">
        <is>
          <t>Replace 'not recommended' with insert PK data (milk ≤0.5 µg/mL); no LactMed entry</t>
        </is>
      </c>
      <c r="G227" s="3" t="inlineStr">
        <is>
          <t>not recommended</t>
        </is>
      </c>
      <c r="H227" s="3" t="inlineStr">
        <is>
          <t>No lactation recommendation. PK only: mean breast-milk level ≤0.5 µg/mL after 1 g IV (n=5). There is no LactMed entry.</t>
        </is>
      </c>
      <c r="I227" s="3" t="inlineStr">
        <is>
          <t>Taiwan insert Flumarin 1g, 體內藥物動力學 二 分佈 and 使用注意事項 八 — https://mcp.fda.gov.tw/insert/pdfcasefile/f00601dd-69fd-4c6e-a282-74a0922a818d</t>
        </is>
      </c>
      <c r="J227" s="3" t="inlineStr">
        <is>
          <t>Open</t>
        </is>
      </c>
      <c r="K227" s="3" t="inlineStr"/>
    </row>
    <row r="228">
      <c r="A228" s="3" t="n">
        <v>380</v>
      </c>
      <c r="B228" s="3" t="inlineStr">
        <is>
          <t>Flumarin (Flomoxef) (FLU05)</t>
        </is>
      </c>
      <c r="C228" s="8" t="inlineStr">
        <is>
          <t>Medium</t>
        </is>
      </c>
      <c r="D228" s="3" t="inlineStr">
        <is>
          <t>Indication/coverage</t>
        </is>
      </c>
      <c r="E228" s="3" t="inlineStr"/>
      <c r="F228" s="3" t="inlineStr">
        <is>
          <t>Add E. coli, H. influenzae, gonococcus; state Enterococcus excluded; Pseudomonas claim not label-based</t>
        </is>
      </c>
      <c r="G228" s="3" t="inlineStr">
        <is>
          <t>Spectrum list that omits E. coli, H. influenzae and gonococcus, does not state that Enterococcus is excluded, and says 'ineffective against Pseudomonas'</t>
        </is>
      </c>
      <c r="H228" s="3" t="inlineStr">
        <is>
          <t>Staphylococcus, Streptococcus (Enterococcus excluded), pneumococcus, Peptostreptococcus, B. catarrhalis, gonococcus, E. coli, Klebsiella, Proteus, H. influenzae, Bacteroides. Pseudomonas is not mentioned, so the 'ineffective' claim is plausible but not label-stated.</t>
        </is>
      </c>
      <c r="I228" s="3" t="inlineStr">
        <is>
          <t>Taiwan insert, 【適應症】 and 【藥理作用】1, https://mcp.fda.gov.tw/insert/pdfcasefile/f00601dd-69fd-4c6e-a282-74a0922a818d</t>
        </is>
      </c>
      <c r="J228" s="3" t="inlineStr">
        <is>
          <t>Open</t>
        </is>
      </c>
      <c r="K228" s="3" t="inlineStr"/>
    </row>
    <row r="229">
      <c r="A229" s="3" t="n">
        <v>387</v>
      </c>
      <c r="B229" s="3" t="inlineStr">
        <is>
          <t>Flumarin (Flomoxef) (FLU05)</t>
        </is>
      </c>
      <c r="C229" s="8" t="inlineStr">
        <is>
          <t>Medium</t>
        </is>
      </c>
      <c r="D229" s="3" t="inlineStr">
        <is>
          <t>Indication/coverage</t>
        </is>
      </c>
      <c r="E229" s="3" t="inlineStr"/>
      <c r="F229" s="3" t="inlineStr">
        <is>
          <t>Add E. coli, H. influenzae, gonococcus; note Enterococcus excluded</t>
        </is>
      </c>
      <c r="G229" s="3" t="inlineStr">
        <is>
          <t>Organism list omits E. coli, H. influenzae and gonococcus, does not state that Enterococcus is excluded, and says 'ineffective against Pseudomonas'</t>
        </is>
      </c>
      <c r="H229" s="3" t="inlineStr">
        <is>
          <t>The organism list includes 大腸菌, Influenzae 菌 and 淋菌, and says 鏈球菌屬（腸球菌除外）. Pseudomonas is not mentioned either way; the claim is plausible but not label-stated.</t>
        </is>
      </c>
      <c r="I229" s="3" t="inlineStr">
        <is>
          <t>Taiwan insert Flumarin 1g, 【適應症】 — https://mcp.fda.gov.tw/insert/pdfcasefile/f00601dd-69fd-4c6e-a282-74a0922a818d</t>
        </is>
      </c>
      <c r="J229" s="3" t="inlineStr">
        <is>
          <t>Open</t>
        </is>
      </c>
      <c r="K229" s="3" t="inlineStr"/>
    </row>
    <row r="230">
      <c r="A230" s="3" t="n">
        <v>16</v>
      </c>
      <c r="B230" s="3" t="inlineStr">
        <is>
          <t>Imipenem/Cilastatin (CUL01)</t>
        </is>
      </c>
      <c r="C230" s="8" t="inlineStr">
        <is>
          <t>Medium</t>
        </is>
      </c>
      <c r="D230" s="3" t="inlineStr">
        <is>
          <t>Breastfeeding</t>
        </is>
      </c>
      <c r="E230" s="3" t="inlineStr">
        <is>
          <t>LactMed outdated</t>
        </is>
      </c>
      <c r="F230" s="3" t="inlineStr">
        <is>
          <t>Update per LactMed: low milk levels, acceptable in nursing mothers</t>
        </is>
      </c>
      <c r="G230" s="3" t="inlineStr">
        <is>
          <t>Manufacturer: weigh risk/benefit</t>
        </is>
      </c>
      <c r="H230" s="3" t="inlineStr">
        <is>
          <t>Low milk levels; acceptable in nursing mothers</t>
        </is>
      </c>
      <c r="I230" s="3" t="inlineStr">
        <is>
          <t>LactMed NBK500987 (rev. 2024)</t>
        </is>
      </c>
      <c r="J230" s="3" t="inlineStr">
        <is>
          <t>Open</t>
        </is>
      </c>
      <c r="K230" s="3" t="inlineStr"/>
    </row>
    <row r="231">
      <c r="A231" s="3" t="n">
        <v>390</v>
      </c>
      <c r="B231" s="3" t="inlineStr">
        <is>
          <t>Menocik (minocycline) (MEN04, MER01)</t>
        </is>
      </c>
      <c r="C231" s="8" t="inlineStr">
        <is>
          <t>Medium</t>
        </is>
      </c>
      <c r="D231" s="3" t="inlineStr">
        <is>
          <t>Contraindication/warning</t>
        </is>
      </c>
      <c r="E231" s="3" t="inlineStr"/>
      <c r="F231" s="3" t="inlineStr">
        <is>
          <t>Limit contraindication to tetracycline hypersensitivity; move liver, renal, MG, children to cautions</t>
        </is>
      </c>
      <c r="G231" s="3" t="inlineStr">
        <is>
          <t>1. Hypersensitivity to minocycline/tetracyclines; 2. Severe liver disease; 3. Complete renal failure; 4. Myasthenia gravis; plus use in children</t>
        </is>
      </c>
      <c r="H231" s="3" t="inlineStr">
        <is>
          <t>US FDA IV label CONTRAINDICATIONS lists only hypersensitivity to any tetracycline or any component. The Menocik Taiwan insert §4 lists only tetracycline hypersensitivity. Hepatic dysfunction is 'use with caution'. 'Complete renal failure' and 'children &lt;12 y' are contraindications only in the UK acne MR SmPC 4.3. Myasthenia gravis is only a caution in UK SmPC 4.4 ('Caution is advised... weak neuromuscular blockade'). Children &lt;8 y: US says not recommended unless benefits outweigh risks.</t>
        </is>
      </c>
      <c r="I231" s="3" t="inlineStr">
        <is>
          <t>https://dailymed.nlm.nih.gov/dailymed/drugInfo.cfm?setid=e415c323-8219-464b-9e3e-72c5a796cdaa ; https://mcp.fda.gov.tw/im_detail_1/%E8%A1%9B%E9%83%A8%E8%97%A5%E8%A3%BD%E5%AD%97%E7%AC%AC060447%E8%99%9F ; https://www.medicines.org.uk/emc/product/654/smpc</t>
        </is>
      </c>
      <c r="J231" s="3" t="inlineStr">
        <is>
          <t>Open</t>
        </is>
      </c>
      <c r="K231" s="3" t="inlineStr"/>
    </row>
    <row r="232">
      <c r="A232" s="3" t="n">
        <v>398</v>
      </c>
      <c r="B232" s="3" t="inlineStr">
        <is>
          <t>Menocik (minocycline) (MEN04, MER01)</t>
        </is>
      </c>
      <c r="C232" s="8" t="inlineStr">
        <is>
          <t>Medium</t>
        </is>
      </c>
      <c r="D232" s="3" t="inlineStr">
        <is>
          <t>Contraindication/warning</t>
        </is>
      </c>
      <c r="E232" s="3" t="inlineStr"/>
      <c r="F232" s="3" t="inlineStr">
        <is>
          <t>Contraindication only tetracycline hypersensitivity; others are cautions (UK MR product differs)</t>
        </is>
      </c>
      <c r="G232" s="3" t="inlineStr">
        <is>
          <t>1. Hypersensitivity to tetracyclines; 2. Severe liver disease; 3. Complete renal failure; 4. Myasthenia gravis; 5. Use in children</t>
        </is>
      </c>
      <c r="H232" s="3" t="inlineStr">
        <is>
          <t>The TW Menocik insert §4 and the FDA MINOCIN IV label contraindicate only tetracycline hypersensitivity. The UK SmPC (an acne MR capsule, a different product) does list complete renal failure and children under 12 as contraindications, but myasthenia gravis there is a caution only. No label lists severe liver disease as a contraindication; all say 'use with caution'.</t>
        </is>
      </c>
      <c r="I232" s="3" t="inlineStr">
        <is>
          <t>TW Menocik 仿單 §4 https://mcp.fda.gov.tw/im_detail_1/%E8%A1%9B%E9%83%A8%E8%97%A5%E8%A3%BD%E5%AD%97%E7%AC%AC060447%E8%99%9F ; FDA IV CONTRAINDICATIONS https://dailymed.nlm.nih.gov/dailymed/drugInfo.cfm?setid=e415c323-8219-464b-9e3e-72c5a796cdaa ; UK SmPC 4.3/4.4 https://www.medicines.org.uk/emc/product/654/smpc</t>
        </is>
      </c>
      <c r="J232" s="3" t="inlineStr">
        <is>
          <t>Open</t>
        </is>
      </c>
      <c r="K232" s="3" t="inlineStr"/>
    </row>
    <row r="233">
      <c r="A233" s="3" t="n">
        <v>395</v>
      </c>
      <c r="B233" s="3" t="inlineStr">
        <is>
          <t>Menocik (minocycline) (MEN04, MER01)</t>
        </is>
      </c>
      <c r="C233" s="8" t="inlineStr">
        <is>
          <t>Medium</t>
        </is>
      </c>
      <c r="D233" s="3" t="inlineStr">
        <is>
          <t>Indication/coverage</t>
        </is>
      </c>
      <c r="E233" s="3" t="inlineStr"/>
      <c r="F233" s="3" t="inlineStr">
        <is>
          <t>Use TW-approved indication text; remove periodontitis</t>
        </is>
      </c>
      <c r="G233" s="3" t="inlineStr">
        <is>
          <t>Micromedex-derived list: acne vulgaris, penicillin allergy-bacterial infection, amebic dysentery, M. marinum, periodontitis, etc.</t>
        </is>
      </c>
      <c r="H233" s="3" t="inlineStr">
        <is>
          <t>The Taiwan-approved indication (Mero insert §2) is '具感受性革蘭氏陰性及陽性菌，立克次氏體，巨型濾過性病毒所引起之感染症'. Periodontitis is not a labeled indication of the oral capsule in any source reviewed.</t>
        </is>
      </c>
      <c r="I233" s="3" t="inlineStr">
        <is>
          <t>https://mcp.fda.gov.tw/im_detail_1/%E8%A1%9B%E7%BD%B2%E8%97%A5%E8%A3%BD%E5%AD%97%E7%AC%AC036940%E8%99%9F</t>
        </is>
      </c>
      <c r="J233" s="3" t="inlineStr">
        <is>
          <t>Open</t>
        </is>
      </c>
      <c r="K233" s="3" t="inlineStr"/>
    </row>
    <row r="234">
      <c r="A234" s="3" t="n">
        <v>402</v>
      </c>
      <c r="B234" s="3" t="inlineStr">
        <is>
          <t>Menocik (minocycline) (MEN04, MER01)</t>
        </is>
      </c>
      <c r="C234" s="8" t="inlineStr">
        <is>
          <t>Medium</t>
        </is>
      </c>
      <c r="D234" s="3" t="inlineStr">
        <is>
          <t>Indication/coverage</t>
        </is>
      </c>
      <c r="E234" s="3" t="inlineStr"/>
      <c r="F234" s="3" t="inlineStr">
        <is>
          <t>Replace Micromedex list with TW-approved indication; acne not a TW indication</t>
        </is>
      </c>
      <c r="G234" s="3" t="inlineStr">
        <is>
          <t>Indication list taken from Micromedex (acne vulgaris, penicillin-allergy infections, amebic dysentery adjunct, anthrax, etc.)</t>
        </is>
      </c>
      <c r="H234" s="3" t="inlineStr">
        <is>
          <t>The TW-approved indication is '具感受性革蘭氏陰性及陽性菌，立克次氏體，巨型濾過性病毒所引起之感染症'. Acne is not a TW-label indication for Mero. In the US IV label, acne appears only as 'adjunctive therapy' for severe acne.</t>
        </is>
      </c>
      <c r="I234" s="3" t="inlineStr">
        <is>
          <t>TW Mero 仿單 §2 https://mcp.fda.gov.tw/im_detail_1/%E8%A1%9B%E7%BD%B2%E8%97%A5%E8%A3%BD%E5%AD%97%E7%AC%AC036940%E8%99%9F</t>
        </is>
      </c>
      <c r="J234" s="3" t="inlineStr">
        <is>
          <t>Open</t>
        </is>
      </c>
      <c r="K234" s="3" t="inlineStr"/>
    </row>
    <row r="235">
      <c r="A235" s="3" t="n">
        <v>2</v>
      </c>
      <c r="B235" s="3" t="inlineStr">
        <is>
          <t>Meropenem (MER02)</t>
        </is>
      </c>
      <c r="C235" s="8" t="inlineStr">
        <is>
          <t>Medium</t>
        </is>
      </c>
      <c r="D235" s="3" t="inlineStr">
        <is>
          <t>Breastfeeding</t>
        </is>
      </c>
      <c r="E235" s="3" t="inlineStr">
        <is>
          <t>LactMed outdated</t>
        </is>
      </c>
      <c r="F235" s="3" t="inlineStr">
        <is>
          <t>Update to LactMed: very low milk levels (RID ~0.15%), acceptable in breastfeeding</t>
        </is>
      </c>
      <c r="G235" s="3" t="inlineStr">
        <is>
          <t>Excretion in breast milk unknown / use caution</t>
        </is>
      </c>
      <c r="H235" s="3" t="inlineStr">
        <is>
          <t>Excreted at very low levels (RID 0.13–0.18%); acceptable during breastfeeding</t>
        </is>
      </c>
      <c r="I235" s="3" t="inlineStr">
        <is>
          <t>LactMed NBK501017 (rev. 2021)</t>
        </is>
      </c>
      <c r="J235" s="3" t="inlineStr">
        <is>
          <t>Open</t>
        </is>
      </c>
      <c r="K235" s="3" t="inlineStr"/>
    </row>
    <row r="236">
      <c r="A236" s="3" t="n">
        <v>4</v>
      </c>
      <c r="B236" s="3" t="inlineStr">
        <is>
          <t>Meropenem (MER02)</t>
        </is>
      </c>
      <c r="C236" s="8" t="inlineStr">
        <is>
          <t>Medium</t>
        </is>
      </c>
      <c r="D236" s="3" t="inlineStr">
        <is>
          <t>Pharmacokinetics/other</t>
        </is>
      </c>
      <c r="E236" s="3" t="inlineStr"/>
      <c r="F236" s="3" t="inlineStr">
        <is>
          <t>Correct CSF claim: CSF 1.1–3.3 mg/L vs plasma ~49 mg/L; CSF not equal to plasma</t>
        </is>
      </c>
      <c r="G236" s="3" t="inlineStr">
        <is>
          <t>"CSF concentrations approximate those of the plasma"</t>
        </is>
      </c>
      <c r="H236" s="3" t="inlineStr">
        <is>
          <t>CSF 1.1–3.3 mg/L (inflamed meninges, pediatric) vs plasma peak ~49 mg/L after 1 g</t>
        </is>
      </c>
      <c r="I236" s="3" t="inlineStr">
        <is>
          <t>US label §12.3</t>
        </is>
      </c>
      <c r="J236" s="3" t="inlineStr">
        <is>
          <t>Open</t>
        </is>
      </c>
      <c r="K236" s="3" t="inlineStr"/>
    </row>
    <row r="237">
      <c r="A237" s="3" t="n">
        <v>215</v>
      </c>
      <c r="B237" s="3" t="inlineStr">
        <is>
          <t>Myfungin (Micafungin) (MYF02)</t>
        </is>
      </c>
      <c r="C237" s="8" t="inlineStr">
        <is>
          <t>Medium</t>
        </is>
      </c>
      <c r="D237" s="3" t="inlineStr">
        <is>
          <t>Adverse effects</t>
        </is>
      </c>
      <c r="E237" s="3" t="inlineStr"/>
      <c r="F237" s="3" t="inlineStr">
        <is>
          <t>Update common ADRs; add anaphylaxis, hemolysis, hepatic and renal warnings</t>
        </is>
      </c>
      <c r="G237" s="3" t="inlineStr">
        <is>
          <t>Common: diarrhea, nausea, vomiting, hypoglycemia, fever, hyperkalemia</t>
        </is>
      </c>
      <c r="H237" s="3" t="inlineStr">
        <is>
          <t>Label's most common reactions: diarrhea, nausea, vomiting, abdominal pain, pyrexia, thrombocytopenia, neutropenia, headache. Hypoglycemia (6%) and hyperkalemia (5%) come from a single trial table (micafungin vs caspofungin). The hospital list also leaves out the W&amp;P items: anaphylaxis, hemolysis, hepatic effects, renal effects, infusion/injection-site reactions.</t>
        </is>
      </c>
      <c r="I237" s="3" t="inlineStr">
        <is>
          <t>US label Highlights §6, §5.1–5.5, §6.1 Table (candidemia trial) https://dailymed.nlm.nih.gov/dailymed/drugInfo.cfm?setid=653f8c75-b5b8-41ea-8b33-5baad1680bda ; Taiwan insert §5.1, §8</t>
        </is>
      </c>
      <c r="J237" s="3" t="inlineStr">
        <is>
          <t>Open</t>
        </is>
      </c>
      <c r="K237" s="3" t="inlineStr"/>
    </row>
    <row r="238">
      <c r="A238" s="3" t="n">
        <v>219</v>
      </c>
      <c r="B238" s="3" t="inlineStr">
        <is>
          <t>Myfungin (Micafungin) (MYF02)</t>
        </is>
      </c>
      <c r="C238" s="8" t="inlineStr">
        <is>
          <t>Medium</t>
        </is>
      </c>
      <c r="D238" s="3" t="inlineStr">
        <is>
          <t>Adverse effects</t>
        </is>
      </c>
      <c r="E238" s="3" t="inlineStr"/>
      <c r="F238" s="3" t="inlineStr">
        <is>
          <t>Add labelled warnings: anaphylaxis, hemolysis, hepatotoxicity, renal effects</t>
        </is>
      </c>
      <c r="G238" s="3" t="inlineStr">
        <is>
          <t>Common: diarrhea, nausea, vomiting, hypoglycemia, fever, hyperkalemia. No mention of hemolysis, hepatotoxicity or anaphylaxis.</t>
        </is>
      </c>
      <c r="H238" s="3" t="inlineStr">
        <is>
          <t>Most common across trials: diarrhea, nausea, vomiting, abdominal pain, pyrexia, thrombocytopenia, neutropenia, headache. Hypoglycemia (6%) and hyperkalemia (5%) come from one candidemia trial table (Table 3). Labeled warnings: anaphylaxis/shock, hemolysis/hemolytic anemia, hepatic dysfunction/failure, BUN/creatinine rise, infusion-site reactions.</t>
        </is>
      </c>
      <c r="I238" s="3" t="inlineStr">
        <is>
          <t>US label Highlights §6 and §5.1–5.5; Taiwan insert 5.1, 8.1–8.2</t>
        </is>
      </c>
      <c r="J238" s="3" t="inlineStr">
        <is>
          <t>Open</t>
        </is>
      </c>
      <c r="K238" s="3" t="inlineStr"/>
    </row>
    <row r="239">
      <c r="A239" s="3" t="n">
        <v>216</v>
      </c>
      <c r="B239" s="3" t="inlineStr">
        <is>
          <t>Myfungin (Micafungin) (MYF02)</t>
        </is>
      </c>
      <c r="C239" s="8" t="inlineStr">
        <is>
          <t>Medium</t>
        </is>
      </c>
      <c r="D239" s="3" t="inlineStr">
        <is>
          <t>Breastfeeding</t>
        </is>
      </c>
      <c r="E239" s="3" t="inlineStr">
        <is>
          <t>LactMed outdated</t>
        </is>
      </c>
      <c r="F239" s="3" t="inlineStr">
        <is>
          <t>Update per LactMed: unlikely to reach infant; not a reason to stop breastfeeding</t>
        </is>
      </c>
      <c r="G239" s="3" t="inlineStr">
        <is>
          <t>Unknown; use with caution</t>
        </is>
      </c>
      <c r="H239" s="3" t="inlineStr">
        <is>
          <t>LactMed: no human data, but &gt;99% protein-bound with poor oral bioavailability, so unlikely to reach the infant; not a reason to discontinue breastfeeding</t>
        </is>
      </c>
      <c r="I239" s="3" t="inlineStr">
        <is>
          <t>LactMed NBK574072 (rev 2025-04-15) https://www.ncbi.nlm.nih.gov/books/NBK574072/</t>
        </is>
      </c>
      <c r="J239" s="3" t="inlineStr">
        <is>
          <t>Open</t>
        </is>
      </c>
      <c r="K239" s="3" t="inlineStr"/>
    </row>
    <row r="240">
      <c r="A240" s="3" t="n">
        <v>220</v>
      </c>
      <c r="B240" s="3" t="inlineStr">
        <is>
          <t>Myfungin (Micafungin) (MYF02)</t>
        </is>
      </c>
      <c r="C240" s="8" t="inlineStr">
        <is>
          <t>Medium</t>
        </is>
      </c>
      <c r="D240" s="3" t="inlineStr">
        <is>
          <t>Breastfeeding</t>
        </is>
      </c>
      <c r="E240" s="3" t="inlineStr">
        <is>
          <t>LactMed outdated</t>
        </is>
      </c>
      <c r="F240" s="3" t="inlineStr">
        <is>
          <t>Update per LactMed: not a reason to discontinue breastfeeding</t>
        </is>
      </c>
      <c r="G240" s="3" t="inlineStr">
        <is>
          <t>Unknown; use with caution</t>
        </is>
      </c>
      <c r="H240" s="3" t="inlineStr">
        <is>
          <t>No human data, but &gt;99% protein-bound with poor oral bioavailability, so unlikely to reach the infant. Not a reason to discontinue breastfeeding.</t>
        </is>
      </c>
      <c r="I240" s="3" t="inlineStr">
        <is>
          <t>LactMed NBK574072 (rev 2025-04-15), https://www.ncbi.nlm.nih.gov/books/NBK574072/</t>
        </is>
      </c>
      <c r="J240" s="3" t="inlineStr">
        <is>
          <t>Open</t>
        </is>
      </c>
      <c r="K240" s="3" t="inlineStr"/>
    </row>
    <row r="241">
      <c r="A241" s="3" t="n">
        <v>213</v>
      </c>
      <c r="B241" s="3" t="inlineStr">
        <is>
          <t>Myfungin (Micafungin) (MYF02)</t>
        </is>
      </c>
      <c r="C241" s="8" t="inlineStr">
        <is>
          <t>Medium</t>
        </is>
      </c>
      <c r="D241" s="3" t="inlineStr">
        <is>
          <t>Dosing – adult</t>
        </is>
      </c>
      <c r="E241" s="3" t="inlineStr"/>
      <c r="F241" s="3" t="inlineStr">
        <is>
          <t>HSCT prophylaxis: 50 mg once daily (remove 100 mg)</t>
        </is>
      </c>
      <c r="G241" s="3" t="inlineStr">
        <is>
          <t>50–100 mg once daily</t>
        </is>
      </c>
      <c r="H241" s="3" t="inlineStr">
        <is>
          <t>50 mg once daily (Taiwan insert 表1; US Table 1; UK SmPC 4.2)</t>
        </is>
      </c>
      <c r="I241" s="3" t="inlineStr">
        <is>
          <t>Taiwan insert Myfungin 衛部藥製字第060897號 §3.1 https://mcp.fda.gov.tw/im_detail_1/%E8%A1%9B%E9%83%A8%E8%97%A5%E8%A3%BD%E5%AD%97%E7%AC%AC060897%E8%99%9F ; US label §2.1 https://dailymed.nlm.nih.gov/dailymed/drugInfo.cfm?setid=653f8c75-b5b8-41ea-8b33-5baad1680bda</t>
        </is>
      </c>
      <c r="J241" s="3" t="inlineStr">
        <is>
          <t>Open</t>
        </is>
      </c>
      <c r="K241" s="3" t="inlineStr"/>
    </row>
    <row r="242">
      <c r="A242" s="3" t="n">
        <v>217</v>
      </c>
      <c r="B242" s="3" t="inlineStr">
        <is>
          <t>Myfungin (Micafungin) (MYF02)</t>
        </is>
      </c>
      <c r="C242" s="8" t="inlineStr">
        <is>
          <t>Medium</t>
        </is>
      </c>
      <c r="D242" s="3" t="inlineStr">
        <is>
          <t>Dosing – adult</t>
        </is>
      </c>
      <c r="E242" s="3" t="inlineStr"/>
      <c r="F242" s="3" t="inlineStr">
        <is>
          <t>HSCT prophylaxis 50 mg once daily per all labels</t>
        </is>
      </c>
      <c r="G242" s="3" t="inlineStr">
        <is>
          <t>50–100 mg once daily</t>
        </is>
      </c>
      <c r="H242" s="3" t="inlineStr">
        <is>
          <t>50 mg once daily. TW 表1 says '預防HSCT念珠菌感染 50 mg qd', and US Table 1 and UK SmPC 4.2 also give 50 mg/day; no label gives 100 mg for prophylaxis.</t>
        </is>
      </c>
      <c r="I242" s="3" t="inlineStr">
        <is>
          <t>Taiwan insert 衛部藥製字第060897號 表1 (https://mcp.fda.gov.tw/im_detail_1/%E8%A1%9B%E9%83%A8%E8%97%A5%E8%A3%BD%E5%AD%97%E7%AC%AC060897%E8%99%9F); US label §2.1; UK SmPC 4.2. Hospital value taken from the source brief; my own query of the hospital site returned HTTP 500.</t>
        </is>
      </c>
      <c r="J242" s="3" t="inlineStr">
        <is>
          <t>Open</t>
        </is>
      </c>
      <c r="K242" s="3" t="inlineStr"/>
    </row>
    <row r="243">
      <c r="A243" s="3" t="n">
        <v>214</v>
      </c>
      <c r="B243" s="3" t="inlineStr">
        <is>
          <t>Myfungin (Micafungin) (MYF02)</t>
        </is>
      </c>
      <c r="C243" s="8" t="inlineStr">
        <is>
          <t>Medium</t>
        </is>
      </c>
      <c r="D243" s="3" t="inlineStr">
        <is>
          <t>Dosing – pediatric</t>
        </is>
      </c>
      <c r="E243" s="3" t="inlineStr"/>
      <c r="F243" s="3" t="inlineStr">
        <is>
          <t>Add infants &lt;4 months: 4 mg/kg once daily for candidemia/disseminated candidiasis</t>
        </is>
      </c>
      <c r="G243" s="3" t="inlineStr">
        <is>
          <t>Indications and pediatric dosing listed for ≥4 months only</t>
        </is>
      </c>
      <c r="H243" s="3" t="inlineStr">
        <is>
          <t>Also approved for infants under 4 months: candidemia, disseminated candidiasis and Candida peritonitis/abscesses without meningoencephalitis or ocular dissemination, 4 mg/kg once daily (TW §2, §3.1; US §1, §2.3). UK: 4–10 mg/kg/day including neonates.</t>
        </is>
      </c>
      <c r="I243" s="3" t="inlineStr">
        <is>
          <t>Taiwan insert §2, §3.1, §6.4; US label §1, §2.3, §8.4</t>
        </is>
      </c>
      <c r="J243" s="3" t="inlineStr">
        <is>
          <t>Open</t>
        </is>
      </c>
      <c r="K243" s="3" t="inlineStr"/>
    </row>
    <row r="244">
      <c r="A244" s="3" t="n">
        <v>218</v>
      </c>
      <c r="B244" s="3" t="inlineStr">
        <is>
          <t>Myfungin (Micafungin) (MYF02)</t>
        </is>
      </c>
      <c r="C244" s="8" t="inlineStr">
        <is>
          <t>Medium</t>
        </is>
      </c>
      <c r="D244" s="3" t="inlineStr">
        <is>
          <t>Dosing – pediatric</t>
        </is>
      </c>
      <c r="E244" s="3" t="inlineStr"/>
      <c r="F244" s="3" t="inlineStr">
        <is>
          <t>Add &lt;4 months indications and 4 mg/kg once daily dosing</t>
        </is>
      </c>
      <c r="G244" s="3" t="inlineStr">
        <is>
          <t>Indications and pediatric dosing listed for 4 months and older only</t>
        </is>
      </c>
      <c r="H244" s="3" t="inlineStr">
        <is>
          <t>TW and US also approve candidemia, acute disseminated candidiasis, peritonitis and abscesses without meningoencephalitis or ocular dissemination in infants under 4 months, at 4 mg/kg once daily.</t>
        </is>
      </c>
      <c r="I244" s="3" t="inlineStr">
        <is>
          <t>Taiwan insert 2 適應症, 3.1 未滿4個月的兒童病人劑量; US label §1, §2.3</t>
        </is>
      </c>
      <c r="J244" s="3" t="inlineStr">
        <is>
          <t>Open</t>
        </is>
      </c>
      <c r="K244" s="3" t="inlineStr"/>
    </row>
    <row r="245">
      <c r="A245" s="3" t="n">
        <v>409</v>
      </c>
      <c r="B245" s="3" t="inlineStr">
        <is>
          <t>Pipe Tazo (Piperacillin/Tazobactam) (PIP01, TAP02)</t>
        </is>
      </c>
      <c r="C245" s="8" t="inlineStr">
        <is>
          <t>Medium</t>
        </is>
      </c>
      <c r="D245" s="3" t="inlineStr">
        <is>
          <t>Dosing – pediatric</t>
        </is>
      </c>
      <c r="E245" s="3" t="inlineStr"/>
      <c r="F245" s="3" t="inlineStr">
        <is>
          <t>Restore missing &lt;/&gt; signs in age and CrCl thresholds</t>
        </is>
      </c>
      <c r="G245" s="3" t="inlineStr">
        <is>
          <t>Less-than and greater-than signs are missing, e.g. 'Infants 6 months'.</t>
        </is>
      </c>
      <c r="H245" s="3" t="inlineStr">
        <is>
          <t>Age and CrCl thresholds need their comparison operators (e.g. US: '2 months to 9 months', 'older than 9 months'; CrCl '&gt;40', '&lt;20').</t>
        </is>
      </c>
      <c r="I245" s="3" t="inlineStr">
        <is>
          <t>US FDA label §2.3–2.4 https://dailymed.nlm.nih.gov/dailymed/drugInfo.cfm?setid=a798faf5-cd97-4e35-a700-94c372978c46</t>
        </is>
      </c>
      <c r="J245" s="3" t="inlineStr">
        <is>
          <t>Open</t>
        </is>
      </c>
      <c r="K245" s="3" t="inlineStr"/>
    </row>
    <row r="246">
      <c r="A246" s="3" t="n">
        <v>408</v>
      </c>
      <c r="B246" s="3" t="inlineStr">
        <is>
          <t>Pipe Tazo (Piperacillin/Tazobactam) (PIP01, TAP02)</t>
        </is>
      </c>
      <c r="C246" s="8" t="inlineStr">
        <is>
          <t>Medium</t>
        </is>
      </c>
      <c r="D246" s="3" t="inlineStr">
        <is>
          <t>Indication/coverage</t>
        </is>
      </c>
      <c r="E246" s="3" t="inlineStr"/>
      <c r="F246" s="3" t="inlineStr">
        <is>
          <t>Separate labelled indications from off-label (bite wounds, CF, malignant otitis externa)</t>
        </is>
      </c>
      <c r="G246" s="3" t="inlineStr">
        <is>
          <t>11 Lexicomp-style indications, most marked off-label: bite wounds, gram-negative bacteraemia, cystic fibrosis, malignant otitis externa, neutropenic fever, sepsis, complicated UTI, among others.</t>
        </is>
      </c>
      <c r="H246" s="3" t="inlineStr">
        <is>
          <t>Approved uses: US (IAI, nosocomial pneumonia, SSSI, female pelvic infection, CAP); UK (severe pneumonia/HAP/VAP, cUTI, cIAI, cSSTI, associated bacteraemia, febrile neutropenia); Taiwan (LRTI, UTI, IAI, SSSI, bacterial sepsis, neutropenic infections, polymicrobial). Bite wounds, CF and malignant otitis externa are off-label everywhere.</t>
        </is>
      </c>
      <c r="I246" s="3" t="inlineStr">
        <is>
          <t>US §1; UK SmPC §4.1 https://www.medicines.org.uk/emc/product/8757/smpc; TW insert §2</t>
        </is>
      </c>
      <c r="J246" s="3" t="inlineStr">
        <is>
          <t>Open</t>
        </is>
      </c>
      <c r="K246" s="3" t="inlineStr"/>
    </row>
    <row r="247">
      <c r="A247" s="3" t="n">
        <v>417</v>
      </c>
      <c r="B247" s="3" t="inlineStr">
        <is>
          <t>Pipe Tazo (Piperacillin/Tazobactam) (PIP01, TAP02)</t>
        </is>
      </c>
      <c r="C247" s="8" t="inlineStr">
        <is>
          <t>Medium</t>
        </is>
      </c>
      <c r="D247" s="3" t="inlineStr">
        <is>
          <t>Indication/coverage</t>
        </is>
      </c>
      <c r="E247" s="3" t="inlineStr"/>
      <c r="F247" s="3" t="inlineStr">
        <is>
          <t>Distinguish labelled from off-label indications in adult dosing</t>
        </is>
      </c>
      <c r="G247" s="3" t="inlineStr">
        <is>
          <t>11 indication entries, many off-label (bite wounds, gram-negative bacteremia, cystic fibrosis, malignant otitis externa, neutropenic fever, sepsis, cUTI) and presented alongside labelled ones.</t>
        </is>
      </c>
      <c r="H247" s="3" t="inlineStr">
        <is>
          <t>Approved: FDA §1 (IAI, NP, SSSI, female pelvic, CAP); UK §4.1 (severe pneumonia incl. HAP/VAP, cUTI, cIAI, cSSTI, bacteraemia, neutropenic fever); TW §2. Bite wounds, CF and malignant otitis externa are not labelled anywhere.</t>
        </is>
      </c>
      <c r="I247" s="3" t="inlineStr">
        <is>
          <t>https://dailymed.nlm.nih.gov/dailymed/drugInfo.cfm?setid=a798faf5-cd97-4e35-a700-94c372978c46; https://www.medicines.org.uk/emc/product/8757/smpc</t>
        </is>
      </c>
      <c r="J247" s="3" t="inlineStr">
        <is>
          <t>Open</t>
        </is>
      </c>
      <c r="K247" s="3" t="inlineStr"/>
    </row>
    <row r="248">
      <c r="A248" s="3" t="n">
        <v>83</v>
      </c>
      <c r="B248" s="3" t="inlineStr">
        <is>
          <t>Rapiacta (Peramivir) (RAP02)</t>
        </is>
      </c>
      <c r="C248" s="8" t="inlineStr">
        <is>
          <t>Medium</t>
        </is>
      </c>
      <c r="D248" s="3" t="inlineStr">
        <is>
          <t>Adverse effects</t>
        </is>
      </c>
      <c r="E248" s="3" t="inlineStr"/>
      <c r="F248" s="3" t="inlineStr">
        <is>
          <t>Remove QT prolongation; add serious ADRs: anaphylaxis, leukopenia, hepatic dysfunction, AKI, abnormal behaviour</t>
        </is>
      </c>
      <c r="G248" s="3" t="inlineStr">
        <is>
          <t>Diarrhea, Nausea, Vomiting, Neutropenia, ALT/SGPT level raised, Prolonged QT interval</t>
        </is>
      </c>
      <c r="H248" s="3" t="inlineStr">
        <is>
          <t>Both labels say peramivir did NOT prolong QTc at twice the maximum dose (US §12.2; TW §12.2). The hospital list also leaves out the Taiwan insert's serious ADRs: shock/anaphylaxis, leukopenia, hepatic dysfunction/jaundice, acute renal failure, abnormal behaviour; and proteinuria (2.5%).</t>
        </is>
      </c>
      <c r="I248" s="3" t="inlineStr">
        <is>
          <t>US RAPIVAB §12.2, §6; Taiwan insert v4 §6.2, §12.2</t>
        </is>
      </c>
      <c r="J248" s="3" t="inlineStr">
        <is>
          <t>Open</t>
        </is>
      </c>
      <c r="K248" s="3" t="inlineStr"/>
    </row>
    <row r="249">
      <c r="A249" s="3" t="n">
        <v>86</v>
      </c>
      <c r="B249" s="3" t="inlineStr">
        <is>
          <t>Rapiacta (Peramivir) (RAP02)</t>
        </is>
      </c>
      <c r="C249" s="8" t="inlineStr">
        <is>
          <t>Medium</t>
        </is>
      </c>
      <c r="D249" s="3" t="inlineStr">
        <is>
          <t>Breastfeeding</t>
        </is>
      </c>
      <c r="E249" s="3" t="inlineStr">
        <is>
          <t>LactMed outdated</t>
        </is>
      </c>
      <c r="F249" s="3" t="inlineStr">
        <is>
          <t>Add LactMed view: infant exposure unlikely; alternative preferred for newborns</t>
        </is>
      </c>
      <c r="G249" s="3" t="inlineStr">
        <is>
          <t>Avoid, No data available</t>
        </is>
      </c>
      <c r="H249" s="3" t="inlineStr">
        <is>
          <t>This matches Taiwan insert §8.3 ('投與中應避免哺餵母乳'). LactMed is less restrictive: poor oral absorption makes clinically important infant exposure unlikely, though an alternative (oseltamivir/zanamivir) may be preferred, especially for newborn or preterm infants. Consider citing both.</t>
        </is>
      </c>
      <c r="I249" s="3" t="inlineStr">
        <is>
          <t>Taiwan insert v4 §8.3; LactMed NBK500785 (https://www.ncbi.nlm.nih.gov/books/NBK500785/)</t>
        </is>
      </c>
      <c r="J249" s="3" t="inlineStr">
        <is>
          <t>Open</t>
        </is>
      </c>
      <c r="K249" s="3" t="inlineStr"/>
    </row>
    <row r="250">
      <c r="A250" s="3" t="n">
        <v>74</v>
      </c>
      <c r="B250" s="3" t="inlineStr">
        <is>
          <t>Rapiacta (Peramivir) (RAP02)</t>
        </is>
      </c>
      <c r="C250" s="8" t="inlineStr">
        <is>
          <t>Medium</t>
        </is>
      </c>
      <c r="D250" s="3" t="inlineStr">
        <is>
          <t>Contraindication/warning</t>
        </is>
      </c>
      <c r="E250" s="3" t="inlineStr"/>
      <c r="F250" s="3" t="inlineStr">
        <is>
          <t>Remove cross-allergy to other neuraminidase inhibitors from contraindications</t>
        </is>
      </c>
      <c r="G250" s="3" t="inlineStr">
        <is>
          <t>Lists cross-allergy to oseltamivir/zanamivir.</t>
        </is>
      </c>
      <c r="H250" s="3" t="inlineStr">
        <is>
          <t>The only contraindication is known serious hypersensitivity or anaphylaxis to peramivir or any component. The label states no cross-allergy with other neuraminidase inhibitors.</t>
        </is>
      </c>
      <c r="I250" s="3" t="inlineStr">
        <is>
          <t>DailyMed RAPIVAB §4 https://dailymed.nlm.nih.gov/dailymed/drugInfo.cfm?setid=fe04f6cd-e71c-4bd4-abac-97720bba2a0d</t>
        </is>
      </c>
      <c r="J250" s="3" t="inlineStr">
        <is>
          <t>Open</t>
        </is>
      </c>
      <c r="K250" s="3" t="inlineStr"/>
    </row>
    <row r="251">
      <c r="A251" s="3" t="n">
        <v>82</v>
      </c>
      <c r="B251" s="3" t="inlineStr">
        <is>
          <t>Rapiacta (Peramivir) (RAP02)</t>
        </is>
      </c>
      <c r="C251" s="8" t="inlineStr">
        <is>
          <t>Medium</t>
        </is>
      </c>
      <c r="D251" s="3" t="inlineStr">
        <is>
          <t>Contraindication/warning</t>
        </is>
      </c>
      <c r="E251" s="3" t="inlineStr"/>
      <c r="F251" s="3" t="inlineStr">
        <is>
          <t>Remove NAI cross-allergy contraindication; keep hypersensitivity to peramivir/components</t>
        </is>
      </c>
      <c r="G251" s="3" t="inlineStr">
        <is>
          <t>Severe allergic reaction to any other neuraminidase inhibitor (zanamivir or oseltamivir) or any ingredient in the product</t>
        </is>
      </c>
      <c r="H251" s="3" t="inlineStr">
        <is>
          <t>Taiwan insert §4: only previous hypersensitivity to the product's ingredients. US §4: known serious hypersensitivity or anaphylaxis to peramivir or any product component. Neither label lists cross-allergy to other neuraminidase inhibitors as a contraindication.</t>
        </is>
      </c>
      <c r="I251" s="3" t="inlineStr">
        <is>
          <t>Taiwan insert v4 §4; US RAPIVAB §4</t>
        </is>
      </c>
      <c r="J251" s="3" t="inlineStr">
        <is>
          <t>Open</t>
        </is>
      </c>
      <c r="K251" s="3" t="inlineStr"/>
    </row>
    <row r="252">
      <c r="A252" s="3" t="n">
        <v>85</v>
      </c>
      <c r="B252" s="3" t="inlineStr">
        <is>
          <t>Rapiacta (Peramivir) (RAP02)</t>
        </is>
      </c>
      <c r="C252" s="8" t="inlineStr">
        <is>
          <t>Medium</t>
        </is>
      </c>
      <c r="D252" s="3" t="inlineStr">
        <is>
          <t>Contraindication/warning</t>
        </is>
      </c>
      <c r="E252" s="3" t="inlineStr"/>
      <c r="F252" s="3" t="inlineStr">
        <is>
          <t>Add LFT monitoring soon after start (early hepatic dysfunction/jaundice, TW §5.3)</t>
        </is>
      </c>
      <c r="G252" s="3" t="inlineStr">
        <is>
          <t>Hepatic: 'There are no dosage adjustments provided in the manufacturer's labeling'; no LFT monitoring statement</t>
        </is>
      </c>
      <c r="H252" s="3" t="inlineStr">
        <is>
          <t>No dose adjustment is correct. However, Taiwan insert §5.3 asks for liver function tests right after starting treatment, because hepatic dysfunction or jaundice can appear early (for example the next day).</t>
        </is>
      </c>
      <c r="I252" s="3" t="inlineStr">
        <is>
          <t>Taiwan insert v4 §5.3, §6.2.3</t>
        </is>
      </c>
      <c r="J252" s="3" t="inlineStr">
        <is>
          <t>Open</t>
        </is>
      </c>
      <c r="K252" s="3" t="inlineStr"/>
    </row>
    <row r="253">
      <c r="A253" s="3" t="n">
        <v>77</v>
      </c>
      <c r="B253" s="3" t="inlineStr">
        <is>
          <t>Rapiacta (Peramivir) (RAP02)</t>
        </is>
      </c>
      <c r="C253" s="8" t="inlineStr">
        <is>
          <t>Medium</t>
        </is>
      </c>
      <c r="D253" s="3" t="inlineStr">
        <is>
          <t>Dosing – adult</t>
        </is>
      </c>
      <c r="E253" s="3" t="inlineStr"/>
      <c r="F253" s="3" t="inlineStr">
        <is>
          <t>Note efficacy not established in hospitalized influenza; 600 mg ×5 days off-label</t>
        </is>
      </c>
      <c r="G253" s="3" t="inlineStr">
        <is>
          <t>Hospitalized patients (off-label): 600 mg daily for up to 5 days.</t>
        </is>
      </c>
      <c r="H253" s="3" t="inlineStr">
        <is>
          <t>Efficacy could not be established in serious influenza requiring hospitalization. Study 301 (600 mg daily ×5 days) showed no benefit over standard of care.</t>
        </is>
      </c>
      <c r="I253" s="3" t="inlineStr">
        <is>
          <t>DailyMed RAPIVAB §1, §8.7, §14.3 https://dailymed.nlm.nih.gov/dailymed/drugInfo.cfm?setid=fe04f6cd-e71c-4bd4-abac-97720bba2a0d</t>
        </is>
      </c>
      <c r="J253" s="3" t="inlineStr">
        <is>
          <t>Open</t>
        </is>
      </c>
      <c r="K253" s="3" t="inlineStr"/>
    </row>
    <row r="254">
      <c r="A254" s="3" t="n">
        <v>78</v>
      </c>
      <c r="B254" s="3" t="inlineStr">
        <is>
          <t>Rapiacta (Peramivir) (RAP02)</t>
        </is>
      </c>
      <c r="C254" s="8" t="inlineStr">
        <is>
          <t>Medium</t>
        </is>
      </c>
      <c r="D254" s="3" t="inlineStr">
        <is>
          <t>Dosing – adult</t>
        </is>
      </c>
      <c r="E254" s="3" t="inlineStr"/>
      <c r="F254" s="3" t="inlineStr">
        <is>
          <t>Verify 300 mg dose against TW Rapiacta insert; US approves 600 mg single dose</t>
        </is>
      </c>
      <c r="G254" s="3" t="inlineStr">
        <is>
          <t>300 mg single dose, cited as from the 仿單.</t>
        </is>
      </c>
      <c r="H254" s="3" t="inlineStr">
        <is>
          <t>Cannot be verified: the Taiwan insert was blocked (403). The US label approves only 600 mg (§2.1). The 300 mg arm of Study 621 is not reported as an approved dose.</t>
        </is>
      </c>
      <c r="I254" s="3" t="inlineStr">
        <is>
          <t>DailyMed RAPIVAB §2.1, §14.1; Taiwan insert candidate https://www.shionogi.com/content/dam/shionogi/ts/products/pdf/Rapiacta-INS-081009.pdf (not retrieved)</t>
        </is>
      </c>
      <c r="J254" s="3" t="inlineStr">
        <is>
          <t>Open</t>
        </is>
      </c>
      <c r="K254" s="3" t="inlineStr"/>
    </row>
    <row r="255">
      <c r="A255" s="3" t="n">
        <v>84</v>
      </c>
      <c r="B255" s="3" t="inlineStr">
        <is>
          <t>Rapiacta (Peramivir) (RAP02)</t>
        </is>
      </c>
      <c r="C255" s="8" t="inlineStr">
        <is>
          <t>Medium</t>
        </is>
      </c>
      <c r="D255" s="3" t="inlineStr">
        <is>
          <t>Indication/coverage</t>
        </is>
      </c>
      <c r="E255" s="3" t="inlineStr"/>
      <c r="F255" s="3" t="inlineStr">
        <is>
          <t>Use TW indication: influenza A/B in adults and children ≥1 month; add limitations</t>
        </is>
      </c>
      <c r="G255" s="3" t="inlineStr">
        <is>
          <t>Treatment of acute, uncomplicated influenza in patients ≥6 months of age (US Rapivab wording)</t>
        </is>
      </c>
      <c r="H255" s="3" t="inlineStr">
        <is>
          <t>The label of the stocked product (Rapiacta) covers adults and children ≥1 month of age with acute influenza A and B. Limitations: prophylaxis not established; not effective for influenza C or bacteria; efficacy not established in hospitalized severe influenza.</t>
        </is>
      </c>
      <c r="I255" s="3" t="inlineStr">
        <is>
          <t>Taiwan insert v4 §1</t>
        </is>
      </c>
      <c r="J255" s="3" t="inlineStr">
        <is>
          <t>Open</t>
        </is>
      </c>
      <c r="K255" s="3" t="inlineStr"/>
    </row>
    <row r="256">
      <c r="A256" s="3" t="n">
        <v>425</v>
      </c>
      <c r="B256" s="3" t="inlineStr">
        <is>
          <t>Seforce (ciprofloxacin) (SEF02, CIN02)</t>
        </is>
      </c>
      <c r="C256" s="8" t="inlineStr">
        <is>
          <t>Medium</t>
        </is>
      </c>
      <c r="D256" s="3" t="inlineStr">
        <is>
          <t>Breastfeeding</t>
        </is>
      </c>
      <c r="E256" s="3" t="inlineStr">
        <is>
          <t>LactMed outdated</t>
        </is>
      </c>
      <c r="F256" s="3" t="inlineStr">
        <is>
          <t>Use drug-specific text: LactMed acceptable with infant monitoring; labels advise against</t>
        </is>
      </c>
      <c r="G256" s="3" t="inlineStr">
        <is>
          <t>Quinolones should generally be avoided during breastfeeding</t>
        </is>
      </c>
      <c r="H256" s="3" t="inlineStr">
        <is>
          <t>LactMed says ciprofloxacin is acceptable with infant monitoring for diarrhoea or candidiasis, and that avoiding breastfeeding for 3-4 h after a dose lowers exposure. The labels are stricter: US 8.2 says not recommended during treatment and for 2 days after (pump and discard), and the UK SmPC and Taiwan inserts say do not use. The hospital text matches neither LactMed nor the specific label wording.</t>
        </is>
      </c>
      <c r="I256" s="3" t="inlineStr">
        <is>
          <t>LactMed NBK501583 - https://www.ncbi.nlm.nih.gov/books/NBK501583/; US FDA label 8.2 - https://dailymed.nlm.nih.gov/dailymed/drugInfo.cfm?setid=f406e796-17d9-4465-b8a7-00d966a4ba74</t>
        </is>
      </c>
      <c r="J256" s="3" t="inlineStr">
        <is>
          <t>Open</t>
        </is>
      </c>
      <c r="K256" s="3" t="inlineStr"/>
    </row>
    <row r="257">
      <c r="A257" s="3" t="n">
        <v>431</v>
      </c>
      <c r="B257" s="3" t="inlineStr">
        <is>
          <t>Seforce (ciprofloxacin) (SEF02, CIN02)</t>
        </is>
      </c>
      <c r="C257" s="8" t="inlineStr">
        <is>
          <t>Medium</t>
        </is>
      </c>
      <c r="D257" s="3" t="inlineStr">
        <is>
          <t>Breastfeeding</t>
        </is>
      </c>
      <c r="E257" s="3" t="inlineStr">
        <is>
          <t>LactMed outdated</t>
        </is>
      </c>
      <c r="F257" s="3" t="inlineStr">
        <is>
          <t>Replace class statement with LactMed/ label-specific ciprofloxacin guidance</t>
        </is>
      </c>
      <c r="G257" s="3" t="inlineStr">
        <is>
          <t>Quinolones should generally be avoided during breastfeeding</t>
        </is>
      </c>
      <c r="H257" s="3" t="inlineStr">
        <is>
          <t>LactMed: ciprofloxacin use is acceptable in nursing mothers, with infant monitoring for diarrhoea/candidiasis; avoiding breastfeeding for 3-4 h after a dose reduces exposure. The labels (US 8.2, SmPC 4.6, TW 6.2) say not recommended, so the hospital text matches neither framing. It is a generic class statement, not drug-specific.</t>
        </is>
      </c>
      <c r="I257" s="3" t="inlineStr">
        <is>
          <t>LactMed NBK501583 https://www.ncbi.nlm.nih.gov/books/NBK501583/</t>
        </is>
      </c>
      <c r="J257" s="3" t="inlineStr">
        <is>
          <t>Open</t>
        </is>
      </c>
      <c r="K257" s="3" t="inlineStr"/>
    </row>
    <row r="258">
      <c r="A258" s="3" t="n">
        <v>37</v>
      </c>
      <c r="B258" s="3" t="inlineStr">
        <is>
          <t>Sulampi (Ampicillin/Sulbactam) (SUL05)</t>
        </is>
      </c>
      <c r="C258" s="8" t="inlineStr">
        <is>
          <t>Medium</t>
        </is>
      </c>
      <c r="D258" s="3" t="inlineStr">
        <is>
          <t>Breastfeeding</t>
        </is>
      </c>
      <c r="E258" s="3" t="inlineStr">
        <is>
          <t>LactMed outdated</t>
        </is>
      </c>
      <c r="F258" s="3" t="inlineStr">
        <is>
          <t>Update per LactMed: acceptable in nursing mothers</t>
        </is>
      </c>
      <c r="G258" s="3" t="inlineStr">
        <is>
          <t>The manufacturer recommends that caution be used if administering to breastfeeding patients.</t>
        </is>
      </c>
      <c r="H258" s="3" t="inlineStr">
        <is>
          <t>This matches the US label 'caution', but LactMed (designated source) says the drug is acceptable in nursing mothers. The Taiwan insert says safety is not established.</t>
        </is>
      </c>
      <c r="I258" s="3" t="inlineStr">
        <is>
          <t>LactMed NBK500983 https://www.ncbi.nlm.nih.gov/books/NBK500983/</t>
        </is>
      </c>
      <c r="J258" s="3" t="inlineStr">
        <is>
          <t>Open</t>
        </is>
      </c>
      <c r="K258" s="3" t="inlineStr"/>
    </row>
    <row r="259">
      <c r="A259" s="3" t="n">
        <v>43</v>
      </c>
      <c r="B259" s="3" t="inlineStr">
        <is>
          <t>Sulampi (Ampicillin/Sulbactam) (SUL05)</t>
        </is>
      </c>
      <c r="C259" s="8" t="inlineStr">
        <is>
          <t>Medium</t>
        </is>
      </c>
      <c r="D259" s="3" t="inlineStr">
        <is>
          <t>Dosing – adult</t>
        </is>
      </c>
      <c r="E259" s="3" t="inlineStr"/>
      <c r="F259" s="3" t="inlineStr">
        <is>
          <t>Label high-dose Acinetobacter regimen off-label; combination bridge until sulbactam-durlobactam (IDSA 2026)</t>
        </is>
      </c>
      <c r="G259" s="3" t="inlineStr">
        <is>
          <t>9 g every 8 hours over 4 hours or 27 g/day continuous infusion (no qualifier)</t>
        </is>
      </c>
      <c r="H259" s="3" t="inlineStr">
        <is>
          <t>These doses match IDSA 2026 Table 1 but are off-label. IDSA restricts them to combination therapy with ≥1 other agent, as a temporary bridge until sulbactam-durlobactam (preferred) can be started.</t>
        </is>
      </c>
      <c r="I259" s="3" t="inlineStr">
        <is>
          <t>IDSA 2026 AMR Guidance Q5.1/Q5.2 and Table 1 https://www.idsociety.org/practice-guideline/amr-guidance/</t>
        </is>
      </c>
      <c r="J259" s="3" t="inlineStr">
        <is>
          <t>Open</t>
        </is>
      </c>
      <c r="K259" s="3" t="inlineStr"/>
    </row>
    <row r="260">
      <c r="A260" s="3" t="n">
        <v>40</v>
      </c>
      <c r="B260" s="3" t="inlineStr">
        <is>
          <t>Sulampi (Ampicillin/Sulbactam) (SUL05)</t>
        </is>
      </c>
      <c r="C260" s="8" t="inlineStr">
        <is>
          <t>Medium</t>
        </is>
      </c>
      <c r="D260" s="3" t="inlineStr">
        <is>
          <t>Dosing – renal/dialysis</t>
        </is>
      </c>
      <c r="E260" s="3" t="inlineStr"/>
      <c r="F260" s="3" t="inlineStr">
        <is>
          <t>Restore '≥' sign; specify CrCl ≥30: 1.5–3 g q6–8h</t>
        </is>
      </c>
      <c r="G260" s="3" t="inlineStr">
        <is>
          <t>CrCl [≥]30 mL/minute: No dosage adjustment necessary; 15–29: q12h; 5–14: q24h (the '≥' sign is lost in the page HTML)</t>
        </is>
      </c>
      <c r="H260" s="3" t="inlineStr">
        <is>
          <t>US label: CrCl ≥30 → 1.5–3 g every 6 to 8 hours. The Taiwan insert for this product has no CrCl table and only says to dose less frequently at CrCl ≤30.</t>
        </is>
      </c>
      <c r="I260" s="3" t="inlineStr">
        <is>
          <t>DailyMed UNASYN Impaired Renal Function TABLE 3; Taiwan insert 使用於腎功能障礙患者</t>
        </is>
      </c>
      <c r="J260" s="3" t="inlineStr">
        <is>
          <t>Open</t>
        </is>
      </c>
      <c r="K260" s="3" t="inlineStr"/>
    </row>
    <row r="261">
      <c r="A261" s="3" t="n">
        <v>51</v>
      </c>
      <c r="B261" s="3" t="inlineStr">
        <is>
          <t>Sulampi (Ampicillin/Sulbactam) (SUL05)</t>
        </is>
      </c>
      <c r="C261" s="8" t="inlineStr">
        <is>
          <t>Medium</t>
        </is>
      </c>
      <c r="D261" s="3" t="inlineStr">
        <is>
          <t>Dosing – renal/dialysis</t>
        </is>
      </c>
      <c r="E261" s="3" t="inlineStr"/>
      <c r="F261" s="3" t="inlineStr">
        <is>
          <t>Restore '≥' in CrCl ≥30 row; dose 1.5–3 g q6–8h</t>
        </is>
      </c>
      <c r="G261" s="3" t="inlineStr">
        <is>
          <t>CrCl [≥]30: no dosage adjustment (the '≥' sign is lost in the page HTML)</t>
        </is>
      </c>
      <c r="H261" s="3" t="inlineStr">
        <is>
          <t>FDA Table 3: ≥30 → 1.5–3 g every 6–8 h. The Sulampi insert says to reduce dosing frequency when CrCl ≤30.</t>
        </is>
      </c>
      <c r="I261" s="3" t="inlineStr">
        <is>
          <t>FDA UNASYN Table 3; Sulampi 仿單</t>
        </is>
      </c>
      <c r="J261" s="3" t="inlineStr">
        <is>
          <t>Open</t>
        </is>
      </c>
      <c r="K261" s="3" t="inlineStr"/>
    </row>
    <row r="262">
      <c r="A262" s="3" t="n">
        <v>131</v>
      </c>
      <c r="B262" s="3" t="inlineStr">
        <is>
          <t>Taigexyn (Nemonoxacin) (TAI05, TAI06)</t>
        </is>
      </c>
      <c r="C262" s="8" t="inlineStr">
        <is>
          <t>Medium</t>
        </is>
      </c>
      <c r="D262" s="3" t="inlineStr">
        <is>
          <t>Adverse effects</t>
        </is>
      </c>
      <c r="E262" s="3" t="inlineStr"/>
      <c r="F262" s="3" t="inlineStr">
        <is>
          <t>Add ALT/AST rise, QT prolongation and infusion-site reactions to IV ADR list</t>
        </is>
      </c>
      <c r="G262" s="3" t="inlineStr">
        <is>
          <t>Abdominal pain, diarrhoea, nausea, dizziness, headache, itching, rash, infusion-site pain</t>
        </is>
      </c>
      <c r="H262" s="3" t="inlineStr">
        <is>
          <t>Most common reactions in §8.1 (IV): ALT↑ 5.7%, infusion-site erythema 4.7%, infusion-site pruritus 4.4%, AST↑ 3.9%, QT prolongation 2.1%, WBC↓ 2.0%, infusion-site pain 2.0%, swelling 1.9%, GGT↑ 1.6%, nausea 1.6%. The hospital list matches the oral postmarketing table (§8.3) and leaves out the transaminase rise and QT prolongation.</t>
        </is>
      </c>
      <c r="I262" s="3" t="inlineStr">
        <is>
          <t>TFDA 仿單 衛部藥製字第060558號 §8.1, §8.3 — https://mcp.fda.gov.tw/im_detail_1/%E8%A1%9B%E9%83%A8%E8%97%A5%E8%A3%BD%E5%AD%97%E7%AC%AC060558%E8%99%9F</t>
        </is>
      </c>
      <c r="J262" s="3" t="inlineStr">
        <is>
          <t>Open</t>
        </is>
      </c>
      <c r="K262" s="3" t="inlineStr"/>
    </row>
    <row r="263">
      <c r="A263" s="3" t="n">
        <v>139</v>
      </c>
      <c r="B263" s="3" t="inlineStr">
        <is>
          <t>Taigexyn (Nemonoxacin) (TAI05, TAI06)</t>
        </is>
      </c>
      <c r="C263" s="8" t="inlineStr">
        <is>
          <t>Medium</t>
        </is>
      </c>
      <c r="D263" s="3" t="inlineStr">
        <is>
          <t>Adverse effects</t>
        </is>
      </c>
      <c r="E263" s="3" t="inlineStr"/>
      <c r="F263" s="3" t="inlineStr">
        <is>
          <t>Update IV ADR list: ALT/AST rise, QT prolongation, infusion-site reactions, WBC decrease</t>
        </is>
      </c>
      <c r="G263" s="3" t="inlineStr">
        <is>
          <t>Abdominal pain, diarrhea, nausea, dizziness, headache, itching, rash (藥袋: 輸注部位疼痛、噁心、腹瀉、頭痛、皮疹)</t>
        </is>
      </c>
      <c r="H263" s="3" t="inlineStr">
        <is>
          <t>The most common IV ADRs are ALT↑ 5.7%, infusion-site erythema 4.7%, infusion-site pruritus 4.4%, AST↑ 3.9%, QT prolongation 2.1%, WBC↓ 2.0%, infusion-site pain 2.0% and swelling 1.9%. Abdominal discomfort, rash and itching are postmarketing events at 0.01–0.03%.</t>
        </is>
      </c>
      <c r="I263" s="3" t="inlineStr">
        <is>
          <t>TFDA 仿單 Taigexyn Infusion 8.1, 8.3 — https://mcp.fda.gov.tw/im_detail_1/%E8%A1%9B%E9%83%A8%E8%97%A5%E8%A3%BD%E5%AD%97%E7%AC%AC060558%E8%99%9F</t>
        </is>
      </c>
      <c r="J263" s="3" t="inlineStr">
        <is>
          <t>Open</t>
        </is>
      </c>
      <c r="K263" s="3" t="inlineStr"/>
    </row>
    <row r="264">
      <c r="A264" s="3" t="n">
        <v>130</v>
      </c>
      <c r="B264" s="3" t="inlineStr">
        <is>
          <t>Taigexyn (Nemonoxacin) (TAI05, TAI06)</t>
        </is>
      </c>
      <c r="C264" s="8" t="inlineStr">
        <is>
          <t>Medium</t>
        </is>
      </c>
      <c r="D264" s="3" t="inlineStr">
        <is>
          <t>Dosing – adult</t>
        </is>
      </c>
      <c r="E264" s="3" t="inlineStr"/>
      <c r="F264" s="3" t="inlineStr">
        <is>
          <t>Add recommended treatment duration 7–14 days</t>
        </is>
      </c>
      <c r="G264" s="3" t="inlineStr">
        <is>
          <t>500 mg once daily over at least 90 minutes; no duration given</t>
        </is>
      </c>
      <c r="H264" s="3" t="inlineStr">
        <is>
          <t>Recommended course is 7–14 days</t>
        </is>
      </c>
      <c r="I264" s="3" t="inlineStr">
        <is>
          <t>TFDA 仿單 衛部藥製字第060558號 §3.1 — https://mcp.fda.gov.tw/im_detail_1/%E8%A1%9B%E9%83%A8%E8%97%A5%E8%A3%BD%E5%AD%97%E7%AC%AC060558%E8%99%9F</t>
        </is>
      </c>
      <c r="J264" s="3" t="inlineStr">
        <is>
          <t>Open</t>
        </is>
      </c>
      <c r="K264" s="3" t="inlineStr"/>
    </row>
    <row r="265">
      <c r="A265" s="3" t="n">
        <v>138</v>
      </c>
      <c r="B265" s="3" t="inlineStr">
        <is>
          <t>Taigexyn (Nemonoxacin) (TAI05, TAI06)</t>
        </is>
      </c>
      <c r="C265" s="8" t="inlineStr">
        <is>
          <t>Medium</t>
        </is>
      </c>
      <c r="D265" s="3" t="inlineStr">
        <is>
          <t>Dosing – adult</t>
        </is>
      </c>
      <c r="E265" s="3" t="inlineStr"/>
      <c r="F265" s="3" t="inlineStr">
        <is>
          <t>Add treatment duration 7–14 days to TAI06 dosing</t>
        </is>
      </c>
      <c r="G265" s="3" t="inlineStr">
        <is>
          <t>500 mg once daily, infused over at least 90 min. No treatment duration is given.</t>
        </is>
      </c>
      <c r="H265" s="3" t="inlineStr">
        <is>
          <t>Recommended treatment duration is 7–14 days (建議的治療時間是連續使用7至14天)</t>
        </is>
      </c>
      <c r="I265" s="3" t="inlineStr">
        <is>
          <t>TFDA 仿單 Taigexyn Infusion 3.1 — https://mcp.fda.gov.tw/im_detail_1/%E8%A1%9B%E9%83%A8%E8%97%A5%E8%A3%BD%E5%AD%97%E7%AC%AC060558%E8%99%9F</t>
        </is>
      </c>
      <c r="J265" s="3" t="inlineStr">
        <is>
          <t>Open</t>
        </is>
      </c>
      <c r="K265" s="3" t="inlineStr"/>
    </row>
    <row r="266">
      <c r="A266" s="3" t="n">
        <v>141</v>
      </c>
      <c r="B266" s="3" t="inlineStr">
        <is>
          <t>Taigexyn (Nemonoxacin) (TAI05, TAI06)</t>
        </is>
      </c>
      <c r="C266" s="8" t="inlineStr">
        <is>
          <t>Medium</t>
        </is>
      </c>
      <c r="D266" s="3" t="inlineStr">
        <is>
          <t>Dosing – hepatic</t>
        </is>
      </c>
      <c r="E266" s="3" t="inlineStr"/>
      <c r="F266" s="3" t="inlineStr">
        <is>
          <t>State safety/efficacy not established in any hepatic impairment, not only hepatic failure</t>
        </is>
      </c>
      <c r="G266" s="3" t="inlineStr">
        <is>
          <t>'No adequate and well-controlled studies… in patient with hepatic failure'</t>
        </is>
      </c>
      <c r="H266" s="3" t="inlineStr">
        <is>
          <t>Safety and efficacy are not established in 肝功能不全 (any hepatic impairment, not only hepatic failure)</t>
        </is>
      </c>
      <c r="I266" s="3" t="inlineStr">
        <is>
          <t>TFDA 仿單 3.3 — https://mcp.fda.gov.tw/im_detail_1/%E8%A1%9B%E9%83%A8%E8%97%A5%E8%A3%BD%E5%AD%97%E7%AC%AC058540%E8%99%9F</t>
        </is>
      </c>
      <c r="J266" s="3" t="inlineStr">
        <is>
          <t>Open</t>
        </is>
      </c>
      <c r="K266" s="3" t="inlineStr"/>
    </row>
    <row r="267">
      <c r="A267" s="3" t="n">
        <v>199</v>
      </c>
      <c r="B267" s="3" t="inlineStr">
        <is>
          <t>UFO (Fosfomycin) (UFO02)</t>
        </is>
      </c>
      <c r="C267" s="8" t="inlineStr">
        <is>
          <t>Medium</t>
        </is>
      </c>
      <c r="D267" s="3" t="inlineStr">
        <is>
          <t>Adverse effects</t>
        </is>
      </c>
      <c r="E267" s="3" t="inlineStr"/>
      <c r="F267" s="3" t="inlineStr">
        <is>
          <t>Replace oral ADRs with IV: hypernatraemia, hypokalaemia, phlebitis, neutropenia, LFT rise, seizures</t>
        </is>
      </c>
      <c r="G267" s="3" t="inlineStr">
        <is>
          <t>Oral-sachet trial AEs: diarrhoea, headache, dysmenorrhoea, vaginitis, back pain, etc.; bag label '腹瀉、腹痛、頭痛'</t>
        </is>
      </c>
      <c r="H267" s="3" t="inlineStr">
        <is>
          <t>IV: hypernatraemia, hypokalaemia, injection-site phlebitis, dysgeusia, erythematous rash (common); neutropenia/agranulocytosis; raised LFTs; seizures at high dose; QT prolongation (US)</t>
        </is>
      </c>
      <c r="I267" s="3" t="inlineStr">
        <is>
          <t>Taiwan insert §5.1, §8.1; UK SmPC §4.4, §4.8; US Contepo §5</t>
        </is>
      </c>
      <c r="J267" s="3" t="inlineStr">
        <is>
          <t>Open</t>
        </is>
      </c>
      <c r="K267" s="3" t="inlineStr"/>
    </row>
    <row r="268">
      <c r="A268" s="3" t="n">
        <v>210</v>
      </c>
      <c r="B268" s="3" t="inlineStr">
        <is>
          <t>UFO (Fosfomycin) (UFO02)</t>
        </is>
      </c>
      <c r="C268" s="8" t="inlineStr">
        <is>
          <t>Medium</t>
        </is>
      </c>
      <c r="D268" s="3" t="inlineStr">
        <is>
          <t>Adverse effects</t>
        </is>
      </c>
      <c r="E268" s="3" t="inlineStr"/>
      <c r="F268" s="3" t="inlineStr">
        <is>
          <t>Replace oral ADR profile with IV-specific ADRs incl. electrolyte disturbances</t>
        </is>
      </c>
      <c r="G268" s="3" t="inlineStr">
        <is>
          <t>Oral-sachet adverse-event profile (diarrhoea 9–10%, nausea, backache, rhinitis, pharyngitis, etc.)</t>
        </is>
      </c>
      <c r="H268" s="3" t="inlineStr">
        <is>
          <t>IV-specific: hypernatraemia and hypokalaemia (common), injection-site phlebitis, dysgeusia, erythematous rash, neutropenia or agranulocytosis, raised LFTs, seizures at high dose. QT prolongation per US CONTEPO.</t>
        </is>
      </c>
      <c r="I268" s="3" t="inlineStr">
        <is>
          <t>Taiwan insert UFO §5.1, §8.1; UK SmPC §4.8; US CONTEPO §5.2</t>
        </is>
      </c>
      <c r="J268" s="3" t="inlineStr">
        <is>
          <t>Open</t>
        </is>
      </c>
      <c r="K268" s="3" t="inlineStr"/>
    </row>
    <row r="269">
      <c r="A269" s="3" t="n">
        <v>201</v>
      </c>
      <c r="B269" s="3" t="inlineStr">
        <is>
          <t>UFO (Fosfomycin) (UFO02)</t>
        </is>
      </c>
      <c r="C269" s="8" t="inlineStr">
        <is>
          <t>Medium</t>
        </is>
      </c>
      <c r="D269" s="3" t="inlineStr">
        <is>
          <t>Breastfeeding</t>
        </is>
      </c>
      <c r="E269" s="3" t="inlineStr">
        <is>
          <t>LactMed outdated</t>
        </is>
      </c>
      <c r="F269" s="3" t="inlineStr">
        <is>
          <t>Update lactation: LactMed low levels, adverse effects unlikely; TW not first choice</t>
        </is>
      </c>
      <c r="G269" s="3" t="inlineStr">
        <is>
          <t>Infant risk cannot be ruled out.</t>
        </is>
      </c>
      <c r="H269" s="3" t="inlineStr">
        <is>
          <t>LactMed: low milk levels and poor infant absorption, unlikely to cause adverse effects. Taiwan/UK: small amounts in milk, not first choice. US Contepo: avoid breastfeeding during treatment and for 24 h after.</t>
        </is>
      </c>
      <c r="I269" s="3" t="inlineStr">
        <is>
          <t>LactMed NBK501353 — https://www.ncbi.nlm.nih.gov/books/NBK501353/; Taiwan insert §6.2</t>
        </is>
      </c>
      <c r="J269" s="3" t="inlineStr">
        <is>
          <t>Open</t>
        </is>
      </c>
      <c r="K269" s="3" t="inlineStr"/>
    </row>
    <row r="270">
      <c r="A270" s="3" t="n">
        <v>211</v>
      </c>
      <c r="B270" s="3" t="inlineStr">
        <is>
          <t>UFO (Fosfomycin) (UFO02)</t>
        </is>
      </c>
      <c r="C270" s="8" t="inlineStr">
        <is>
          <t>Medium</t>
        </is>
      </c>
      <c r="D270" s="3" t="inlineStr">
        <is>
          <t>Breastfeeding</t>
        </is>
      </c>
      <c r="E270" s="3" t="inlineStr">
        <is>
          <t>LactMed outdated</t>
        </is>
      </c>
      <c r="F270" s="3" t="inlineStr">
        <is>
          <t>Update lactation per LactMed/TW: low levels, unlikely harm, not first choice</t>
        </is>
      </c>
      <c r="G270" s="3" t="inlineStr">
        <is>
          <t>Infant risk cannot be ruled out</t>
        </is>
      </c>
      <c r="H270" s="3" t="inlineStr">
        <is>
          <t>Small amounts pass into milk; not a first choice for breastfeeding women (Taiwan/UK labels). LactMed: low levels, poorly absorbed, adverse effects unlikely.</t>
        </is>
      </c>
      <c r="I270" s="3" t="inlineStr">
        <is>
          <t>Taiwan insert UFO §6.2; LactMed NBK501353 https://www.ncbi.nlm.nih.gov/books/NBK501353/</t>
        </is>
      </c>
      <c r="J270" s="3" t="inlineStr">
        <is>
          <t>Open</t>
        </is>
      </c>
      <c r="K270" s="3" t="inlineStr"/>
    </row>
    <row r="271">
      <c r="A271" s="3" t="n">
        <v>195</v>
      </c>
      <c r="B271" s="3" t="inlineStr">
        <is>
          <t>UFO (Fosfomycin) (UFO02)</t>
        </is>
      </c>
      <c r="C271" s="8" t="inlineStr">
        <is>
          <t>Medium</t>
        </is>
      </c>
      <c r="D271" s="3" t="inlineStr">
        <is>
          <t>Indication/coverage</t>
        </is>
      </c>
      <c r="E271" s="3" t="inlineStr"/>
      <c r="F271" s="3" t="inlineStr">
        <is>
          <t>Replace oral-sachet cystitis indication with IV UFO indications per TW insert</t>
        </is>
      </c>
      <c r="G271" s="3" t="inlineStr">
        <is>
          <t>Cystitis, acute uncomplicated in women due to E. coli and E. faecalis (US oral sachet text)</t>
        </is>
      </c>
      <c r="H271" s="3" t="inlineStr">
        <is>
          <t>IV UFO: cUTI, endocarditis, bone/joint, HAP/VAP, cSSTI, bacterial meningitis, cIAI and associated bacteraemia, for infections not suitable for treatment with another antibiotic alone</t>
        </is>
      </c>
      <c r="I271" s="3" t="inlineStr">
        <is>
          <t>Taiwan insert §2 — https://mcp.fda.gov.tw/im_detail_1/%E8%A1%9B%E7%BD%B2%E8%97%A5%E8%A3%BD%E5%AD%97%E7%AC%AC035049%E8%99%9F</t>
        </is>
      </c>
      <c r="J271" s="3" t="inlineStr">
        <is>
          <t>Open</t>
        </is>
      </c>
      <c r="K271" s="3" t="inlineStr"/>
    </row>
    <row r="272">
      <c r="A272" s="3" t="n">
        <v>205</v>
      </c>
      <c r="B272" s="3" t="inlineStr">
        <is>
          <t>UFO (Fosfomycin) (UFO02)</t>
        </is>
      </c>
      <c r="C272" s="8" t="inlineStr">
        <is>
          <t>Medium</t>
        </is>
      </c>
      <c r="D272" s="3" t="inlineStr">
        <is>
          <t>Indication/coverage</t>
        </is>
      </c>
      <c r="E272" s="3" t="inlineStr"/>
      <c r="F272" s="3" t="inlineStr">
        <is>
          <t>Replace oral cystitis indication with IV UFO indications</t>
        </is>
      </c>
      <c r="G272" s="3" t="inlineStr">
        <is>
          <t>Acute uncomplicated cystitis in women due to E. coli and E. faecalis (this is the US oral sachet indication)</t>
        </is>
      </c>
      <c r="H272" s="3" t="inlineStr">
        <is>
          <t>IV fosfomycin is for infections not suitable for treatment with another antibiotic alone: cUTI, infective endocarditis, bone and joint infection, HAP/VAP, cSSTI, bacterial meningitis, cIAI, and related bacteraemia</t>
        </is>
      </c>
      <c r="I272" s="3" t="inlineStr">
        <is>
          <t>Taiwan insert UFO §2 https://mcp.fda.gov.tw/im_detail_1/%E8%A1%9B%E7%BD%B2%E8%97%A5%E8%A3%BD%E5%AD%97%E7%AC%AC035049%E8%99%9F</t>
        </is>
      </c>
      <c r="J272" s="3" t="inlineStr">
        <is>
          <t>Open</t>
        </is>
      </c>
      <c r="K272" s="3" t="inlineStr"/>
    </row>
    <row r="273">
      <c r="A273" s="3" t="n">
        <v>435</v>
      </c>
      <c r="B273" s="3" t="inlineStr">
        <is>
          <t>Vancomycin (UVA01)</t>
        </is>
      </c>
      <c r="C273" s="8" t="inlineStr">
        <is>
          <t>Medium</t>
        </is>
      </c>
      <c r="D273" s="3" t="inlineStr">
        <is>
          <t>Breastfeeding</t>
        </is>
      </c>
      <c r="E273" s="3" t="inlineStr">
        <is>
          <t>LactMed outdated</t>
        </is>
      </c>
      <c r="F273" s="3" t="inlineStr">
        <is>
          <t>Replace 'not recommended': LactMed no special precautions; labels use caution</t>
        </is>
      </c>
      <c r="G273" s="3" t="inlineStr">
        <is>
          <t>Enters breast milk / not recommended</t>
        </is>
      </c>
      <c r="H273" s="3" t="inlineStr">
        <is>
          <t>LactMed says milk levels are low and oral absorption is poor, so no special precautions are required. The labels (FDA, SmPC, 仿單) say vancomycin is excreted in milk and to use caution, and the SmPC adds that infant GI absorption is unlikely. No source says 'not recommended'.</t>
        </is>
      </c>
      <c r="I273" s="3" t="inlineStr">
        <is>
          <t>LactMed NBK501263 https://www.ncbi.nlm.nih.gov/books/NBK501263/ ; UK SmPC 4.6 https://www.medicines.org.uk/emc/product/15737/smpc ; Taiwan 仿單 6.2</t>
        </is>
      </c>
      <c r="J273" s="3" t="inlineStr">
        <is>
          <t>Open</t>
        </is>
      </c>
      <c r="K273" s="3" t="inlineStr"/>
    </row>
    <row r="274">
      <c r="A274" s="3" t="n">
        <v>441</v>
      </c>
      <c r="B274" s="3" t="inlineStr">
        <is>
          <t>Vancomycin (UVA01)</t>
        </is>
      </c>
      <c r="C274" s="8" t="inlineStr">
        <is>
          <t>Medium</t>
        </is>
      </c>
      <c r="D274" s="3" t="inlineStr">
        <is>
          <t>Breastfeeding</t>
        </is>
      </c>
      <c r="E274" s="3" t="inlineStr">
        <is>
          <t>LactMed outdated</t>
        </is>
      </c>
      <c r="F274" s="3" t="inlineStr">
        <is>
          <t>Replace 'not recommended' with LactMed: no special precautions</t>
        </is>
      </c>
      <c r="G274" s="3" t="inlineStr">
        <is>
          <t>Enters breast milk / not recommended</t>
        </is>
      </c>
      <c r="H274" s="3" t="inlineStr">
        <is>
          <t>LactMed: low milk levels and poor oral absorption, 'No special precautions are required'. Taiwan insert and US label: excreted in milk, use with caution, decide between stopping nursing or stopping the drug. UK: infant unlikely to absorb a significant amount. None of them says 'not recommended'.</t>
        </is>
      </c>
      <c r="I274" s="3" t="inlineStr">
        <is>
          <t>LactMed NBK501263 https://www.ncbi.nlm.nih.gov/books/NBK501263/; Taiwan insert 6.2 https://mcp.fda.gov.tw/im_detail_1/%E8%A1%9B%E7%BD%B2%E8%97%A5%E8%A3%BD%E5%AD%97%E7%AC%AC041443%E8%99%9F; UK SmPC 4.6</t>
        </is>
      </c>
      <c r="J274" s="3" t="inlineStr">
        <is>
          <t>Open</t>
        </is>
      </c>
      <c r="K274" s="3" t="inlineStr"/>
    </row>
    <row r="275">
      <c r="A275" s="3" t="n">
        <v>439</v>
      </c>
      <c r="B275" s="3" t="inlineStr">
        <is>
          <t>Vancomycin (UVA01)</t>
        </is>
      </c>
      <c r="C275" s="8" t="inlineStr">
        <is>
          <t>Medium</t>
        </is>
      </c>
      <c r="D275" s="3" t="inlineStr">
        <is>
          <t>Dosing – pediatric</t>
        </is>
      </c>
      <c r="E275" s="3" t="inlineStr"/>
      <c r="F275" s="3" t="inlineStr">
        <is>
          <t>Label: 10 mg/kg q6h (40 mg/kg/day; UK up to 60); q6h only; AUC 400–600 per ASHP</t>
        </is>
      </c>
      <c r="G275" s="3" t="inlineStr">
        <is>
          <t>45-60 mg/kg/day divided q6-8h, AUC24 target 400</t>
        </is>
      </c>
      <c r="H275" s="3" t="inlineStr">
        <is>
          <t>FDA and 仿單: 10 mg/kg q6h (40 mg/kg/day); neonates 15 mg/kg then 10 mg/kg q12h (week 1) then q8h. SmPC: 10-15 mg/kg q6h (40-60 mg/kg/day), and doses above 60 mg/kg/day not generally recommended. ASHP 2020 gives an AUC target of 400-600, not a single value of 400, and 'q8h' is not a labelled interval for children. This is minor, and I took the hospital values from the source brief without opening the hospital page myself.</t>
        </is>
      </c>
      <c r="I275" s="3" t="inlineStr">
        <is>
          <t>US FDA D&amp;A ; UK SmPC 4.2/4.4 ; Taiwan 仿單 3.1 ; Rybak 2020 PMID 32191793 https://pubmed.ncbi.nlm.nih.gov/32191793/</t>
        </is>
      </c>
      <c r="J275" s="3" t="inlineStr">
        <is>
          <t>Open</t>
        </is>
      </c>
      <c r="K275" s="3" t="inlineStr"/>
    </row>
    <row r="276">
      <c r="A276" s="3" t="n">
        <v>445</v>
      </c>
      <c r="B276" s="3" t="inlineStr">
        <is>
          <t>Vancomycin (UVA01)</t>
        </is>
      </c>
      <c r="C276" s="8" t="inlineStr">
        <is>
          <t>Medium</t>
        </is>
      </c>
      <c r="D276" s="3" t="inlineStr">
        <is>
          <t>Dosing – pediatric</t>
        </is>
      </c>
      <c r="E276" s="3" t="inlineStr"/>
      <c r="F276" s="3" t="inlineStr">
        <is>
          <t>Pediatric: 10–15 mg/kg q6h (40–60 mg/kg/day); remove q8h; cite AUC 400–600 to ASHP</t>
        </is>
      </c>
      <c r="G276" s="3" t="inlineStr">
        <is>
          <t>45-60 mg/kg/day divided q6-8h, AUC24 target 400</t>
        </is>
      </c>
      <c r="H276" s="3" t="inlineStr">
        <is>
          <t>Taiwan insert/US: 10 mg/kg q6h (40 mg/kg/day); UK: 10-15 mg/kg q6h (40-60 mg/kg/day, q6h only) and &gt;60 mg/kg/day not generally recommended. No label uses q8h for children past the neonatal period. AUC 400-600 is from the ASHP 2020 guideline, not a label.</t>
        </is>
      </c>
      <c r="I276" s="3" t="inlineStr">
        <is>
          <t>Taiwan insert 3.1; UK SmPC 4.2/4.4; ASHP 2020 (PMID 32191793)</t>
        </is>
      </c>
      <c r="J276" s="3" t="inlineStr">
        <is>
          <t>Open</t>
        </is>
      </c>
      <c r="K276" s="3" t="inlineStr"/>
    </row>
    <row r="277">
      <c r="A277" s="3" t="n">
        <v>18</v>
      </c>
      <c r="B277" s="3" t="inlineStr">
        <is>
          <t>Vfend (Voriconazole) (VFE01, VFE02, VOR03)</t>
        </is>
      </c>
      <c r="C277" s="8" t="inlineStr">
        <is>
          <t>Medium</t>
        </is>
      </c>
      <c r="D277" s="3" t="inlineStr">
        <is>
          <t>Contraindication/warning</t>
        </is>
      </c>
      <c r="E277" s="3" t="inlineStr"/>
      <c r="F277" s="3" t="inlineStr">
        <is>
          <t>Limit contraindication to voriconazole/excipients; other-azole hypersensitivity is a caution</t>
        </is>
      </c>
      <c r="G277" s="3" t="inlineStr">
        <is>
          <t>Hypersensitivity to voriconazole 'or other azoles' is a contraindication</t>
        </is>
      </c>
      <c r="H277" s="3" t="inlineStr">
        <is>
          <t>The contraindication covers voriconazole or its excipients only. US: no information on cross-sensitivity with other azoles. UK/TW: use caution in patients hypersensitive to other azoles; this is a warning, not a contraindication.</t>
        </is>
      </c>
      <c r="I277" s="3" t="inlineStr">
        <is>
          <t>US label 4; UK SmPC 4.3/4.4 Hypersensitivity; TW insert 4 禁忌 / 5.1 過敏</t>
        </is>
      </c>
      <c r="J277" s="3" t="inlineStr">
        <is>
          <t>Open</t>
        </is>
      </c>
      <c r="K277" s="3" t="inlineStr"/>
    </row>
    <row r="278">
      <c r="A278" s="3" t="n">
        <v>27</v>
      </c>
      <c r="B278" s="3" t="inlineStr">
        <is>
          <t>Vfend (Voriconazole) (VFE01, VFE02, VOR03)</t>
        </is>
      </c>
      <c r="C278" s="8" t="inlineStr">
        <is>
          <t>Medium</t>
        </is>
      </c>
      <c r="D278" s="3" t="inlineStr">
        <is>
          <t>Contraindication/warning</t>
        </is>
      </c>
      <c r="E278" s="3" t="inlineStr"/>
      <c r="F278" s="3" t="inlineStr">
        <is>
          <t>Restrict hypersensitivity contraindication to voriconazole/excipients; other azoles as caution</t>
        </is>
      </c>
      <c r="G278" s="3" t="inlineStr">
        <is>
          <t>'Hypersensitivity to voriconazole or other azoles'</t>
        </is>
      </c>
      <c r="H278" s="3" t="inlineStr">
        <is>
          <t>Only hypersensitivity to voriconazole or its excipients is a contraindication. For other azoles, UK §4.4 and TW §5.1 say use caution, and the US label says there is no information on cross-sensitivity. The hospital turns a precaution into a contraindication.</t>
        </is>
      </c>
      <c r="I278" s="3" t="inlineStr">
        <is>
          <t>US FDA label §4; UK SmPC §4.3/§4.4; Taiwan 仿單 §4/§5.1</t>
        </is>
      </c>
      <c r="J278" s="3" t="inlineStr">
        <is>
          <t>Open</t>
        </is>
      </c>
      <c r="K278" s="3" t="inlineStr"/>
    </row>
    <row r="279">
      <c r="A279" s="3" t="n">
        <v>22</v>
      </c>
      <c r="B279" s="3" t="inlineStr">
        <is>
          <t>Vfend (Voriconazole) (VFE01, VFE02, VOR03)</t>
        </is>
      </c>
      <c r="C279" s="8" t="inlineStr">
        <is>
          <t>Medium</t>
        </is>
      </c>
      <c r="D279" s="3" t="inlineStr">
        <is>
          <t>Dosing – adult</t>
        </is>
      </c>
      <c r="E279" s="3" t="inlineStr"/>
      <c r="F279" s="3" t="inlineStr">
        <is>
          <t>Remove '≥6 months' aspergillosis duration; minimum 6–12 weeks (IDSA), reassess &gt;180 days</t>
        </is>
      </c>
      <c r="G279" s="3" t="inlineStr">
        <is>
          <t>'duration ≥6 months'</t>
        </is>
      </c>
      <c r="H279" s="3" t="inlineStr">
        <is>
          <t>No label sets a minimum of 6 months. UK: treatment as short as possible; exposure beyond 180 days needs a benefit-risk assessment. IDSA 2016: treat IPA for a minimum of 6–12 weeks.</t>
        </is>
      </c>
      <c r="I279" s="3" t="inlineStr">
        <is>
          <t>UK SmPC 4.2 Duration of treatment / 4.4 Long-term treatment; IDSA 2016 aspergillosis guideline https://www.idsociety.org/practice-guideline/aspergillosis/ (PMID 27365388)</t>
        </is>
      </c>
      <c r="J279" s="3" t="inlineStr">
        <is>
          <t>Open</t>
        </is>
      </c>
      <c r="K279" s="3" t="inlineStr"/>
    </row>
    <row r="280">
      <c r="A280" s="3" t="n">
        <v>30</v>
      </c>
      <c r="B280" s="3" t="inlineStr">
        <is>
          <t>Vfend (Voriconazole) (VFE01, VFE02, VOR03)</t>
        </is>
      </c>
      <c r="C280" s="8" t="inlineStr">
        <is>
          <t>Medium</t>
        </is>
      </c>
      <c r="D280" s="3" t="inlineStr">
        <is>
          <t>Dosing – adult</t>
        </is>
      </c>
      <c r="E280" s="3" t="inlineStr"/>
      <c r="F280" s="3" t="inlineStr">
        <is>
          <t>Delete ≥6-month minimum; cite IDSA 6–12 weeks and UK &gt;180-day benefit-risk review</t>
        </is>
      </c>
      <c r="G280" s="3" t="inlineStr">
        <is>
          <t>'6 mg/kg twice daily for 2 doses, then 4 mg/kg twice daily; duration ≥6 months'</t>
        </is>
      </c>
      <c r="H280" s="3" t="inlineStr">
        <is>
          <t>No label gives a minimum of 6 months. UK §4.4 says IV treatment should be no longer than 6 months, and exposure over 180 days needs a benefit–risk assessment. IDSA 2016 recommends a minimum of 6–12 weeks.</t>
        </is>
      </c>
      <c r="I280" s="3" t="inlineStr">
        <is>
          <t>UK SmPC §4.2/§4.4 https://www.medicines.org.uk/emc/product/7976/smpc; IDSA Aspergillosis 2016 https://www.idsociety.org/practice-guideline/aspergillosis/</t>
        </is>
      </c>
      <c r="J280" s="3" t="inlineStr">
        <is>
          <t>Open</t>
        </is>
      </c>
      <c r="K280" s="3" t="inlineStr"/>
    </row>
    <row r="281">
      <c r="A281" s="3" t="n">
        <v>29</v>
      </c>
      <c r="B281" s="3" t="inlineStr">
        <is>
          <t>Vfend (Voriconazole) (VFE01, VFE02, VOR03)</t>
        </is>
      </c>
      <c r="C281" s="8" t="inlineStr">
        <is>
          <t>Medium</t>
        </is>
      </c>
      <c r="D281" s="3" t="inlineStr">
        <is>
          <t>Dosing – renal/dialysis</t>
        </is>
      </c>
      <c r="E281" s="3" t="inlineStr"/>
      <c r="F281" s="3" t="inlineStr">
        <is>
          <t>State IV should be avoided when CrCl &lt;50 (SBECD) unless justified; monitor SCr; remove 'no adjustment'</t>
        </is>
      </c>
      <c r="G281" s="3" t="inlineStr">
        <is>
          <t>For CrCl &lt;50, the brief records 'no dosage adjustment necessary' with oral voriconazole or alternative antifungals preferred. The scraped page text lost the '&lt;50' clause, so I confirmed the 'preferred' wording but not 'no dosage adjustment'. For CRRT/PIRRT, oral or an alternative is preferred.</t>
        </is>
      </c>
      <c r="H281" s="3" t="inlineStr">
        <is>
          <t>Taiwan and UK: SBECD accumulates, so give oral unless the benefit/risk assessment justifies IV, and monitor SCr closely. US: avoid IV when CrCl &lt;50. All three labels say a dosing change is needed, so 'no adjustment' understates this. CRRT is not in any label. Kiser 2015 (PMID 25645660) found CVVH clears SBECD and standard IV doses can be used.</t>
        </is>
      </c>
      <c r="I281" s="3" t="inlineStr">
        <is>
          <t>Taiwan 仿單 §3.3; UK SmPC (IV) §4.2; US §2.6; Kiser 2015 https://pubmed.ncbi.nlm.nih.gov/25645660/</t>
        </is>
      </c>
      <c r="J281" s="3" t="inlineStr">
        <is>
          <t>Open</t>
        </is>
      </c>
      <c r="K281" s="3" t="inlineStr"/>
    </row>
    <row r="282">
      <c r="A282" s="3" t="n">
        <v>20</v>
      </c>
      <c r="B282" s="3" t="inlineStr">
        <is>
          <t>Vfend (Voriconazole) (VFE01, VFE02, VOR03)</t>
        </is>
      </c>
      <c r="C282" s="8" t="inlineStr">
        <is>
          <t>Medium</t>
        </is>
      </c>
      <c r="D282" s="3" t="inlineStr">
        <is>
          <t>Drug interaction</t>
        </is>
      </c>
      <c r="E282" s="3" t="inlineStr"/>
      <c r="F282" s="3" t="inlineStr">
        <is>
          <t>Qualify: contraindicated only efavirenz ≥400 mg/day and ritonavir ≥400 mg q12h; efavirenz 300 mg allowed</t>
        </is>
      </c>
      <c r="G282" s="3" t="inlineStr">
        <is>
          <t>Lists 'ritonavir, efavirenz' as contraindicated with no dose qualifier</t>
        </is>
      </c>
      <c r="H282" s="3" t="inlineStr">
        <is>
          <t>Only efavirenz ≥400 mg once daily and high-dose ritonavir (400 mg q12h or more) are contraindicated. Efavirenz 300 mg/day can be given with voriconazole 400 mg PO q12h. Low-dose ritonavir should be avoided unless benefit/risk justifies it.</t>
        </is>
      </c>
      <c r="I282" s="3" t="inlineStr">
        <is>
          <t>US label 4 and Table 10; UK SmPC 4.3/4.4; TW insert 4 禁忌</t>
        </is>
      </c>
      <c r="J282" s="3" t="inlineStr">
        <is>
          <t>Open</t>
        </is>
      </c>
      <c r="K282" s="3" t="inlineStr"/>
    </row>
    <row r="283">
      <c r="A283" s="3" t="n">
        <v>33</v>
      </c>
      <c r="B283" s="3" t="inlineStr">
        <is>
          <t>Vfend (Voriconazole) (VFE01, VFE02, VOR03)</t>
        </is>
      </c>
      <c r="C283" s="8" t="inlineStr">
        <is>
          <t>Medium</t>
        </is>
      </c>
      <c r="D283" s="3" t="inlineStr">
        <is>
          <t>Indication/coverage</t>
        </is>
      </c>
      <c r="E283" s="3" t="inlineStr"/>
      <c r="F283" s="3" t="inlineStr">
        <is>
          <t>Add prophylaxis of invasive fungal infection in high-risk allogeneic HSCT recipients</t>
        </is>
      </c>
      <c r="G283" s="3" t="inlineStr">
        <is>
          <t>Invasive aspergillosis, serious invasive Candida infection, etc. Prophylaxis is not listed.</t>
        </is>
      </c>
      <c r="H283" s="3" t="inlineStr">
        <is>
          <t>UK §4.1 lists prophylaxis of invasive fungal infection in high-risk allogeneic HSCT recipients, and TW §2 lists prophylaxis in high-risk patients including HSCT. Prophylaxis therefore counts as approved under the database rule (FDA or UK).</t>
        </is>
      </c>
      <c r="I283" s="3" t="inlineStr">
        <is>
          <t>UK SmPC §4.1 https://www.medicines.org.uk/emc/product/7976/smpc; Taiwan 仿單 §2</t>
        </is>
      </c>
      <c r="J283" s="3" t="inlineStr">
        <is>
          <t>Open</t>
        </is>
      </c>
      <c r="K283" s="3" t="inlineStr"/>
    </row>
    <row r="284">
      <c r="A284" s="3" t="n">
        <v>17</v>
      </c>
      <c r="B284" s="3" t="inlineStr">
        <is>
          <t>Vfend (Voriconazole) (VFE01, VFE02, VOR03)</t>
        </is>
      </c>
      <c r="C284" s="8" t="inlineStr">
        <is>
          <t>Medium</t>
        </is>
      </c>
      <c r="D284" s="3" t="inlineStr">
        <is>
          <t>Pregnancy</t>
        </is>
      </c>
      <c r="E284" s="3" t="inlineStr">
        <is>
          <t>FDA letter category</t>
        </is>
      </c>
      <c r="F284" s="3" t="inlineStr">
        <is>
          <t>Remove pregnancy contraindication and category D; use only if benefit outweighs fetal risk, contraception</t>
        </is>
      </c>
      <c r="G284" s="3" t="inlineStr">
        <is>
          <t>Pregnancy is listed as a contraindication (禁忌症 item 5) and given 懷孕分類 D</t>
        </is>
      </c>
      <c r="H284" s="3" t="inlineStr">
        <is>
          <t>No label lists pregnancy as a contraindication. TW/UK: do not use unless the benefit to the mother clearly outweighs the fetal risk; effective contraception. US: can cause fetal harm, no letter category (FDA retired the letter categories).</t>
        </is>
      </c>
      <c r="I284" s="3" t="inlineStr">
        <is>
          <t>US label 4, 5.9, 8.1; UK SmPC 4.3/4.6 https://www.medicines.org.uk/emc/product/7976/smpc; TW insert 4 禁忌 and 懷孕 https://mcp.fda.gov.tw/im_detail_1/%E8%A1%9B%E7%BD%B2%E8%97%A5%E8%BC%B8%E5%AD%97%E7%AC%AC023648%E8%99%9F</t>
        </is>
      </c>
      <c r="J284" s="3" t="inlineStr">
        <is>
          <t>Open</t>
        </is>
      </c>
      <c r="K284" s="3" t="inlineStr"/>
    </row>
    <row r="285">
      <c r="A285" s="3" t="n">
        <v>25</v>
      </c>
      <c r="B285" s="3" t="inlineStr">
        <is>
          <t>Vfend (Voriconazole) (VFE01, VFE02, VOR03)</t>
        </is>
      </c>
      <c r="C285" s="8" t="inlineStr">
        <is>
          <t>Medium</t>
        </is>
      </c>
      <c r="D285" s="3" t="inlineStr">
        <is>
          <t>Pregnancy</t>
        </is>
      </c>
      <c r="E285" s="3" t="inlineStr">
        <is>
          <t>FDA letter category</t>
        </is>
      </c>
      <c r="F285" s="3" t="inlineStr">
        <is>
          <t>Remove pregnancy contraindication and category D on all records; add label narrative</t>
        </is>
      </c>
      <c r="G285" s="3" t="inlineStr">
        <is>
          <t>懷孕分類 D; contraindication list item '5. Pregnancy'</t>
        </is>
      </c>
      <c r="H285" s="3" t="inlineStr">
        <is>
          <t>Letter categories have been retired (PLLR). No label lists pregnancy as a contraindication. US: can cause fetal harm, inform the patient of the hazard. TW/UK: do not use unless the benefit to the mother clearly outweighs the risk to the fetus, and use effective contraception.</t>
        </is>
      </c>
      <c r="I285" s="3" t="inlineStr">
        <is>
          <t>US FDA label §4, §8.1 https://dailymed.nlm.nih.gov/dailymed/drugInfo.cfm?setid=ce3ef5cf-3087-4d92-9d94-9eb8287228db; UK SmPC §4.3, §4.6 https://www.medicines.org.uk/emc/product/7976/smpc; Taiwan 仿單 §4, §6.1 https://mcp.fda.gov.tw/im_detail_1/%E8%A1%9B%E7%BD%B2%E8%97%A5%E8%BC%B8%E5%AD%97%E7%AC%AC023648%E8%99%9F</t>
        </is>
      </c>
      <c r="J285" s="3" t="inlineStr">
        <is>
          <t>Open</t>
        </is>
      </c>
      <c r="K285" s="3" t="inlineStr"/>
    </row>
    <row r="286">
      <c r="A286" s="3" t="n">
        <v>53</v>
      </c>
      <c r="B286" s="3" t="inlineStr">
        <is>
          <t>Zavicefta (Ceftazidime-Avibactam) (ZAV04)</t>
        </is>
      </c>
      <c r="C286" s="8" t="inlineStr">
        <is>
          <t>Medium</t>
        </is>
      </c>
      <c r="D286" s="3" t="inlineStr">
        <is>
          <t>Dosing – adult</t>
        </is>
      </c>
      <c r="E286" s="3" t="inlineStr"/>
      <c r="F286" s="3" t="inlineStr">
        <is>
          <t>Update durations: cIAI 5–14 days, HAP/VAP 7–14 days</t>
        </is>
      </c>
      <c r="G286" s="3" t="inlineStr">
        <is>
          <t>cIAI 4-5 days; HAP/VAP 7 days</t>
        </is>
      </c>
      <c r="H286" s="3" t="inlineStr">
        <is>
          <t>cIAI 5-14 days; HAP/VAP 7-14 days (US 2.1 Table 1, SmPC 4.2 Table 1, TW 表1)</t>
        </is>
      </c>
      <c r="I286" s="3" t="inlineStr">
        <is>
          <t>pharmacy.fjuh.fju.edu.tw ZAV04 (per source brief) vs https://mcp.fda.gov.tw/im_detail_1/%E8%A1%9B%E9%83%A8%E8%97%A5%E8%BC%B8%E5%AD%97%E7%AC%AC027705%E8%99%9F ; https://dailymed.nlm.nih.gov/dailymed/drugInfo.cfm?setid=d9c2803f-dc9c-4b19-b4a3-8303bc8c15fd</t>
        </is>
      </c>
      <c r="J286" s="3" t="inlineStr">
        <is>
          <t>Open</t>
        </is>
      </c>
      <c r="K286" s="3" t="inlineStr"/>
    </row>
    <row r="287">
      <c r="A287" s="3" t="n">
        <v>62</v>
      </c>
      <c r="B287" s="3" t="inlineStr">
        <is>
          <t>Zavicefta (Ceftazidime-Avibactam) (ZAV04)</t>
        </is>
      </c>
      <c r="C287" s="8" t="inlineStr">
        <is>
          <t>Medium</t>
        </is>
      </c>
      <c r="D287" s="3" t="inlineStr">
        <is>
          <t>Dosing – adult</t>
        </is>
      </c>
      <c r="E287" s="3" t="inlineStr"/>
      <c r="F287" s="3" t="inlineStr">
        <is>
          <t>Correct durations: cIAI 5–14 d, HAP/VAP 7–14 d, cUTI per label</t>
        </is>
      </c>
      <c r="G287" s="3" t="inlineStr">
        <is>
          <t>cIAI: 2.5 g q8h + metronidazole for 4-5 days; HAP/VAP: 2.5 g q8h for 7 days</t>
        </is>
      </c>
      <c r="H287" s="3" t="inlineStr">
        <is>
          <t>cIAI 5–14 days; HAP/VAP 7–14 days (cUTI 5–14 d Taiwan / 7–14 d US / 5–10 d UK)</t>
        </is>
      </c>
      <c r="I287" s="3" t="inlineStr">
        <is>
          <t>Taiwan 仿單 §3.1 表1; US AVYCAZ §2.1 Table 1; UK SmPC §4.2 Table 1</t>
        </is>
      </c>
      <c r="J287" s="3" t="inlineStr">
        <is>
          <t>Open</t>
        </is>
      </c>
      <c r="K287" s="3" t="inlineStr"/>
    </row>
    <row r="288">
      <c r="A288" s="3" t="n">
        <v>54</v>
      </c>
      <c r="B288" s="3" t="inlineStr">
        <is>
          <t>Zavicefta (Ceftazidime-Avibactam) (ZAV04)</t>
        </is>
      </c>
      <c r="C288" s="8" t="inlineStr">
        <is>
          <t>Medium</t>
        </is>
      </c>
      <c r="D288" s="3" t="inlineStr">
        <is>
          <t>Dosing – pediatric</t>
        </is>
      </c>
      <c r="E288" s="3" t="inlineStr"/>
      <c r="F288" s="3" t="inlineStr">
        <is>
          <t>Extend pediatric dosing from birth (TW/UK) or GA ≥31 wk (US), including HAP/VAP</t>
        </is>
      </c>
      <c r="G288" s="3" t="inlineStr">
        <is>
          <t>Paediatric dosing starts at 3 months; HAP/VAP only for ≥18 years</t>
        </is>
      </c>
      <c r="H288" s="3" t="inlineStr">
        <is>
          <t>Dosing from birth (TW 表3/SmPC Table 3, including preterm infants by PMA) or from GA ≥31 weeks (US Table 2). HAP/VAP is approved in children (US 1.3; HABP/VABP dosing for 3 months to &lt;18 years and younger; TW/SmPC HAP/VAP from birth).</t>
        </is>
      </c>
      <c r="I288" s="3" t="inlineStr">
        <is>
          <t>pharmacy.fjuh.fju.edu.tw ZAV04 vs US 2.2 Table 2 https://dailymed.nlm.nih.gov/dailymed/drugInfo.cfm?setid=d9c2803f-dc9c-4b19-b4a3-8303bc8c15fd ; TW 3.1 表2/表3</t>
        </is>
      </c>
      <c r="J288" s="3" t="inlineStr">
        <is>
          <t>Open</t>
        </is>
      </c>
      <c r="K288" s="3" t="inlineStr"/>
    </row>
    <row r="289">
      <c r="A289" s="3" t="n">
        <v>61</v>
      </c>
      <c r="B289" s="3" t="inlineStr">
        <is>
          <t>Zavicefta (Ceftazidime-Avibactam) (ZAV04)</t>
        </is>
      </c>
      <c r="C289" s="8" t="inlineStr">
        <is>
          <t>Medium</t>
        </is>
      </c>
      <c r="D289" s="3" t="inlineStr">
        <is>
          <t>Dosing – pediatric</t>
        </is>
      </c>
      <c r="E289" s="3" t="inlineStr"/>
      <c r="F289" s="3" t="inlineStr">
        <is>
          <t>Add TW pediatric renal dosing for 3 months to &lt;2 years (CrCl 16–50)</t>
        </is>
      </c>
      <c r="G289" s="3" t="inlineStr">
        <is>
          <t>Follows the US label (no renal dosing &lt;2 years)</t>
        </is>
      </c>
      <c r="H289" s="3" t="inlineStr">
        <is>
          <t>The stocked product's TW insert 表10 gives renal dosing for 3 months to &lt;2 years with CrCl 16-50 mL/min/1.73 m² (e.g. 6m-&lt;2y: 25 mg/kg q8h for 31-50, 18.75 mg/kg q12h for 16-30)</t>
        </is>
      </c>
      <c r="I289" s="3" t="inlineStr">
        <is>
          <t>TW 3.1 表10; SmPC 4.2 Table 6 https://www.medicines.org.uk/emc/product/2465/smpc</t>
        </is>
      </c>
      <c r="J289" s="3" t="inlineStr">
        <is>
          <t>Open</t>
        </is>
      </c>
      <c r="K289" s="3" t="inlineStr"/>
    </row>
    <row r="290">
      <c r="A290" s="3" t="n">
        <v>63</v>
      </c>
      <c r="B290" s="3" t="inlineStr">
        <is>
          <t>Zavicefta (Ceftazidime-Avibactam) (ZAV04)</t>
        </is>
      </c>
      <c r="C290" s="8" t="inlineStr">
        <is>
          <t>Medium</t>
        </is>
      </c>
      <c r="D290" s="3" t="inlineStr">
        <is>
          <t>Dosing – pediatric</t>
        </is>
      </c>
      <c r="E290" s="3" t="inlineStr"/>
      <c r="F290" s="3" t="inlineStr">
        <is>
          <t>Add neonatal/infant dosing and pediatric HAP/VAP; remove '≥18 years' from pediatric section</t>
        </is>
      </c>
      <c r="G290" s="3" t="inlineStr">
        <is>
          <t>cIAI/cUTI in pediatric patients ≥3 months; HAP/VAP 'In adult patients'; pediatric HAP/VAP 'Adolescents ≥18 years: 2,000 mg q8h'</t>
        </is>
      </c>
      <c r="H290" s="3" t="inlineStr">
        <is>
          <t>All three indications from birth (Taiwan/UK; 26 wk PMA onward with neonatal dosing) or from ≥31 weeks GA (US), including HAP/VAP. Neonatal and infant dosing: 30/7.5 or 20/5 mg/kg q8h (q12h at 26–&lt;31 wk PMA). '≥18 years' is not a pediatric group.</t>
        </is>
      </c>
      <c r="I290" s="3" t="inlineStr">
        <is>
          <t>Taiwan 仿單 §2, §3.1 表2–3; US AVYCAZ §1.3, §2.2 Table 2, §8.4; UK SmPC §4.1–4.2</t>
        </is>
      </c>
      <c r="J290" s="3" t="inlineStr">
        <is>
          <t>Open</t>
        </is>
      </c>
      <c r="K290" s="3" t="inlineStr"/>
    </row>
    <row r="291">
      <c r="A291" s="3" t="n">
        <v>57</v>
      </c>
      <c r="B291" s="3" t="inlineStr">
        <is>
          <t>Zavicefta (Ceftazidime-Avibactam) (ZAV04)</t>
        </is>
      </c>
      <c r="C291" s="8" t="inlineStr">
        <is>
          <t>Medium</t>
        </is>
      </c>
      <c r="D291" s="3" t="inlineStr">
        <is>
          <t>Dosing – renal/dialysis</t>
        </is>
      </c>
      <c r="E291" s="3" t="inlineStr"/>
      <c r="F291" s="3" t="inlineStr">
        <is>
          <t>Label CRRT 1.25 g q8h as off-label and cite literature</t>
        </is>
      </c>
      <c r="G291" s="3" t="inlineStr">
        <is>
          <t>1.25 g q8h (no source)</t>
        </is>
      </c>
      <c r="H291" s="3" t="inlineStr">
        <is>
          <t>No label gives CRRT dosing. Literature: 1.25-2.5 g q8h used in CVVHDF (PMID 39581557); 2.5 g q8h risks excess exposure on CRRT (PMID 41432444). Should be labelled off-label and cited.</t>
        </is>
      </c>
      <c r="I291" s="3" t="inlineStr">
        <is>
          <t>https://pubmed.ncbi.nlm.nih.gov/39581557/ ; https://pubmed.ncbi.nlm.nih.gov/41432444/</t>
        </is>
      </c>
      <c r="J291" s="3" t="inlineStr">
        <is>
          <t>Open</t>
        </is>
      </c>
      <c r="K291" s="3" t="inlineStr"/>
    </row>
    <row r="292">
      <c r="A292" s="3" t="n">
        <v>66</v>
      </c>
      <c r="B292" s="3" t="inlineStr">
        <is>
          <t>Zavicefta (Ceftazidime-Avibactam) (ZAV04)</t>
        </is>
      </c>
      <c r="C292" s="8" t="inlineStr">
        <is>
          <t>Medium</t>
        </is>
      </c>
      <c r="D292" s="3" t="inlineStr">
        <is>
          <t>Dosing – renal/dialysis</t>
        </is>
      </c>
      <c r="E292" s="3" t="inlineStr"/>
      <c r="F292" s="3" t="inlineStr">
        <is>
          <t>Mark CRRT dose as off-label and add PK literature citations</t>
        </is>
      </c>
      <c r="G292" s="3" t="inlineStr">
        <is>
          <t>CRRT: 1.25 g every 8 hours (no reference)</t>
        </is>
      </c>
      <c r="H292" s="3" t="inlineStr">
        <is>
          <t>No label CRRT recommendation. Published PK data support 1.25–2.5 g q8h depending on modality and effluent rate (PMID 28416553, 39581557); 2.5 g q8h may cause excessive exposure (PMID 41432444). A citation is needed.</t>
        </is>
      </c>
      <c r="I292" s="3" t="inlineStr">
        <is>
          <t>US AVYCAZ §2.3; PubMed PMIDs 28416553, 39581557, 41432444</t>
        </is>
      </c>
      <c r="J292" s="3" t="inlineStr">
        <is>
          <t>Open</t>
        </is>
      </c>
      <c r="K292" s="3" t="inlineStr"/>
    </row>
    <row r="293">
      <c r="A293" s="3" t="n">
        <v>60</v>
      </c>
      <c r="B293" s="3" t="inlineStr">
        <is>
          <t>Zavicefta (Ceftazidime-Avibactam) (ZAV04)</t>
        </is>
      </c>
      <c r="C293" s="8" t="inlineStr">
        <is>
          <t>Medium</t>
        </is>
      </c>
      <c r="D293" s="3" t="inlineStr">
        <is>
          <t>Indication/coverage</t>
        </is>
      </c>
      <c r="E293" s="3" t="inlineStr"/>
      <c r="F293" s="3" t="inlineStr">
        <is>
          <t>Add bacteraemia associated with approved infections (TW/UK) and UK limited-options indication</t>
        </is>
      </c>
      <c r="G293" s="3" t="inlineStr">
        <is>
          <t>cIAI, cUTI, HAP/VAP only (from US label)</t>
        </is>
      </c>
      <c r="H293" s="3" t="inlineStr">
        <is>
          <t>TW/UK also approve adult bacteraemia linked to these infections; UK also approves aerobic Gram-negative infections with limited treatment options (not in TW)</t>
        </is>
      </c>
      <c r="I293" s="3" t="inlineStr">
        <is>
          <t>TW 2 適應症; SmPC 4.1 https://www.medicines.org.uk/emc/product/2465/smpc</t>
        </is>
      </c>
      <c r="J293" s="3" t="inlineStr">
        <is>
          <t>Open</t>
        </is>
      </c>
      <c r="K293" s="3" t="inlineStr"/>
    </row>
    <row r="294">
      <c r="A294" s="3" t="n">
        <v>68</v>
      </c>
      <c r="B294" s="3" t="inlineStr">
        <is>
          <t>Zavicefta (Ceftazidime-Avibactam) (ZAV04)</t>
        </is>
      </c>
      <c r="C294" s="8" t="inlineStr">
        <is>
          <t>Medium</t>
        </is>
      </c>
      <c r="D294" s="3" t="inlineStr">
        <is>
          <t>Indication/coverage</t>
        </is>
      </c>
      <c r="E294" s="3" t="inlineStr"/>
      <c r="F294" s="3" t="inlineStr">
        <is>
          <t>Add adult bacteraemia indication (TW/UK)</t>
        </is>
      </c>
      <c r="G294" s="3" t="inlineStr">
        <is>
          <t>Only cIAI, cUTI, HAP/VAP (US-label wording)</t>
        </is>
      </c>
      <c r="H294" s="3" t="inlineStr">
        <is>
          <t>Also: adult bacteraemia associated with, or suspected to be associated with, these infections. The UK SmPC additionally lists aerobic Gram-negative infections with limited treatment options.</t>
        </is>
      </c>
      <c r="I294" s="3" t="inlineStr">
        <is>
          <t>Taiwan 仿單 §2; UK SmPC §4.1</t>
        </is>
      </c>
      <c r="J294" s="3" t="inlineStr">
        <is>
          <t>Open</t>
        </is>
      </c>
      <c r="K294" s="3" t="inlineStr"/>
    </row>
    <row r="295">
      <c r="A295" s="3" t="n">
        <v>69</v>
      </c>
      <c r="B295" s="3" t="inlineStr">
        <is>
          <t>Zavicefta (Ceftazidime-Avibactam) (ZAV04)</t>
        </is>
      </c>
      <c r="C295" s="8" t="inlineStr">
        <is>
          <t>Medium</t>
        </is>
      </c>
      <c r="D295" s="3" t="inlineStr">
        <is>
          <t>Pregnancy</t>
        </is>
      </c>
      <c r="E295" s="3" t="inlineStr"/>
      <c r="F295" s="3" t="inlineStr">
        <is>
          <t>Correct: avibactam showed fetal effects in rabbits/rats; not teratogenic; use only if benefit outweighs risk</t>
        </is>
      </c>
      <c r="G295" s="3" t="inlineStr">
        <is>
          <t>Adverse events have not been observed in animal reproduction studies conducted with ceftazidime and avibactam.</t>
        </is>
      </c>
      <c r="H295" s="3" t="inlineStr">
        <is>
          <t>Avibactam showed reproductive toxicity in animals: in rabbits at ≥300 mg/kg/day, increased post-implantation loss, lower fetal weight and delayed ossification; in rats, renal pelvic/ureter dilatation in pups. It is not teratogenic. Use only if benefit outweighs risk.</t>
        </is>
      </c>
      <c r="I295" s="3" t="inlineStr">
        <is>
          <t>US AVYCAZ §8.1 Animal Data; UK SmPC §4.6; Taiwan 仿單 §6.1, §10.3</t>
        </is>
      </c>
      <c r="J295" s="3" t="inlineStr">
        <is>
          <t>Open</t>
        </is>
      </c>
      <c r="K295" s="3" t="inlineStr"/>
    </row>
    <row r="296">
      <c r="A296" s="3" t="n">
        <v>165</v>
      </c>
      <c r="B296" s="3" t="inlineStr">
        <is>
          <t>Zerbaxa (Ceftolozane-tazobactam) (ZER01)</t>
        </is>
      </c>
      <c r="C296" s="8" t="inlineStr">
        <is>
          <t>Medium</t>
        </is>
      </c>
      <c r="D296" s="3" t="inlineStr">
        <is>
          <t>Adverse effects</t>
        </is>
      </c>
      <c r="E296" s="3" t="inlineStr"/>
      <c r="F296" s="3" t="inlineStr">
        <is>
          <t>Correct &gt;10% ADR list: nausea, diarrhoea, headache, pyrexia; transaminases, renal impairment in HABP/VABP</t>
        </is>
      </c>
      <c r="G296" s="3" t="inlineStr">
        <is>
          <t>&gt;10%: Coombs-positive, thrombocythemia, transaminases, fever</t>
        </is>
      </c>
      <c r="H296" s="3" t="inlineStr">
        <is>
          <t>The most common reactions are nausea, diarrhea, headache and pyrexia (≥5%, cIAI/cUTI) and increased transaminases (11.9%), renal impairment/failure (8.9%) and diarrhea in HABP/VABP. Thrombocytosis was 1.9% in cIAI. Coombs seroconversion was 31.2% only in the HABP/VABP trial and 0.2% in cIAI/cUTI. Fever was 5.6% in cIAI.</t>
        </is>
      </c>
      <c r="I296" s="3" t="inlineStr">
        <is>
          <t>US label §6.1 Tables 7–8; UK SmPC §4.8</t>
        </is>
      </c>
      <c r="J296" s="3" t="inlineStr">
        <is>
          <t>Open</t>
        </is>
      </c>
      <c r="K296" s="3" t="inlineStr"/>
    </row>
    <row r="297">
      <c r="A297" s="3" t="n">
        <v>175</v>
      </c>
      <c r="B297" s="3" t="inlineStr">
        <is>
          <t>Zerbaxa (Ceftolozane-tazobactam) (ZER01)</t>
        </is>
      </c>
      <c r="C297" s="8" t="inlineStr">
        <is>
          <t>Medium</t>
        </is>
      </c>
      <c r="D297" s="3" t="inlineStr">
        <is>
          <t>Adverse effects</t>
        </is>
      </c>
      <c r="E297" s="3" t="inlineStr"/>
      <c r="F297" s="3" t="inlineStr">
        <is>
          <t>Rewrite &gt;10% ADRs: adult common reactions; move pediatric/Coombs rates to proper context</t>
        </is>
      </c>
      <c r="G297" s="3" t="inlineStr">
        <is>
          <t>&gt;10%: abdominal pain, diarrhea, positive direct Coombs test, thrombocythemia, increased serum transaminases, fever</t>
        </is>
      </c>
      <c r="H297" s="3" t="inlineStr">
        <is>
          <t>In adults, the most common reactions in cIAI/cUTI (≥5%) are nausea, diarrhoea, headache and pyrexia, and in HABP/VABP (≥5%) transaminase increase (11.9%), renal impairment/failure (8.9%) and diarrhoea. Rates above 10% occur only in the pediatric cIAI trial (thrombocytosis 16%, diarrhoea 17%, abdominal pain 11%, pyrexia 13%) and as Coombs seroconversion (31.2% in HABP, no haemolysis). The hospital list mixes populations without saying so, and omits renal impairment/failure.</t>
        </is>
      </c>
      <c r="I297" s="3" t="inlineStr">
        <is>
          <t>US FDA label §6.1 Tables 7–9 and Laboratory Values; Taiwan insert §6.1</t>
        </is>
      </c>
      <c r="J297" s="3" t="inlineStr">
        <is>
          <t>Open</t>
        </is>
      </c>
      <c r="K297" s="3" t="inlineStr"/>
    </row>
    <row r="298">
      <c r="A298" s="3" t="n">
        <v>177</v>
      </c>
      <c r="B298" s="3" t="inlineStr">
        <is>
          <t>Zerbaxa (Ceftolozane-tazobactam) (ZER01)</t>
        </is>
      </c>
      <c r="C298" s="8" t="inlineStr">
        <is>
          <t>Medium</t>
        </is>
      </c>
      <c r="D298" s="3" t="inlineStr">
        <is>
          <t>Breastfeeding</t>
        </is>
      </c>
      <c r="E298" s="3" t="inlineStr">
        <is>
          <t>LactMed outdated</t>
        </is>
      </c>
      <c r="F298" s="3" t="inlineStr">
        <is>
          <t>Add LactMed conclusion: acceptable in nursing mothers</t>
        </is>
      </c>
      <c r="G298" s="3" t="inlineStr">
        <is>
          <t>It is not known if ceftolozane or tazobactam are present in breast milk.</t>
        </is>
      </c>
      <c r="H298" s="3" t="inlineStr">
        <is>
          <t>Accurate but incomplete. LactMed concludes 'Ceftolozane-tazobactam is acceptable in nursing mothers'.</t>
        </is>
      </c>
      <c r="I298" s="3" t="inlineStr">
        <is>
          <t>LactMed NBK500769 — https://www.ncbi.nlm.nih.gov/books/NBK500769/</t>
        </is>
      </c>
      <c r="J298" s="3" t="inlineStr">
        <is>
          <t>Open</t>
        </is>
      </c>
      <c r="K298" s="3" t="inlineStr"/>
    </row>
    <row r="299">
      <c r="A299" s="3" t="n">
        <v>160</v>
      </c>
      <c r="B299" s="3" t="inlineStr">
        <is>
          <t>Zerbaxa (Ceftolozane-tazobactam) (ZER01)</t>
        </is>
      </c>
      <c r="C299" s="8" t="inlineStr">
        <is>
          <t>Medium</t>
        </is>
      </c>
      <c r="D299" s="3" t="inlineStr">
        <is>
          <t>Dosing – adult</t>
        </is>
      </c>
      <c r="E299" s="3" t="inlineStr"/>
      <c r="F299" s="3" t="inlineStr">
        <is>
          <t>HAP/VAP duration: 8–14 days per label</t>
        </is>
      </c>
      <c r="G299" s="3" t="inlineStr">
        <is>
          <t>7 days</t>
        </is>
      </c>
      <c r="H299" s="3" t="inlineStr">
        <is>
          <t>8–14 days</t>
        </is>
      </c>
      <c r="I299" s="3" t="inlineStr">
        <is>
          <t>US label §2.1 Table 1; UK SmPC §4.2 Table 1; Taiwan insert 表1</t>
        </is>
      </c>
      <c r="J299" s="3" t="inlineStr">
        <is>
          <t>Open</t>
        </is>
      </c>
      <c r="K299" s="3" t="inlineStr"/>
    </row>
    <row r="300">
      <c r="A300" s="3" t="n">
        <v>161</v>
      </c>
      <c r="B300" s="3" t="inlineStr">
        <is>
          <t>Zerbaxa (Ceftolozane-tazobactam) (ZER01)</t>
        </is>
      </c>
      <c r="C300" s="8" t="inlineStr">
        <is>
          <t>Medium</t>
        </is>
      </c>
      <c r="D300" s="3" t="inlineStr">
        <is>
          <t>Dosing – adult</t>
        </is>
      </c>
      <c r="E300" s="3" t="inlineStr"/>
      <c r="F300" s="3" t="inlineStr">
        <is>
          <t>Adult cUTI duration: 7 days (7–14 days is pediatric only)</t>
        </is>
      </c>
      <c r="G300" s="3" t="inlineStr">
        <is>
          <t>5–14 days</t>
        </is>
      </c>
      <c r="H300" s="3" t="inlineStr">
        <is>
          <t>7 days for adults (the US label's 7–14 days applies only to pediatric cUTI)</t>
        </is>
      </c>
      <c r="I300" s="3" t="inlineStr">
        <is>
          <t>US label §2.1/§2.2; Taiwan insert 表1; UK SmPC §4.2 Table 1</t>
        </is>
      </c>
      <c r="J300" s="3" t="inlineStr">
        <is>
          <t>Open</t>
        </is>
      </c>
      <c r="K300" s="3" t="inlineStr"/>
    </row>
    <row r="301">
      <c r="A301" s="3" t="n">
        <v>162</v>
      </c>
      <c r="B301" s="3" t="inlineStr">
        <is>
          <t>Zerbaxa (Ceftolozane-tazobactam) (ZER01)</t>
        </is>
      </c>
      <c r="C301" s="8" t="inlineStr">
        <is>
          <t>Medium</t>
        </is>
      </c>
      <c r="D301" s="3" t="inlineStr">
        <is>
          <t>Dosing – adult</t>
        </is>
      </c>
      <c r="E301" s="3" t="inlineStr"/>
      <c r="F301" s="3" t="inlineStr">
        <is>
          <t>Remove generic 'serious infections' dose; dose by indication (1.5 g cIAI/cUTI, 3 g HABP/VABP)</t>
        </is>
      </c>
      <c r="G301" s="3" t="inlineStr">
        <is>
          <t>Serious infections: 1.5–3 g q8h</t>
        </is>
      </c>
      <c r="H301" s="3" t="inlineStr">
        <is>
          <t>No label has a generic 'serious infections' indication. Doses are set by indication: 1.5 g for cIAI/cUTI, 3 g for HABP/VABP.</t>
        </is>
      </c>
      <c r="I301" s="3" t="inlineStr">
        <is>
          <t>US label §1, §2.1; UK SmPC §4.1–4.2; Taiwan insert §1–2</t>
        </is>
      </c>
      <c r="J301" s="3" t="inlineStr">
        <is>
          <t>Open</t>
        </is>
      </c>
      <c r="K301" s="3" t="inlineStr"/>
    </row>
    <row r="302">
      <c r="A302" s="3" t="n">
        <v>170</v>
      </c>
      <c r="B302" s="3" t="inlineStr">
        <is>
          <t>Zerbaxa (Ceftolozane-tazobactam) (ZER01)</t>
        </is>
      </c>
      <c r="C302" s="8" t="inlineStr">
        <is>
          <t>Medium</t>
        </is>
      </c>
      <c r="D302" s="3" t="inlineStr">
        <is>
          <t>Dosing – adult</t>
        </is>
      </c>
      <c r="E302" s="3" t="inlineStr"/>
      <c r="F302" s="3" t="inlineStr">
        <is>
          <t>HAP/VAP: 3 g q8h for 8–14 days</t>
        </is>
      </c>
      <c r="G302" s="3" t="inlineStr">
        <is>
          <t>3 g q8h for 7 days</t>
        </is>
      </c>
      <c r="H302" s="3" t="inlineStr">
        <is>
          <t>3 g q8h for 8–14 days</t>
        </is>
      </c>
      <c r="I302" s="3" t="inlineStr">
        <is>
          <t>Taiwan insert §2.1 表1; US §2.1 Table 1; UK §4.2 Table 1</t>
        </is>
      </c>
      <c r="J302" s="3" t="inlineStr">
        <is>
          <t>Open</t>
        </is>
      </c>
      <c r="K302" s="3" t="inlineStr"/>
    </row>
    <row r="303">
      <c r="A303" s="3" t="n">
        <v>171</v>
      </c>
      <c r="B303" s="3" t="inlineStr">
        <is>
          <t>Zerbaxa (Ceftolozane-tazobactam) (ZER01)</t>
        </is>
      </c>
      <c r="C303" s="8" t="inlineStr">
        <is>
          <t>Medium</t>
        </is>
      </c>
      <c r="D303" s="3" t="inlineStr">
        <is>
          <t>Dosing – adult</t>
        </is>
      </c>
      <c r="E303" s="3" t="inlineStr"/>
      <c r="F303" s="3" t="inlineStr">
        <is>
          <t>Adult cUTI: 1.5 g q8h for 7 days</t>
        </is>
      </c>
      <c r="G303" s="3" t="inlineStr">
        <is>
          <t>1.5 g q8h for 5 to 14 days</t>
        </is>
      </c>
      <c r="H303" s="3" t="inlineStr">
        <is>
          <t>1.5 g q8h for 7 days (adults, all labels). 7–14 days applies only to pediatric patients.</t>
        </is>
      </c>
      <c r="I303" s="3" t="inlineStr">
        <is>
          <t>Taiwan insert 表1; US §2.1 Table 1 and §2.2 Table 2; UK §4.2 Tables 1–2</t>
        </is>
      </c>
      <c r="J303" s="3" t="inlineStr">
        <is>
          <t>Open</t>
        </is>
      </c>
      <c r="K303" s="3" t="inlineStr"/>
    </row>
    <row r="304">
      <c r="A304" s="3" t="n">
        <v>172</v>
      </c>
      <c r="B304" s="3" t="inlineStr">
        <is>
          <t>Zerbaxa (Ceftolozane-tazobactam) (ZER01)</t>
        </is>
      </c>
      <c r="C304" s="8" t="inlineStr">
        <is>
          <t>Medium</t>
        </is>
      </c>
      <c r="D304" s="3" t="inlineStr">
        <is>
          <t>Dosing – adult</t>
        </is>
      </c>
      <c r="E304" s="3" t="inlineStr"/>
      <c r="F304" s="3" t="inlineStr">
        <is>
          <t>Remove 'serious infections'; if kept, label 3 g q8h as off-label IDSA guidance</t>
        </is>
      </c>
      <c r="G304" s="3" t="inlineStr">
        <is>
          <t>1.5 to 3 g q8h; 3 g q8h for pulmonary infections</t>
        </is>
      </c>
      <c r="H304" s="3" t="inlineStr">
        <is>
          <t>No label has a 'serious infections' indication or dose. The nearest guideline is IDSA 2026: 3 g q8h over 3 h for all non-uUTI resistant infections (off-label).</t>
        </is>
      </c>
      <c r="I304" s="3" t="inlineStr">
        <is>
          <t>US label §1–2; Taiwan insert §1–2; IDSA 2026 Table 1 — https://www.idsociety.org/globalassets/idsa/practice-guidelines/amr-guidance/5.0/table-1.pdf</t>
        </is>
      </c>
      <c r="J304" s="3" t="inlineStr">
        <is>
          <t>Open</t>
        </is>
      </c>
      <c r="K304" s="3" t="inlineStr"/>
    </row>
    <row r="305">
      <c r="A305" s="3" t="n">
        <v>176</v>
      </c>
      <c r="B305" s="3" t="inlineStr">
        <is>
          <t>Zerbaxa (Ceftolozane-tazobactam) (ZER01)</t>
        </is>
      </c>
      <c r="C305" s="8" t="inlineStr">
        <is>
          <t>Medium</t>
        </is>
      </c>
      <c r="D305" s="3" t="inlineStr">
        <is>
          <t>Dosing – pediatric</t>
        </is>
      </c>
      <c r="E305" s="3" t="inlineStr"/>
      <c r="F305" s="3" t="inlineStr">
        <is>
          <t>Fill pediatric doses (30 mg/kg cIAI/cUTI; 60–75 mg/kg HABP/VABP) marked off-label in TW</t>
        </is>
      </c>
      <c r="G305" s="3" t="inlineStr">
        <is>
          <t>Headings only ('Intra-abdominal infection:' / 'Urinary tract infection, complicated:') with no doses</t>
        </is>
      </c>
      <c r="H305" s="3" t="inlineStr">
        <is>
          <t>US: 30 mg/kg (max 1.5 g) q8h for cIAI/cUTI, and 60–75 mg/kg (max 3 g) q8h over 2 h for HABP/VABP. The Taiwan insert approves adults 18 and older only, so pediatric use is off-label in Taiwan.</t>
        </is>
      </c>
      <c r="I305" s="3" t="inlineStr">
        <is>
          <t>US FDA label §2.2 Table 2; Taiwan insert §1 and §8.4</t>
        </is>
      </c>
      <c r="J305" s="3" t="inlineStr">
        <is>
          <t>Open</t>
        </is>
      </c>
      <c r="K305" s="3" t="inlineStr"/>
    </row>
    <row r="306">
      <c r="A306" s="3" t="n">
        <v>158</v>
      </c>
      <c r="B306" s="3" t="inlineStr">
        <is>
          <t>Zerbaxa (Ceftolozane-tazobactam) (ZER01)</t>
        </is>
      </c>
      <c r="C306" s="8" t="inlineStr">
        <is>
          <t>Medium</t>
        </is>
      </c>
      <c r="D306" s="3" t="inlineStr">
        <is>
          <t>Pharmacokinetics/other</t>
        </is>
      </c>
      <c r="E306" s="3" t="inlineStr"/>
      <c r="F306" s="3" t="inlineStr">
        <is>
          <t>Change drug class from Penicillins to cephalosporin/β-lactamase inhibitor</t>
        </is>
      </c>
      <c r="G306" s="3" t="inlineStr">
        <is>
          <t>Penicillins</t>
        </is>
      </c>
      <c r="H306" s="3" t="inlineStr">
        <is>
          <t>A cephalosporin plus a beta-lactamase inhibitor: 'ceftolozane, a cephalosporin antibacterial, and tazobactam, a beta-lactamase inhibitor'. ATC J01DI54, 'other cephalosporins and penems'.</t>
        </is>
      </c>
      <c r="I306" s="3" t="inlineStr">
        <is>
          <t>US FDA label §1 – https://dailymed.nlm.nih.gov/dailymed/drugInfo.cfm?setid=70ac1d90-eff3-4f0b-9f46-5846c571b32f ; UK SmPC §5.1 – https://www.medicines.org.uk/emc/product/5009/smpc</t>
        </is>
      </c>
      <c r="J306" s="3" t="inlineStr">
        <is>
          <t>Open</t>
        </is>
      </c>
      <c r="K306" s="3" t="inlineStr"/>
    </row>
    <row r="307">
      <c r="A307" s="3" t="n">
        <v>168</v>
      </c>
      <c r="B307" s="3" t="inlineStr">
        <is>
          <t>Zerbaxa (Ceftolozane-tazobactam) (ZER01)</t>
        </is>
      </c>
      <c r="C307" s="8" t="inlineStr">
        <is>
          <t>Medium</t>
        </is>
      </c>
      <c r="D307" s="3" t="inlineStr">
        <is>
          <t>Pharmacokinetics/other</t>
        </is>
      </c>
      <c r="E307" s="3" t="inlineStr"/>
      <c r="F307" s="3" t="inlineStr">
        <is>
          <t>Change 藥理分類 from Penicillins to cephalosporin/β-lactamase inhibitor</t>
        </is>
      </c>
      <c r="G307" s="3" t="inlineStr">
        <is>
          <t>Penicillins</t>
        </is>
      </c>
      <c r="H307" s="3" t="inlineStr">
        <is>
          <t>A cephalosporin with a β-lactamase inhibitor, ATC J01DI54 ('other cephalosporins and penems'). The hospital's own 藥理 field even says 'Cephalosporin Combination'.</t>
        </is>
      </c>
      <c r="I307" s="3" t="inlineStr">
        <is>
          <t>US FDA label §1; UK SmPC §5.1 — https://www.medicines.org.uk/emc/product/5009/smpc</t>
        </is>
      </c>
      <c r="J307" s="3" t="inlineStr">
        <is>
          <t>Open</t>
        </is>
      </c>
      <c r="K307" s="3" t="inlineStr"/>
    </row>
    <row r="308">
      <c r="A308" s="3" t="n">
        <v>90</v>
      </c>
      <c r="B308" s="3" t="inlineStr">
        <is>
          <t>Zinforo (Ceftaroline) (ZIN04)</t>
        </is>
      </c>
      <c r="C308" s="8" t="inlineStr">
        <is>
          <t>Medium</t>
        </is>
      </c>
      <c r="D308" s="3" t="inlineStr">
        <is>
          <t>Adverse effects</t>
        </is>
      </c>
      <c r="E308" s="3" t="inlineStr"/>
      <c r="F308" s="3" t="inlineStr">
        <is>
          <t>Add very common positive direct Coombs test; evaluate anaemia for haemolysis</t>
        </is>
      </c>
      <c r="G308" s="3" t="inlineStr">
        <is>
          <t>No mention of a positive direct Coombs test</t>
        </is>
      </c>
      <c r="H308" s="3" t="inlineStr">
        <is>
          <t>Very common: positive direct Coombs test (DAGT seroconversion 11.2% at standard dose, 32.3% at high dose); investigate anaemia for haemolysis</t>
        </is>
      </c>
      <c r="I308" s="3" t="inlineStr">
        <is>
          <t>Taiwan insert 5.1, 8.2 表3 — https://mcp.fda.gov.tw/im_detail_1/%E8%A1%9B%E9%83%A8%E8%97%A5%E8%BC%B8%E5%AD%97%E7%AC%AC026611%E8%99%9F</t>
        </is>
      </c>
      <c r="J308" s="3" t="inlineStr">
        <is>
          <t>Open</t>
        </is>
      </c>
      <c r="K308" s="3" t="inlineStr"/>
    </row>
    <row r="309">
      <c r="A309" s="3" t="n">
        <v>102</v>
      </c>
      <c r="B309" s="3" t="inlineStr">
        <is>
          <t>Zinforo (Ceftaroline) (ZIN04)</t>
        </is>
      </c>
      <c r="C309" s="8" t="inlineStr">
        <is>
          <t>Medium</t>
        </is>
      </c>
      <c r="D309" s="3" t="inlineStr">
        <is>
          <t>Adverse effects</t>
        </is>
      </c>
      <c r="E309" s="3" t="inlineStr"/>
      <c r="F309" s="3" t="inlineStr">
        <is>
          <t>Add positive direct Coombs test (very common); check for haemolytic anaemia</t>
        </is>
      </c>
      <c r="G309" s="3" t="inlineStr">
        <is>
          <t>No mention of direct Coombs test</t>
        </is>
      </c>
      <c r="H309" s="3" t="inlineStr">
        <is>
          <t>Positive direct Coombs test = very common (11.2% standard, 32.3% high dose); evaluate for haemolytic anaemia if anaemia develops</t>
        </is>
      </c>
      <c r="I309" s="3" t="inlineStr">
        <is>
          <t>Taiwan insert 5.1 &amp; 表3</t>
        </is>
      </c>
      <c r="J309" s="3" t="inlineStr">
        <is>
          <t>Open</t>
        </is>
      </c>
      <c r="K309" s="3" t="inlineStr"/>
    </row>
    <row r="310">
      <c r="A310" s="3" t="n">
        <v>92</v>
      </c>
      <c r="B310" s="3" t="inlineStr">
        <is>
          <t>Zinforo (Ceftaroline) (ZIN04)</t>
        </is>
      </c>
      <c r="C310" s="8" t="inlineStr">
        <is>
          <t>Medium</t>
        </is>
      </c>
      <c r="D310" s="3" t="inlineStr">
        <is>
          <t>Breastfeeding</t>
        </is>
      </c>
      <c r="E310" s="3" t="inlineStr"/>
      <c r="F310" s="3" t="inlineStr">
        <is>
          <t>Update lactation per TW insert: pause breastfeeding; remove old US 'caution' wording</t>
        </is>
      </c>
      <c r="G310" s="3" t="inlineStr">
        <is>
          <t>It is not known if ceftaroline is excreted in breast milk; the manufacturer recommends caution (old US wording)</t>
        </is>
      </c>
      <c r="H310" s="3" t="inlineStr">
        <is>
          <t>Taiwan insert: use only when there is clear clinical benefit; 建議暫停哺乳 (pausing breastfeeding is recommended)</t>
        </is>
      </c>
      <c r="I310" s="3" t="inlineStr">
        <is>
          <t>Taiwan insert 6.2 — https://mcp.fda.gov.tw/im_detail_1/%E8%A1%9B%E9%83%A8%E8%97%A5%E8%BC%B8%E5%AD%97%E7%AC%AC026611%E8%99%9F</t>
        </is>
      </c>
      <c r="J310" s="3" t="inlineStr">
        <is>
          <t>Open</t>
        </is>
      </c>
      <c r="K310" s="3" t="inlineStr"/>
    </row>
    <row r="311">
      <c r="A311" s="3" t="n">
        <v>105</v>
      </c>
      <c r="B311" s="3" t="inlineStr">
        <is>
          <t>Zinforo (Ceftaroline) (ZIN04)</t>
        </is>
      </c>
      <c r="C311" s="8" t="inlineStr">
        <is>
          <t>Medium</t>
        </is>
      </c>
      <c r="D311" s="3" t="inlineStr">
        <is>
          <t>Breastfeeding</t>
        </is>
      </c>
      <c r="E311" s="3" t="inlineStr"/>
      <c r="F311" s="3" t="inlineStr">
        <is>
          <t>Replace old US 'caution' with TW advice to pause breastfeeding</t>
        </is>
      </c>
      <c r="G311" s="3" t="inlineStr">
        <is>
          <t>The manufacturer recommends that caution be exercised (old US wording)</t>
        </is>
      </c>
      <c r="H311" s="3" t="inlineStr">
        <is>
          <t>建議暫停哺乳 (pausing breastfeeding is recommended); current US label has no 'caution' wording (PLLR benefit-risk statement)</t>
        </is>
      </c>
      <c r="I311" s="3" t="inlineStr">
        <is>
          <t>Taiwan insert 6.2; US label 8.2</t>
        </is>
      </c>
      <c r="J311" s="3" t="inlineStr">
        <is>
          <t>Open</t>
        </is>
      </c>
      <c r="K311" s="3" t="inlineStr"/>
    </row>
    <row r="312">
      <c r="A312" s="3" t="n">
        <v>88</v>
      </c>
      <c r="B312" s="3" t="inlineStr">
        <is>
          <t>Zinforo (Ceftaroline) (ZIN04)</t>
        </is>
      </c>
      <c r="C312" s="8" t="inlineStr">
        <is>
          <t>Medium</t>
        </is>
      </c>
      <c r="D312" s="3" t="inlineStr">
        <is>
          <t>Dosing – pediatric</t>
        </is>
      </c>
      <c r="E312" s="3" t="inlineStr"/>
      <c r="F312" s="3" t="inlineStr">
        <is>
          <t>Add pediatric high-dose regimens (2 m–&lt;2 y 10 mg/kg q8h; 2–&lt;18 y 12 mg/kg max 600 mg q8h)</t>
        </is>
      </c>
      <c r="G312" s="3" t="inlineStr">
        <is>
          <t>High dose is only used to treat adult patients</t>
        </is>
      </c>
      <c r="H312" s="3" t="inlineStr">
        <is>
          <t>High dose also has paediatric regimens: ≥2 y to &lt;18 y 12 mg/kg (max 600 mg) q8h; ≥2 months to &lt;2 y 10 mg/kg q8h, both over 120 min</t>
        </is>
      </c>
      <c r="I312" s="3" t="inlineStr">
        <is>
          <t>Taiwan insert 3.1 表1 (高劑量) — https://mcp.fda.gov.tw/im_detail_1/%E8%A1%9B%E9%83%A8%E8%97%A5%E8%BC%B8%E5%AD%97%E7%AC%AC026611%E8%99%9F</t>
        </is>
      </c>
      <c r="J312" s="3" t="inlineStr">
        <is>
          <t>Open</t>
        </is>
      </c>
      <c r="K312" s="3" t="inlineStr"/>
    </row>
    <row r="313">
      <c r="A313" s="3" t="n">
        <v>95</v>
      </c>
      <c r="B313" s="3" t="inlineStr">
        <is>
          <t>Zinforo (Ceftaroline) (ZIN04)</t>
        </is>
      </c>
      <c r="C313" s="8" t="inlineStr">
        <is>
          <t>Medium</t>
        </is>
      </c>
      <c r="D313" s="3" t="inlineStr">
        <is>
          <t>Dosing – pediatric</t>
        </is>
      </c>
      <c r="E313" s="3" t="inlineStr"/>
      <c r="F313" s="3" t="inlineStr">
        <is>
          <t>Neonatal dosing birth to &lt;2 months: 6 mg/kg q8h over 60 min</t>
        </is>
      </c>
      <c r="G313" s="3" t="inlineStr">
        <is>
          <t>12 days postnatal age to 2 months: 6 mg/kg Q8H (US wording)</t>
        </is>
      </c>
      <c r="H313" s="3" t="inlineStr">
        <is>
          <t>Birth to &lt;2 months: 6 mg/kg q8h over 60 min (based on PK/PD modelling)</t>
        </is>
      </c>
      <c r="I313" s="3" t="inlineStr">
        <is>
          <t>Taiwan insert 3.1 表1 — https://mcp.fda.gov.tw/im_detail_1/%E8%A1%9B%E9%83%A8%E8%97%A5%E8%BC%B8%E5%AD%97%E7%AC%AC026611%E8%99%9F</t>
        </is>
      </c>
      <c r="J313" s="3" t="inlineStr">
        <is>
          <t>Open</t>
        </is>
      </c>
      <c r="K313" s="3" t="inlineStr"/>
    </row>
    <row r="314">
      <c r="A314" s="3" t="n">
        <v>100</v>
      </c>
      <c r="B314" s="3" t="inlineStr">
        <is>
          <t>Zinforo (Ceftaroline) (ZIN04)</t>
        </is>
      </c>
      <c r="C314" s="8" t="inlineStr">
        <is>
          <t>Medium</t>
        </is>
      </c>
      <c r="D314" s="3" t="inlineStr">
        <is>
          <t>Dosing – pediatric</t>
        </is>
      </c>
      <c r="E314" s="3" t="inlineStr"/>
      <c r="F314" s="3" t="inlineStr">
        <is>
          <t>Add labelled pediatric high-dose regimens</t>
        </is>
      </c>
      <c r="G314" s="3" t="inlineStr">
        <is>
          <t>High dose is only used to treat adult patients</t>
        </is>
      </c>
      <c r="H314" s="3" t="inlineStr">
        <is>
          <t>Paediatric high dose also labelled: 2m–&lt;2y 10 mg/kg q8h; 2–&lt;18y 12 mg/kg (max 600 mg) q8h, over 120 min</t>
        </is>
      </c>
      <c r="I314" s="3" t="inlineStr">
        <is>
          <t>Taiwan insert 表1 高劑量; UK SmPC 4.2 Table 2</t>
        </is>
      </c>
      <c r="J314" s="3" t="inlineStr">
        <is>
          <t>Open</t>
        </is>
      </c>
      <c r="K314" s="3" t="inlineStr"/>
    </row>
    <row r="315">
      <c r="A315" s="3" t="n">
        <v>104</v>
      </c>
      <c r="B315" s="3" t="inlineStr">
        <is>
          <t>Zinforo (Ceftaroline) (ZIN04)</t>
        </is>
      </c>
      <c r="C315" s="8" t="inlineStr">
        <is>
          <t>Medium</t>
        </is>
      </c>
      <c r="D315" s="3" t="inlineStr">
        <is>
          <t>Dosing – pediatric</t>
        </is>
      </c>
      <c r="E315" s="3" t="inlineStr"/>
      <c r="F315" s="3" t="inlineStr">
        <is>
          <t>Neonates birth to &lt;2 months 6 mg/kg q8h over 60 min; note no data &lt;34 wk GA</t>
        </is>
      </c>
      <c r="G315" s="3" t="inlineStr">
        <is>
          <t>12 days postnatal age to 2 months: 6 mg/kg Q8H; SSTI &gt;34 weeks GA and 12 days PNA (US wording)</t>
        </is>
      </c>
      <c r="H315" s="3" t="inlineStr">
        <is>
          <t>出生至&lt;2個月: 6 mg/kg q8h over 60 min, with footnote that no studies exist for GA &lt;34 wk and PNA &lt;12 d</t>
        </is>
      </c>
      <c r="I315" s="3" t="inlineStr">
        <is>
          <t>Taiwan insert 表1 footnote d</t>
        </is>
      </c>
      <c r="J315" s="3" t="inlineStr">
        <is>
          <t>Open</t>
        </is>
      </c>
      <c r="K315" s="3" t="inlineStr"/>
    </row>
    <row r="316">
      <c r="A316" s="3" t="n">
        <v>91</v>
      </c>
      <c r="B316" s="3" t="inlineStr">
        <is>
          <t>Zinforo (Ceftaroline) (ZIN04)</t>
        </is>
      </c>
      <c r="C316" s="8" t="inlineStr">
        <is>
          <t>Medium</t>
        </is>
      </c>
      <c r="D316" s="3" t="inlineStr">
        <is>
          <t>Indication/coverage</t>
        </is>
      </c>
      <c r="E316" s="3" t="inlineStr"/>
      <c r="F316" s="3" t="inlineStr">
        <is>
          <t>Update indication ages: CAP/cSSTI from birth (TW), note no data &lt;34 wk GA/&lt;12 d PNA</t>
        </is>
      </c>
      <c r="G316" s="3" t="inlineStr">
        <is>
          <t>CAP: in patients &gt;2 months; SSTI: &gt;34 weeks gestational age and 12 days postnatal age (US label wording)</t>
        </is>
      </c>
      <c r="H316" s="3" t="inlineStr">
        <is>
          <t>CAP and cSSTI in neonates, infants, children, adolescents and adults (from birth). Footnote: no studies in neonates &lt;34 weeks GA and &lt;12 days postnatal age</t>
        </is>
      </c>
      <c r="I316" s="3" t="inlineStr">
        <is>
          <t>Taiwan insert 2 適應症, 3.1 表1 footnote d — https://mcp.fda.gov.tw/im_detail_1/%E8%A1%9B%E9%83%A8%E8%97%A5%E8%BC%B8%E5%AD%97%E7%AC%AC026611%E8%99%9F</t>
        </is>
      </c>
      <c r="J316" s="3" t="inlineStr">
        <is>
          <t>Open</t>
        </is>
      </c>
      <c r="K316" s="3" t="inlineStr"/>
    </row>
    <row r="317">
      <c r="A317" s="3" t="n">
        <v>103</v>
      </c>
      <c r="B317" s="3" t="inlineStr">
        <is>
          <t>Zinforo (Ceftaroline) (ZIN04)</t>
        </is>
      </c>
      <c r="C317" s="8" t="inlineStr">
        <is>
          <t>Medium</t>
        </is>
      </c>
      <c r="D317" s="3" t="inlineStr">
        <is>
          <t>Indication/coverage</t>
        </is>
      </c>
      <c r="E317" s="3" t="inlineStr"/>
      <c r="F317" s="3" t="inlineStr">
        <is>
          <t>CAP/cSSTI approved from neonates (TW); US-only limit ≥2 months</t>
        </is>
      </c>
      <c r="G317" s="3" t="inlineStr">
        <is>
          <t>CAP: In patients &gt;2 months</t>
        </is>
      </c>
      <c r="H317" s="3" t="inlineStr">
        <is>
          <t>CAP and cSSTI from neonates (新生兒) to adults; only the US label limits CABP to ≥2 months</t>
        </is>
      </c>
      <c r="I317" s="3" t="inlineStr">
        <is>
          <t>Taiwan insert 2 適應症; UK SmPC 4.1</t>
        </is>
      </c>
      <c r="J317" s="3" t="inlineStr">
        <is>
          <t>Open</t>
        </is>
      </c>
      <c r="K317" s="3" t="inlineStr"/>
    </row>
    <row r="318">
      <c r="A318" s="3" t="n">
        <v>127</v>
      </c>
      <c r="B318" s="3" t="inlineStr">
        <is>
          <t>Zovirax (Acyclovir) (ZOV01, ACY01)</t>
        </is>
      </c>
      <c r="C318" s="8" t="inlineStr">
        <is>
          <t>Medium</t>
        </is>
      </c>
      <c r="D318" s="3" t="inlineStr">
        <is>
          <t>Administration/compatibility</t>
        </is>
      </c>
      <c r="E318" s="3" t="inlineStr"/>
      <c r="F318" s="3" t="inlineStr">
        <is>
          <t>Correct reconstitution to 25 mg/mL, dilute &lt;5 mg/mL, 12 h at 15–25°C, do not refrigerate (TW insert)</t>
        </is>
      </c>
      <c r="G318" s="3" t="inlineStr">
        <is>
          <t>Reconstituted in SWFI at 50 mg/mL, stable 12 h at 25℃. In NS or D5W at &lt;10 mg/mL, stable 24 h at 25℃.</t>
        </is>
      </c>
      <c r="H318" s="3" t="inlineStr">
        <is>
          <t>TW 仿單: reconstitute 250 mg with 10 mL, giving 25 mg/mL. Further dilute to &lt;5 mg/mL; stable 12 h at 15–25°C in the listed NaCl, NaCl/glucose and Hartmann's solutions. Do not refrigerate.</t>
        </is>
      </c>
      <c r="I318" s="3" t="inlineStr">
        <is>
          <t>https://mcp.fda.gov.tw/insert/pdfcasefile/i_43ee63d3-02bb-4b8b-956a-0d7296e71d7e</t>
        </is>
      </c>
      <c r="J318" s="3" t="inlineStr">
        <is>
          <t>Open</t>
        </is>
      </c>
      <c r="K318" s="3" t="inlineStr"/>
    </row>
    <row r="319">
      <c r="A319" s="3" t="n">
        <v>116</v>
      </c>
      <c r="B319" s="3" t="inlineStr">
        <is>
          <t>Zovirax (Acyclovir) (ZOV01, ACY01)</t>
        </is>
      </c>
      <c r="C319" s="8" t="inlineStr">
        <is>
          <t>Medium</t>
        </is>
      </c>
      <c r="D319" s="3" t="inlineStr">
        <is>
          <t>Adverse effects</t>
        </is>
      </c>
      <c r="E319" s="3" t="inlineStr"/>
      <c r="F319" s="3" t="inlineStr">
        <is>
          <t>Add phlebitis as most frequent IV ADR; reorder bag ADRs per TW insert (diarrhoea/headache/dizziness very rare)</t>
        </is>
      </c>
      <c r="G319" s="3" t="inlineStr">
        <is>
          <t>腹瀉、頭痛、頭暈、噁心、嘔吐、注射部位疼痛、肝腎功能異常</t>
        </is>
      </c>
      <c r="H319" s="3" t="inlineStr">
        <is>
          <t>The TW insert classes diarrhoea, headache and dizziness as very rare. Its common reactions are phlebitis, N/V, liver enzyme rise, pruritus/urticaria/rash and BUN/creatinine rise. Phlebitis, the most frequent IV reaction (FDA ~9%), is not named.</t>
        </is>
      </c>
      <c r="I319" s="3" t="inlineStr">
        <is>
          <t>https://mcp.fda.gov.tw/insert/pdfcasefile/i_43ee63d3-02bb-4b8b-956a-0d7296e71d7e</t>
        </is>
      </c>
      <c r="J319" s="3" t="inlineStr">
        <is>
          <t>Open</t>
        </is>
      </c>
      <c r="K319" s="3" t="inlineStr"/>
    </row>
    <row r="320">
      <c r="A320" s="3" t="n">
        <v>120</v>
      </c>
      <c r="B320" s="3" t="inlineStr">
        <is>
          <t>Zovirax (Acyclovir) (ZOV01, ACY01)</t>
        </is>
      </c>
      <c r="C320" s="8" t="inlineStr">
        <is>
          <t>Medium</t>
        </is>
      </c>
      <c r="D320" s="3" t="inlineStr">
        <is>
          <t>Adverse effects</t>
        </is>
      </c>
      <c r="E320" s="3" t="inlineStr"/>
      <c r="F320" s="3" t="inlineStr">
        <is>
          <t>Remove injection-site reactions from oral tablet; list tablet ADRs per Acylete insert</t>
        </is>
      </c>
      <c r="G320" s="3" t="inlineStr">
        <is>
          <t>5. Local: Inflammation at injection site, injection site phlebitis</t>
        </is>
      </c>
      <c r="H320" s="3" t="inlineStr">
        <is>
          <t>Injection-site reactions apply only to IV acyclovir (FDA injection label ADVERSE REACTIONS). The Acylete tablet insert lists rash, nausea, vomiting, diarrhoea, abdominal pain, bilirubin and liver enzyme rises, BUN/creatinine rises, haematological decreases, neurological reactions and fatigue.</t>
        </is>
      </c>
      <c r="I320" s="3" t="inlineStr">
        <is>
          <t>https://mcp.fda.gov.tw/insert/pdfcasefile/i_846aed79-8984-4d2b-8863-39852b6a0175</t>
        </is>
      </c>
      <c r="J320" s="3" t="inlineStr">
        <is>
          <t>Open</t>
        </is>
      </c>
      <c r="K320" s="3" t="inlineStr"/>
    </row>
    <row r="321">
      <c r="A321" s="3" t="n">
        <v>117</v>
      </c>
      <c r="B321" s="3" t="inlineStr">
        <is>
          <t>Zovirax (Acyclovir) (ZOV01, ACY01)</t>
        </is>
      </c>
      <c r="C321" s="8" t="inlineStr">
        <is>
          <t>Medium</t>
        </is>
      </c>
      <c r="D321" s="3" t="inlineStr">
        <is>
          <t>Indication/coverage</t>
        </is>
      </c>
      <c r="E321" s="3" t="inlineStr"/>
      <c r="F321" s="3" t="inlineStr">
        <is>
          <t>Broaden indications per TW insert: VZV/HSV infections, HSE, HSV prophylaxis in BMT/leukaemia, neonatal HSV</t>
        </is>
      </c>
      <c r="G321" s="3" t="inlineStr">
        <is>
          <t>Treatment of HSV infections and herpes zoster (shingles) in immunocompromised patients</t>
        </is>
      </c>
      <c r="H321" s="3" t="inlineStr">
        <is>
          <t>TW insert 適應症 is broader: 帶狀疱疹病毒及單純疱疹病毒引起之感染；預防骨髓移植及白血病所引起之免疫不全病人之單純疱疹感染；新生兒單純疱疹感染 (it also covers HSE, severe initial genital herpes and neonatal HSV)</t>
        </is>
      </c>
      <c r="I321" s="3" t="inlineStr">
        <is>
          <t>https://mcp.fda.gov.tw/insert/pdfcasefile/i_43ee63d3-02bb-4b8b-956a-0d7296e71d7e</t>
        </is>
      </c>
      <c r="J321" s="3" t="inlineStr">
        <is>
          <t>Open</t>
        </is>
      </c>
      <c r="K321" s="3" t="inlineStr"/>
    </row>
    <row r="322">
      <c r="A322" s="3" t="n">
        <v>126</v>
      </c>
      <c r="B322" s="3" t="inlineStr">
        <is>
          <t>Zovirax (Acyclovir) (ZOV01, ACY01)</t>
        </is>
      </c>
      <c r="C322" s="8" t="inlineStr">
        <is>
          <t>Medium</t>
        </is>
      </c>
      <c r="D322" s="3" t="inlineStr">
        <is>
          <t>Indication/coverage</t>
        </is>
      </c>
      <c r="E322" s="3" t="inlineStr"/>
      <c r="F322" s="3" t="inlineStr">
        <is>
          <t>Broaden indications per TW insert: HSE, severe initial genital herpes, BMT/leukaemia prophylaxis, neonatal HSV</t>
        </is>
      </c>
      <c r="G322" s="3" t="inlineStr">
        <is>
          <t>Treatment of HSV infections and herpes zoster in immunocompromised patients</t>
        </is>
      </c>
      <c r="H322" s="3" t="inlineStr">
        <is>
          <t>The TW licence is broader: 帶狀疱疹病毒及單純疱疹病毒引起之感染；預防骨髓移植及白血病所引起之免疫不全病人之單純疱疹感染；新生兒單純疱疹感染 (also HSE and severe initial genital herpes per FDA/SmPC).</t>
        </is>
      </c>
      <c r="I322" s="3" t="inlineStr">
        <is>
          <t>https://mcp.fda.gov.tw/insert/pdfcasefile/i_43ee63d3-02bb-4b8b-956a-0d7296e71d7e</t>
        </is>
      </c>
      <c r="J322" s="3" t="inlineStr">
        <is>
          <t>Open</t>
        </is>
      </c>
      <c r="K322" s="3" t="inlineStr"/>
    </row>
    <row r="323">
      <c r="A323" s="3" t="n">
        <v>448</v>
      </c>
      <c r="B323" s="3" t="inlineStr">
        <is>
          <t>Zyvox (Linezolid) (ZYV01, ZYV02)</t>
        </is>
      </c>
      <c r="C323" s="8" t="inlineStr">
        <is>
          <t>Medium</t>
        </is>
      </c>
      <c r="D323" s="3" t="inlineStr">
        <is>
          <t>Breastfeeding</t>
        </is>
      </c>
      <c r="E323" s="3" t="inlineStr">
        <is>
          <t>LactMed outdated</t>
        </is>
      </c>
      <c r="F323" s="3" t="inlineStr">
        <is>
          <t>Update: present in milk (6–9% infant dose); not a reason to stop; monitor infant GI</t>
        </is>
      </c>
      <c r="G323" s="3" t="inlineStr">
        <is>
          <t>Excretion in breast milk unknown</t>
        </is>
      </c>
      <c r="H323" s="3" t="inlineStr">
        <is>
          <t>US label §8.2 quote: "Linezolid is present in breast milk"; the infant receives ~6–9% of the infant therapeutic dose; monitor the infant for diarrhea/vomiting. LactMed: not a reason to stop breastfeeding. The Taiwan insert 哺乳 section says the same (Linezolid 會出現在母乳中). UK SmPC 4.6 advises discontinuing breastfeeding.</t>
        </is>
      </c>
      <c r="I323" s="3" t="inlineStr">
        <is>
          <t>US FDA label §8.2; LactMed NBK501700 - https://www.ncbi.nlm.nih.gov/books/NBK501700/; Taiwan insert 6.1 哺乳</t>
        </is>
      </c>
      <c r="J323" s="3" t="inlineStr">
        <is>
          <t>Open</t>
        </is>
      </c>
      <c r="K323" s="3" t="inlineStr"/>
    </row>
    <row r="324">
      <c r="A324" s="3" t="n">
        <v>455</v>
      </c>
      <c r="B324" s="3" t="inlineStr">
        <is>
          <t>Zyvox (Linezolid) (ZYV01, ZYV02)</t>
        </is>
      </c>
      <c r="C324" s="8" t="inlineStr">
        <is>
          <t>Medium</t>
        </is>
      </c>
      <c r="D324" s="3" t="inlineStr">
        <is>
          <t>Breastfeeding</t>
        </is>
      </c>
      <c r="E324" s="3" t="inlineStr">
        <is>
          <t>LactMed outdated</t>
        </is>
      </c>
      <c r="F324" s="3" t="inlineStr">
        <is>
          <t>Update: present in milk; not a reason to stop breastfeeding; monitor infant</t>
        </is>
      </c>
      <c r="G324" s="3" t="inlineStr">
        <is>
          <t>Excretion in breast milk unknown</t>
        </is>
      </c>
      <c r="H324" s="3" t="inlineStr">
        <is>
          <t>Linezolid is present in breast milk. The infant receives about 6–9% of the therapeutic infant dose; this is not a reason to stop breastfeeding, but watch the infant for diarrhea and vomiting. The UK SmPC differs: it advises stopping breastfeeding, based on animal data.</t>
        </is>
      </c>
      <c r="I324" s="3" t="inlineStr">
        <is>
          <t>US label §8.2; Taiwan 仿單 §6.2; LactMed NBK501700 (rev. 2024-07-15); UK SmPC 4.6</t>
        </is>
      </c>
      <c r="J324" s="3" t="inlineStr">
        <is>
          <t>Open</t>
        </is>
      </c>
      <c r="K324" s="3" t="inlineStr"/>
    </row>
    <row r="325">
      <c r="A325" s="3" t="n">
        <v>453</v>
      </c>
      <c r="B325" s="3" t="inlineStr">
        <is>
          <t>Zyvox (Linezolid) (ZYV01, ZYV02)</t>
        </is>
      </c>
      <c r="C325" s="8" t="inlineStr">
        <is>
          <t>Medium</t>
        </is>
      </c>
      <c r="D325" s="3" t="inlineStr">
        <is>
          <t>Dosing – adult</t>
        </is>
      </c>
      <c r="E325" s="3" t="inlineStr"/>
      <c r="F325" s="3" t="inlineStr">
        <is>
          <t>Add uSSSI adult dose 400 mg PO q12h (adolescents 600 mg)</t>
        </is>
      </c>
      <c r="G325" s="3" t="inlineStr">
        <is>
          <t>600 mg q12h for all indications</t>
        </is>
      </c>
      <c r="H325" s="3" t="inlineStr">
        <is>
          <t>Adults with uncomplicated SSSI: 400 mg PO q12h for 10–14 days. Adolescents: 600 mg PO q12h. Other indications: 600 mg q12h.</t>
        </is>
      </c>
      <c r="I325" s="3" t="inlineStr">
        <is>
          <t>US FDA label §2.1 Table 1; Taiwan insert §3.1 表一 (成人：400mg 口服，每 12 小時一次)</t>
        </is>
      </c>
      <c r="J325" s="3" t="inlineStr">
        <is>
          <t>Open</t>
        </is>
      </c>
      <c r="K325" s="3" t="inlineStr"/>
    </row>
    <row r="326">
      <c r="A326" s="3" t="n">
        <v>452</v>
      </c>
      <c r="B326" s="3" t="inlineStr">
        <is>
          <t>Zyvox (Linezolid) (ZYV01, ZYV02)</t>
        </is>
      </c>
      <c r="C326" s="8" t="inlineStr">
        <is>
          <t>Medium</t>
        </is>
      </c>
      <c r="D326" s="3" t="inlineStr">
        <is>
          <t>Dosing – hepatic</t>
        </is>
      </c>
      <c r="E326" s="3" t="inlineStr"/>
      <c r="F326" s="3" t="inlineStr">
        <is>
          <t>Qualify: no adjustment Child-Pugh A/B; severe not studied; thrombocytopenia risk</t>
        </is>
      </c>
      <c r="G326" s="3" t="inlineStr">
        <is>
          <t>Hepatic: no adjustment (no qualification)</t>
        </is>
      </c>
      <c r="H326" s="3" t="inlineStr">
        <is>
          <t>No adjustment only for mild–moderate (Child-Pugh A/B). Severe hepatic impairment has not been evaluated. Thrombocytopenia is more frequent in moderate–severe hepatic impairment. UK SmPC: use only when benefit outweighs risk.</t>
        </is>
      </c>
      <c r="I326" s="3" t="inlineStr">
        <is>
          <t>US FDA label §5.1, §12.3; UK SmPC §4.2 - https://www.medicines.org.uk/emc/product/1688/smpc</t>
        </is>
      </c>
      <c r="J326" s="3" t="inlineStr">
        <is>
          <t>Open</t>
        </is>
      </c>
      <c r="K326" s="3" t="inlineStr"/>
    </row>
    <row r="327">
      <c r="A327" s="3" t="n">
        <v>459</v>
      </c>
      <c r="B327" s="3" t="inlineStr">
        <is>
          <t>Zyvox (Linezolid) (ZYV01, ZYV02)</t>
        </is>
      </c>
      <c r="C327" s="8" t="inlineStr">
        <is>
          <t>Medium</t>
        </is>
      </c>
      <c r="D327" s="3" t="inlineStr">
        <is>
          <t>Dosing – hepatic</t>
        </is>
      </c>
      <c r="E327" s="3" t="inlineStr"/>
      <c r="F327" s="3" t="inlineStr">
        <is>
          <t>Qualify hepatic: no adjustment only Child-Pugh A/B; C not studied</t>
        </is>
      </c>
      <c r="G327" s="3" t="inlineStr">
        <is>
          <t>No adjustment for hepatic impairment (no qualifier)</t>
        </is>
      </c>
      <c r="H327" s="3" t="inlineStr">
        <is>
          <t>No adjustment is recommended only for mild–moderate impairment (Child-Pugh A/B); severe impairment (Child-Pugh C) has not been studied. Thrombocytopenia is more frequent in moderate–severe hepatic impairment. The UK SmPC says use only when benefit outweighs the theoretical risk.</t>
        </is>
      </c>
      <c r="I327" s="3" t="inlineStr">
        <is>
          <t>US label §12.3 Hepatic Impairment, §5.1; Taiwan 仿單 §11; UK SmPC 4.2</t>
        </is>
      </c>
      <c r="J327" s="3" t="inlineStr">
        <is>
          <t>Open</t>
        </is>
      </c>
      <c r="K327" s="3" t="inlineStr"/>
    </row>
    <row r="328">
      <c r="A328" s="3" t="n">
        <v>232</v>
      </c>
      <c r="B328" s="3" t="inlineStr">
        <is>
          <t>Amikacin (AMI12)</t>
        </is>
      </c>
      <c r="C328" s="9" t="inlineStr">
        <is>
          <t>Low</t>
        </is>
      </c>
      <c r="D328" s="3" t="inlineStr">
        <is>
          <t>Breastfeeding</t>
        </is>
      </c>
      <c r="E328" s="3" t="inlineStr">
        <is>
          <t>LactMed outdated</t>
        </is>
      </c>
      <c r="F328" s="3" t="inlineStr">
        <is>
          <t>Expand: poorly excreted in milk (trace–1.5 mg/L), infant effects unlikely; monitor infant GI flora (LactMed)</t>
        </is>
      </c>
      <c r="G328" s="3" t="inlineStr">
        <is>
          <t>Amikacin is present in breast milk.</t>
        </is>
      </c>
      <c r="H328" s="3" t="inlineStr">
        <is>
          <t>LactMed: poorly excreted into breastmilk (trace to 1.5 mg/L); systemic infant effects unlikely; monitor GI flora effects. US label: not known whether excreted. UK SmPC: excreted in human milk. The hospital wording is not wrong but is incomplete compared with LactMed.</t>
        </is>
      </c>
      <c r="I328" s="3" t="inlineStr">
        <is>
          <t>LactMed NBK501703, https://www.ncbi.nlm.nih.gov/books/NBK501703/</t>
        </is>
      </c>
      <c r="J328" s="3" t="inlineStr">
        <is>
          <t>Open</t>
        </is>
      </c>
      <c r="K328" s="3" t="inlineStr"/>
    </row>
    <row r="329">
      <c r="A329" s="3" t="n">
        <v>226</v>
      </c>
      <c r="B329" s="3" t="inlineStr">
        <is>
          <t>Amikacin (AMI12)</t>
        </is>
      </c>
      <c r="C329" s="9" t="inlineStr">
        <is>
          <t>Low</t>
        </is>
      </c>
      <c r="D329" s="3" t="inlineStr">
        <is>
          <t>Dosing – renal/dialysis</t>
        </is>
      </c>
      <c r="E329" s="3" t="inlineStr"/>
      <c r="F329" s="3" t="inlineStr">
        <is>
          <t>Cite ISPD guideline (PMID 35264029) for intraperitoneal dosing; not in labels</t>
        </is>
      </c>
      <c r="G329" s="3" t="inlineStr">
        <is>
          <t>IP continuous LD 25 mg/L, MD 12 mg/L (also copied into the Notion body)</t>
        </is>
      </c>
      <c r="H329" s="3" t="inlineStr">
        <is>
          <t>Not in any label. UK SmPC mentions only 0.25% irrigation and says intraperitoneal use is not recommended in young children or under anaesthesia/muscle relaxants. Needs an ISPD guideline citation (PMID 35264029).</t>
        </is>
      </c>
      <c r="I329" s="3" t="inlineStr">
        <is>
          <t>UK SmPC 4.2, 4.5 – https://www.medicines.org.uk/emc/product/3784/smpc</t>
        </is>
      </c>
      <c r="J329" s="3" t="inlineStr">
        <is>
          <t>Open</t>
        </is>
      </c>
      <c r="K329" s="3" t="inlineStr"/>
    </row>
    <row r="330">
      <c r="A330" s="3" t="n">
        <v>233</v>
      </c>
      <c r="B330" s="3" t="inlineStr">
        <is>
          <t>Amikacin (AMI12)</t>
        </is>
      </c>
      <c r="C330" s="9" t="inlineStr">
        <is>
          <t>Low</t>
        </is>
      </c>
      <c r="D330" s="3" t="inlineStr">
        <is>
          <t>Pharmacokinetics/other</t>
        </is>
      </c>
      <c r="E330" s="3" t="inlineStr"/>
      <c r="F330" s="3" t="inlineStr">
        <is>
          <t>Attach current TFDA insert PDF (衛署藥製字第024198號) to AMI12 page</t>
        </is>
      </c>
      <c r="G330" s="3" t="inlineStr">
        <is>
          <t>No insert link on the AMI12 page.</t>
        </is>
      </c>
      <c r="H330" s="3" t="inlineStr">
        <is>
          <t>A current TFDA insert exists for the stocked product: 衛署藥製字第024198號, PDF 054024198_仿單_111522-02, uploaded 2022-12-09, licence valid to 2029-10-08.</t>
        </is>
      </c>
      <c r="I330" s="3" t="inlineStr">
        <is>
          <t>https://mcp.fda.gov.tw/im_detail_1/%E8%A1%9B%E7%BD%B2%E8%97%A5%E8%A3%BD%E5%AD%97%E7%AC%AC024198%E8%99%9F</t>
        </is>
      </c>
      <c r="J330" s="3" t="inlineStr">
        <is>
          <t>Open</t>
        </is>
      </c>
      <c r="K330" s="3" t="inlineStr"/>
    </row>
    <row r="331">
      <c r="A331" s="3" t="n">
        <v>222</v>
      </c>
      <c r="B331" s="3" t="inlineStr">
        <is>
          <t>Amikacin (AMI12)</t>
        </is>
      </c>
      <c r="C331" s="9" t="inlineStr">
        <is>
          <t>Low</t>
        </is>
      </c>
      <c r="D331" s="3" t="inlineStr">
        <is>
          <t>Pregnancy</t>
        </is>
      </c>
      <c r="E331" s="3" t="inlineStr">
        <is>
          <t>FDA letter category</t>
        </is>
      </c>
      <c r="F331" s="3" t="inlineStr">
        <is>
          <t>Replace D with label narrative: aminoglycosides can cause fetal harm</t>
        </is>
      </c>
      <c r="G331" s="3" t="inlineStr">
        <is>
          <t>D; Amikacin crosses the placenta.</t>
        </is>
      </c>
      <c r="H331" s="3" t="inlineStr">
        <is>
          <t>FDA letter categories are retired. Current US label wording: 'Aminoglycosides can cause fetal harm when administered to a pregnant woman.' UK SmPC 4.6: use only when clearly needed. The Taiwan insert has no pregnancy section.</t>
        </is>
      </c>
      <c r="I331" s="3" t="inlineStr">
        <is>
          <t>US FDA label WARNINGS – https://dailymed.nlm.nih.gov/dailymed/drugInfo.cfm?setid=f260ff2a-76a0-4672-9516-91c344b67890; UK SmPC 4.6 – https://www.medicines.org.uk/emc/product/3784/smpc</t>
        </is>
      </c>
      <c r="J331" s="3" t="inlineStr">
        <is>
          <t>Open</t>
        </is>
      </c>
      <c r="K331" s="3" t="inlineStr"/>
    </row>
    <row r="332">
      <c r="A332" s="3" t="n">
        <v>228</v>
      </c>
      <c r="B332" s="3" t="inlineStr">
        <is>
          <t>Amikacin (AMI12)</t>
        </is>
      </c>
      <c r="C332" s="9" t="inlineStr">
        <is>
          <t>Low</t>
        </is>
      </c>
      <c r="D332" s="3" t="inlineStr">
        <is>
          <t>Pregnancy</t>
        </is>
      </c>
      <c r="E332" s="3" t="inlineStr">
        <is>
          <t>FDA letter category</t>
        </is>
      </c>
      <c r="F332" s="3" t="inlineStr">
        <is>
          <t>Replace D with narrative fetal-harm statement</t>
        </is>
      </c>
      <c r="G332" s="3" t="inlineStr">
        <is>
          <t>D; Amikacin crosses the placenta.</t>
        </is>
      </c>
      <c r="H332" s="3" t="inlineStr">
        <is>
          <t>FDA letter categories are retired. US label: 'Aminoglycosides can cause fetal harm when administered to a pregnant woman'; no positive evidence of fetal harm for amikacin specifically. UK SmPC 4.6: use only when clearly needed. TW insert has no pregnancy section.</t>
        </is>
      </c>
      <c r="I332" s="3" t="inlineStr">
        <is>
          <t>US label WARNINGS, https://dailymed.nlm.nih.gov/dailymed/drugInfo.cfm?setid=f260ff2a-76a0-4672-9516-91c344b67890 ; UK SmPC 4.6, https://www.medicines.org.uk/emc/product/3784/smpc</t>
        </is>
      </c>
      <c r="J332" s="3" t="inlineStr">
        <is>
          <t>Open</t>
        </is>
      </c>
      <c r="K332" s="3" t="inlineStr"/>
    </row>
    <row r="333">
      <c r="A333" s="3" t="n">
        <v>242</v>
      </c>
      <c r="B333" s="3" t="inlineStr">
        <is>
          <t>AmoClav (Amoxicillin/clavulanate) (AMO04, AMO08)</t>
        </is>
      </c>
      <c r="C333" s="9" t="inlineStr">
        <is>
          <t>Low</t>
        </is>
      </c>
      <c r="D333" s="3" t="inlineStr">
        <is>
          <t>Breastfeeding</t>
        </is>
      </c>
      <c r="E333" s="3" t="inlineStr"/>
      <c r="F333" s="3" t="inlineStr">
        <is>
          <t>Add infant restlessness and rash to monitoring advice (LactMed)</t>
        </is>
      </c>
      <c r="G333" s="3" t="inlineStr">
        <is>
          <t>Compatible; monitor infants for GI disturbances such as thrush and diarrhea</t>
        </is>
      </c>
      <c r="H333" s="3" t="inlineStr">
        <is>
          <t>LactMed: acceptable; monitor the infant for restlessness, diarrhoea and rash. The hospital entry omits restlessness and rash, the most frequent reactions reported. Minor.</t>
        </is>
      </c>
      <c r="I333" s="3" t="inlineStr">
        <is>
          <t>LactMed NBK500776 — https://www.ncbi.nlm.nih.gov/books/NBK500776/</t>
        </is>
      </c>
      <c r="J333" s="3" t="inlineStr">
        <is>
          <t>Open</t>
        </is>
      </c>
      <c r="K333" s="3" t="inlineStr"/>
    </row>
    <row r="334">
      <c r="A334" s="3" t="n">
        <v>243</v>
      </c>
      <c r="B334" s="3" t="inlineStr">
        <is>
          <t>AmoClav (Amoxicillin/clavulanate) (AMO04, AMO08)</t>
        </is>
      </c>
      <c r="C334" s="9" t="inlineStr">
        <is>
          <t>Low</t>
        </is>
      </c>
      <c r="D334" s="3" t="inlineStr">
        <is>
          <t>Contraindication/warning</t>
        </is>
      </c>
      <c r="E334" s="3" t="inlineStr"/>
      <c r="F334" s="3" t="inlineStr">
        <is>
          <t>Clarify cross-beta-lactam contraindication applies to severe immediate reactions, incl. carbapenems/monobactams</t>
        </is>
      </c>
      <c r="G334" s="3" t="inlineStr">
        <is>
          <t>Hypersensitivity to amoxicillin, clavulanic acid, other beta-lactams (penicillins, cephalosporins); history of cholestatic jaundice/hepatic dysfunction with amox/clav</t>
        </is>
      </c>
      <c r="H334" s="3" t="inlineStr">
        <is>
          <t>Consistent overall. The SmPC adds that the other-β-lactam contraindication applies to severe immediate reactions (e.g. anaphylaxis) and also covers carbapenems and monobactams. Minor wording difference only.</t>
        </is>
      </c>
      <c r="I334" s="3" t="inlineStr">
        <is>
          <t>UK SmPC 4.3 — https://www.medicines.org.uk/emc/product/7211/smpc; US label 4.1 — https://dailymed.nlm.nih.gov/dailymed/drugInfo.cfm?setid=80bef3fd-4f6f-4190-8865-9ac46c8947a3</t>
        </is>
      </c>
      <c r="J334" s="3" t="inlineStr">
        <is>
          <t>Open</t>
        </is>
      </c>
      <c r="K334" s="3" t="inlineStr"/>
    </row>
    <row r="335">
      <c r="A335" s="3" t="n">
        <v>255</v>
      </c>
      <c r="B335" s="3" t="inlineStr">
        <is>
          <t>AmoClav (Amoxicillin/clavulanate) (AMO04, AMO08)</t>
        </is>
      </c>
      <c r="C335" s="9" t="inlineStr">
        <is>
          <t>Low</t>
        </is>
      </c>
      <c r="D335" s="3" t="inlineStr">
        <is>
          <t>Pharmacokinetics/other</t>
        </is>
      </c>
      <c r="E335" s="3" t="inlineStr"/>
      <c r="F335" s="3" t="inlineStr">
        <is>
          <t>Replace oral Tmax with IV PK (peak at end of injection)</t>
        </is>
      </c>
      <c r="G335" s="3" t="inlineStr">
        <is>
          <t>Clavulanic acid time to peak 1.5 hours</t>
        </is>
      </c>
      <c r="H335" s="3" t="inlineStr">
        <is>
          <t>This is an oral parameter. After an IV bolus, the peak is at end of injection (1000/200 mg bolus: amoxicillin Cmax 105.4 µg/mL, clavulanate Cmax 28.5 µg/mL).</t>
        </is>
      </c>
      <c r="I335" s="3" t="inlineStr">
        <is>
          <t>UK SmPC §5.2, https://www.medicines.org.uk/emc/product/7211/smpc</t>
        </is>
      </c>
      <c r="J335" s="3" t="inlineStr">
        <is>
          <t>Open</t>
        </is>
      </c>
      <c r="K335" s="3" t="inlineStr"/>
    </row>
    <row r="336">
      <c r="A336" s="3" t="n">
        <v>256</v>
      </c>
      <c r="B336" s="3" t="inlineStr">
        <is>
          <t>AmoClav (Amoxicillin/clavulanate) (AMO04, AMO08)</t>
        </is>
      </c>
      <c r="C336" s="9" t="inlineStr">
        <is>
          <t>Low</t>
        </is>
      </c>
      <c r="D336" s="3" t="inlineStr">
        <is>
          <t>Pharmacokinetics/other</t>
        </is>
      </c>
      <c r="E336" s="3" t="inlineStr"/>
      <c r="F336" s="3" t="inlineStr">
        <is>
          <t>ATC code: J01CR02 only</t>
        </is>
      </c>
      <c r="G336" s="3" t="inlineStr">
        <is>
          <t>J01CR02, J01CA04, J01CG</t>
        </is>
      </c>
      <c r="H336" s="3" t="inlineStr">
        <is>
          <t>J01CR02 only. J01CA04 is amoxicillin alone and J01CG is β-lactamase inhibitors alone.</t>
        </is>
      </c>
      <c r="I336" s="3" t="inlineStr">
        <is>
          <t>UK SmPC §5.1 (ATC code: J01CR02), https://www.medicines.org.uk/emc/product/7211/smpc</t>
        </is>
      </c>
      <c r="J336" s="3" t="inlineStr">
        <is>
          <t>Open</t>
        </is>
      </c>
      <c r="K336" s="3" t="inlineStr"/>
    </row>
    <row r="337">
      <c r="A337" s="3" t="n">
        <v>264</v>
      </c>
      <c r="B337" s="3" t="inlineStr">
        <is>
          <t>Antifect (Cefepime) (ANT10)</t>
        </is>
      </c>
      <c r="C337" s="9" t="inlineStr">
        <is>
          <t>Low</t>
        </is>
      </c>
      <c r="D337" s="3" t="inlineStr">
        <is>
          <t>Pharmacokinetics/other</t>
        </is>
      </c>
      <c r="E337" s="3" t="inlineStr"/>
      <c r="F337" s="3" t="inlineStr">
        <is>
          <t>Attach TFDA Antifect insert link (衛署藥製字第047983號)</t>
        </is>
      </c>
      <c r="G337" s="3" t="inlineStr">
        <is>
          <t>The product page has no package-insert link.</t>
        </is>
      </c>
      <c r="H337" s="3" t="inlineStr">
        <is>
          <t>The TFDA platform has the Antifect insert (衛署藥製字第047983號), but its online version shows no revision date. The latest history PDF is dated 106/07/24.</t>
        </is>
      </c>
      <c r="I337" s="3" t="inlineStr">
        <is>
          <t>TFDA 藥品仿單查詢平台 — https://mcp.fda.gov.tw/im_detail_1/%E8%A1%9B%E7%BD%B2%E8%97%A5%E8%A3%BD%E5%AD%97%E7%AC%AC047983%E8%99%9F</t>
        </is>
      </c>
      <c r="J337" s="3" t="inlineStr">
        <is>
          <t>Open</t>
        </is>
      </c>
      <c r="K337" s="3" t="inlineStr"/>
    </row>
    <row r="338">
      <c r="A338" s="3" t="n">
        <v>262</v>
      </c>
      <c r="B338" s="3" t="inlineStr">
        <is>
          <t>Antifect (Cefepime) (ANT10)</t>
        </is>
      </c>
      <c r="C338" s="9" t="inlineStr">
        <is>
          <t>Low</t>
        </is>
      </c>
      <c r="D338" s="3" t="inlineStr">
        <is>
          <t>Pregnancy</t>
        </is>
      </c>
      <c r="E338" s="3" t="inlineStr">
        <is>
          <t>FDA letter category</t>
        </is>
      </c>
      <c r="F338" s="3" t="inlineStr">
        <is>
          <t>Replace category B with PLLR narrative: cephalosporin data reassuring; TW: use only if clearly needed</t>
        </is>
      </c>
      <c r="G338" s="3" t="inlineStr">
        <is>
          <t>懷孕分類 B; 'There are no adequate and well-controlled studies of cefepime use in pregnant women.'</t>
        </is>
      </c>
      <c r="H338" s="3" t="inlineStr">
        <is>
          <t>FDA letter categories are retired. The current FDA 8.1 Risk Summary says decades of observational data with cephalosporins show no drug-associated risk, and animal studies are negative. Taiwan insert: use only if clearly needed.</t>
        </is>
      </c>
      <c r="I338" s="3" t="inlineStr">
        <is>
          <t>US FDA label 8.1 — https://dailymed.nlm.nih.gov/dailymed/drugInfo.cfm?setid=de477f37-40f6-4295-ae72-a2ee36a8922e; Taiwan Antifect insert 6.1</t>
        </is>
      </c>
      <c r="J338" s="3" t="inlineStr">
        <is>
          <t>Open</t>
        </is>
      </c>
      <c r="K338" s="3" t="inlineStr"/>
    </row>
    <row r="339">
      <c r="A339" s="3" t="n">
        <v>266</v>
      </c>
      <c r="B339" s="3" t="inlineStr">
        <is>
          <t>Antifect (Cefepime) (ANT10)</t>
        </is>
      </c>
      <c r="C339" s="9" t="inlineStr">
        <is>
          <t>Low</t>
        </is>
      </c>
      <c r="D339" s="3" t="inlineStr">
        <is>
          <t>Pregnancy</t>
        </is>
      </c>
      <c r="E339" s="3" t="inlineStr">
        <is>
          <t>FDA letter category</t>
        </is>
      </c>
      <c r="F339" s="3" t="inlineStr">
        <is>
          <t>Remove letter B; use FDA 8.1 narrative and TW 'use only if clearly needed'</t>
        </is>
      </c>
      <c r="G339" s="3" t="inlineStr">
        <is>
          <t>B</t>
        </is>
      </c>
      <c r="H339" s="3" t="inlineStr">
        <is>
          <t>No letter category; FDA PLLR narrative Risk Summary (no cefepime cases; cephalosporin data reassuring; animal studies negative). TW insert: use only if clearly needed.</t>
        </is>
      </c>
      <c r="I339" s="3" t="inlineStr">
        <is>
          <t>US FDA label §8.1 — https://dailymed.nlm.nih.gov/dailymed/drugInfo.cfm?setid=de477f37-40f6-4295-ae72-a2ee36a8922e ; Taiwan Antifect insert §6.1</t>
        </is>
      </c>
      <c r="J339" s="3" t="inlineStr">
        <is>
          <t>Open</t>
        </is>
      </c>
      <c r="K339" s="3" t="inlineStr"/>
    </row>
    <row r="340">
      <c r="A340" s="3" t="n">
        <v>276</v>
      </c>
      <c r="B340" s="3" t="inlineStr">
        <is>
          <t>Brosym (cefoperazone-sulbactam) (BRO04, BUR01)</t>
        </is>
      </c>
      <c r="C340" s="9" t="inlineStr">
        <is>
          <t>Low</t>
        </is>
      </c>
      <c r="D340" s="3" t="inlineStr">
        <is>
          <t>Pharmacokinetics/other</t>
        </is>
      </c>
      <c r="E340" s="3" t="inlineStr"/>
      <c r="F340" s="3" t="inlineStr">
        <is>
          <t>Check Burotam licence renewal (expires 2026-12-07) and newer insert</t>
        </is>
      </c>
      <c r="G340" s="3" t="inlineStr">
        <is>
          <t>Burotam is listed as a current stocked product.</t>
        </is>
      </c>
      <c r="H340" s="3" t="inlineStr">
        <is>
          <t>The TFDA licence 衛部藥製字第061039號 is valid until 115-12-07 (2026-12-07), about 2 months from now. Check renewal and whether a newer insert version exists.</t>
        </is>
      </c>
      <c r="I340" s="3" t="inlineStr">
        <is>
          <t>TFDA Burotam page — https://mcp.fda.gov.tw/im_detail_1/%E8%A1%9B%E9%83%A8%E8%97%A5%E8%A3%BD%E5%AD%97%E7%AC%AC061039%E8%99%9F</t>
        </is>
      </c>
      <c r="J340" s="3" t="inlineStr">
        <is>
          <t>Open</t>
        </is>
      </c>
      <c r="K340" s="3" t="inlineStr"/>
    </row>
    <row r="341">
      <c r="A341" s="3" t="n">
        <v>283</v>
      </c>
      <c r="B341" s="3" t="inlineStr">
        <is>
          <t>Brosym (cefoperazone-sulbactam) (BRO04, BUR01)</t>
        </is>
      </c>
      <c r="C341" s="9" t="inlineStr">
        <is>
          <t>Low</t>
        </is>
      </c>
      <c r="D341" s="3" t="inlineStr">
        <is>
          <t>Pharmacokinetics/other</t>
        </is>
      </c>
      <c r="E341" s="3" t="inlineStr"/>
      <c r="F341" s="3" t="inlineStr">
        <is>
          <t>Verify Burotam licence renewal before 2026-12-07</t>
        </is>
      </c>
      <c r="G341" s="3" t="inlineStr">
        <is>
          <t>Listed as a current formulary item</t>
        </is>
      </c>
      <c r="H341" s="3" t="inlineStr">
        <is>
          <t>TFDA licence 衛部藥製字第061039號 is valid only to 115-12-07 (2026-12-07), about 2 months from now; renewal should be checked</t>
        </is>
      </c>
      <c r="I341" s="3" t="inlineStr">
        <is>
          <t>TFDA Burotam page https://mcp.fda.gov.tw/im_detail_1/%E8%A1%9B%E9%83%A8%E8%97%A5%E8%A3%BD%E5%AD%97%E7%AC%AC061039%E8%99%9F</t>
        </is>
      </c>
      <c r="J341" s="3" t="inlineStr">
        <is>
          <t>Open</t>
        </is>
      </c>
      <c r="K341" s="3" t="inlineStr"/>
    </row>
    <row r="342">
      <c r="A342" s="3" t="n">
        <v>272</v>
      </c>
      <c r="B342" s="3" t="inlineStr">
        <is>
          <t>Brosym (cefoperazone-sulbactam) (BRO04, BUR01)</t>
        </is>
      </c>
      <c r="C342" s="9" t="inlineStr">
        <is>
          <t>Low</t>
        </is>
      </c>
      <c r="D342" s="3" t="inlineStr">
        <is>
          <t>Pregnancy</t>
        </is>
      </c>
      <c r="E342" s="3" t="inlineStr">
        <is>
          <t>FDA letter category</t>
        </is>
      </c>
      <c r="F342" s="3" t="inlineStr">
        <is>
          <t>Remove 'B (FDA)'; no FDA label; TW: use only if benefit outweighs risk</t>
        </is>
      </c>
      <c r="G342" s="3" t="inlineStr">
        <is>
          <t>B (FDA)</t>
        </is>
      </c>
      <c r="H342" s="3" t="inlineStr">
        <is>
          <t>The product has no FDA label, and FDA letter categories are retired. The Taiwan insert says to use only if the therapeutic benefit outweighs the risk.</t>
        </is>
      </c>
      <c r="I342" s="3" t="inlineStr">
        <is>
          <t>Brosym TW insert §6.1; DailyMed 0 results — https://dailymed.nlm.nih.gov/dailymed/services/v2/spls.json?drug_name=cefoperazone</t>
        </is>
      </c>
      <c r="J342" s="3" t="inlineStr">
        <is>
          <t>Open</t>
        </is>
      </c>
      <c r="K342" s="3" t="inlineStr"/>
    </row>
    <row r="343">
      <c r="A343" s="3" t="n">
        <v>279</v>
      </c>
      <c r="B343" s="3" t="inlineStr">
        <is>
          <t>Brosym (cefoperazone-sulbactam) (BRO04, BUR01)</t>
        </is>
      </c>
      <c r="C343" s="9" t="inlineStr">
        <is>
          <t>Low</t>
        </is>
      </c>
      <c r="D343" s="3" t="inlineStr">
        <is>
          <t>Pregnancy</t>
        </is>
      </c>
      <c r="E343" s="3" t="inlineStr">
        <is>
          <t>FDA letter category</t>
        </is>
      </c>
      <c r="F343" s="3" t="inlineStr">
        <is>
          <t>Remove 'B (FDA)'; use TW insert benefit-risk wording</t>
        </is>
      </c>
      <c r="G343" s="3" t="inlineStr">
        <is>
          <t>B (FDA)</t>
        </is>
      </c>
      <c r="H343" s="3" t="inlineStr">
        <is>
          <t>No FDA label exists for this product, and FDA letter categories are retired. TW 仿單 §6.1: use only if benefit outweighs risk</t>
        </is>
      </c>
      <c r="I343" s="3" t="inlineStr">
        <is>
          <t>TFDA insert Brosym §6.1; DailyMed spls API returns 0 for cefoperazone</t>
        </is>
      </c>
      <c r="J343" s="3" t="inlineStr">
        <is>
          <t>Open</t>
        </is>
      </c>
      <c r="K343" s="3" t="inlineStr"/>
    </row>
    <row r="344">
      <c r="A344" s="3" t="n">
        <v>285</v>
      </c>
      <c r="B344" s="3" t="inlineStr">
        <is>
          <t>Cefin (Ceftriaxone) (CEF10)</t>
        </is>
      </c>
      <c r="C344" s="9" t="inlineStr">
        <is>
          <t>Low</t>
        </is>
      </c>
      <c r="D344" s="3" t="inlineStr">
        <is>
          <t>Dosing – renal/dialysis</t>
        </is>
      </c>
      <c r="E344" s="3" t="inlineStr"/>
      <c r="F344" s="3" t="inlineStr">
        <is>
          <t>Cite literature source for CRRT statement; note no PIRRT data</t>
        </is>
      </c>
      <c r="G344" s="3" t="inlineStr">
        <is>
          <t>CRRT, PIRRT: no dosage adjustment necessary</t>
        </is>
      </c>
      <c r="H344" s="3" t="inlineStr">
        <is>
          <t>No label addresses CRRT or PIRRT. The CRRT statement is supported only by literature (Kroh 1996 CVVH PK, PMID 9013367); nothing supporting PIRRT was found in the labels.</t>
        </is>
      </c>
      <c r="I344" s="3" t="inlineStr">
        <is>
          <t>https://pubmed.ncbi.nlm.nih.gov/9013367/</t>
        </is>
      </c>
      <c r="J344" s="3" t="inlineStr">
        <is>
          <t>Open</t>
        </is>
      </c>
      <c r="K344" s="3" t="inlineStr"/>
    </row>
    <row r="345">
      <c r="A345" s="3" t="n">
        <v>291</v>
      </c>
      <c r="B345" s="3" t="inlineStr">
        <is>
          <t>Cefin (Ceftriaxone) (CEF10)</t>
        </is>
      </c>
      <c r="C345" s="9" t="inlineStr">
        <is>
          <t>Low</t>
        </is>
      </c>
      <c r="D345" s="3" t="inlineStr">
        <is>
          <t>Dosing – renal/dialysis</t>
        </is>
      </c>
      <c r="E345" s="3" t="inlineStr"/>
      <c r="F345" s="3" t="inlineStr">
        <is>
          <t>Add PubMed references for CRRT; state no PIRRT data</t>
        </is>
      </c>
      <c r="G345" s="3" t="inlineStr">
        <is>
          <t>CRRT, PIRRT: no dosage adjustment necessary.</t>
        </is>
      </c>
      <c r="H345" s="3" t="inlineStr">
        <is>
          <t>No label addresses CRRT or PIRRT. PubMed PK data support no reduction in CRRT: Kroh 1996, PMID 9013367 (CVVH); Ulldemolins 2021, PMID 33559708 (CVVHDF, 1 g q24h adequate). The site's statement is plausible but has no source; I found no PIRRT data.</t>
        </is>
      </c>
      <c r="I345" s="3" t="inlineStr">
        <is>
          <t>https://pubmed.ncbi.nlm.nih.gov/9013367/ ; https://pubmed.ncbi.nlm.nih.gov/33559708/</t>
        </is>
      </c>
      <c r="J345" s="3" t="inlineStr">
        <is>
          <t>Open</t>
        </is>
      </c>
      <c r="K345" s="3" t="inlineStr"/>
    </row>
    <row r="346">
      <c r="A346" s="3" t="n">
        <v>288</v>
      </c>
      <c r="B346" s="3" t="inlineStr">
        <is>
          <t>Cefin (Ceftriaxone) (CEF10)</t>
        </is>
      </c>
      <c r="C346" s="9" t="inlineStr">
        <is>
          <t>Low</t>
        </is>
      </c>
      <c r="D346" s="3" t="inlineStr">
        <is>
          <t>Pregnancy</t>
        </is>
      </c>
      <c r="E346" s="3" t="inlineStr"/>
      <c r="F346" s="3" t="inlineStr">
        <is>
          <t>Add risk statements: pregnancy use only if clearly needed; lactation acceptable, monitor infant diarrhoea/thrush</t>
        </is>
      </c>
      <c r="G346" s="3" t="inlineStr">
        <is>
          <t>'Ceftriaxone crosses the placenta' / 'Ceftriaxone is present in breast milk' (no risk statement)</t>
        </is>
      </c>
      <c r="H346" s="3" t="inlineStr">
        <is>
          <t>Pregnancy: human safety not established, animal studies show no teratogenicity, use only if clearly needed (FDA/TW/SmPC). Lactation: low milk levels, acceptable, possible infant diarrhoea/thrush (LactMed); use with caution (FDA/TW). The hospital entries are incomplete rather than wrong.</t>
        </is>
      </c>
      <c r="I346" s="3" t="inlineStr">
        <is>
          <t>LactMed https://www.ncbi.nlm.nih.gov/books/NBK501453/ ; TW insert 2.5.1/2.5.2 ; US FDA Teratogenic Effects/Nursing Mothers</t>
        </is>
      </c>
      <c r="J346" s="3" t="inlineStr">
        <is>
          <t>Open</t>
        </is>
      </c>
      <c r="K346" s="3" t="inlineStr"/>
    </row>
    <row r="347">
      <c r="A347" s="3" t="n">
        <v>296</v>
      </c>
      <c r="B347" s="3" t="inlineStr">
        <is>
          <t>Cefin (Ceftriaxone) (CEF10)</t>
        </is>
      </c>
      <c r="C347" s="9" t="inlineStr">
        <is>
          <t>Low</t>
        </is>
      </c>
      <c r="D347" s="3" t="inlineStr">
        <is>
          <t>Pregnancy</t>
        </is>
      </c>
      <c r="E347" s="3" t="inlineStr"/>
      <c r="F347" s="3" t="inlineStr">
        <is>
          <t>Add pregnancy benefit-risk wording and LactMed 'acceptable', monitor infant diarrhoea/thrush</t>
        </is>
      </c>
      <c r="G347" s="3" t="inlineStr">
        <is>
          <t>Pregnancy: 'Ceftriaxone crosses the placenta'. Lactation: 'present in breast milk'. No further guidance.</t>
        </is>
      </c>
      <c r="H347" s="3" t="inlineStr">
        <is>
          <t>Pregnancy: the 仿單 says safety in human pregnancy is not established, and the SmPC says use only if benefit outweighs risk, especially in the first trimester. Lactation: LactMed rates it 'acceptable', with low levels (infant dose about 0.5% of the maternal dose), and advises monitoring for diarrhoea or thrush.</t>
        </is>
      </c>
      <c r="I347" s="3" t="inlineStr">
        <is>
          <t>仿單 2.5.1/2.5.2; SmPC 4.6; LactMed NBK501453 https://www.ncbi.nlm.nih.gov/books/NBK501453/</t>
        </is>
      </c>
      <c r="J347" s="3" t="inlineStr">
        <is>
          <t>Open</t>
        </is>
      </c>
      <c r="K347" s="3" t="inlineStr"/>
    </row>
    <row r="348">
      <c r="A348" s="3" t="n">
        <v>304</v>
      </c>
      <c r="B348" s="3" t="inlineStr">
        <is>
          <t>Cefmore (Cefoxitin) (CEF08)</t>
        </is>
      </c>
      <c r="C348" s="9" t="inlineStr">
        <is>
          <t>Low</t>
        </is>
      </c>
      <c r="D348" s="3" t="inlineStr">
        <is>
          <t>Administration/compatibility</t>
        </is>
      </c>
      <c r="E348" s="3" t="inlineStr"/>
      <c r="F348" s="3" t="inlineStr">
        <is>
          <t>Storage: below 25°C, protect from light</t>
        </is>
      </c>
      <c r="G348" s="3" t="inlineStr">
        <is>
          <t>請置於 15-30℃ 乾燥處儲存</t>
        </is>
      </c>
      <c r="H348" s="3" t="inlineStr">
        <is>
          <t>25℃以下避光儲存</t>
        </is>
      </c>
      <c r="I348" s="3" t="inlineStr">
        <is>
          <t>Taiwan 仿單 §13.3 儲存條件 (reported for the hospital only; not to be added to Notion)</t>
        </is>
      </c>
      <c r="J348" s="3" t="inlineStr">
        <is>
          <t>Open</t>
        </is>
      </c>
      <c r="K348" s="3" t="inlineStr"/>
    </row>
    <row r="349">
      <c r="A349" s="3" t="n">
        <v>313</v>
      </c>
      <c r="B349" s="3" t="inlineStr">
        <is>
          <t>Cefmore (Cefoxitin) (CEF08)</t>
        </is>
      </c>
      <c r="C349" s="9" t="inlineStr">
        <is>
          <t>Low</t>
        </is>
      </c>
      <c r="D349" s="3" t="inlineStr">
        <is>
          <t>Administration/compatibility</t>
        </is>
      </c>
      <c r="E349" s="3" t="inlineStr"/>
      <c r="F349" s="3" t="inlineStr">
        <is>
          <t>Storage: below 25°C, protect from light</t>
        </is>
      </c>
      <c r="G349" s="3" t="inlineStr">
        <is>
          <t>請置於 15-30℃ 乾燥處儲存</t>
        </is>
      </c>
      <c r="H349" s="3" t="inlineStr">
        <is>
          <t>25℃以下避光儲存 (store below 25 °C, protected from light)</t>
        </is>
      </c>
      <c r="I349" s="3" t="inlineStr">
        <is>
          <t>Taiwan insert §13.3 儲存條件</t>
        </is>
      </c>
      <c r="J349" s="3" t="inlineStr">
        <is>
          <t>Open</t>
        </is>
      </c>
      <c r="K349" s="3" t="inlineStr"/>
    </row>
    <row r="350">
      <c r="A350" s="3" t="n">
        <v>303</v>
      </c>
      <c r="B350" s="3" t="inlineStr">
        <is>
          <t>Cefmore (Cefoxitin) (CEF08)</t>
        </is>
      </c>
      <c r="C350" s="9" t="inlineStr">
        <is>
          <t>Low</t>
        </is>
      </c>
      <c r="D350" s="3" t="inlineStr">
        <is>
          <t>Pharmacokinetics/other</t>
        </is>
      </c>
      <c r="E350" s="3" t="inlineStr"/>
      <c r="F350" s="3" t="inlineStr">
        <is>
          <t>Attach TFDA insert link (衛署藥製字第038843號)</t>
        </is>
      </c>
      <c r="G350" s="3" t="inlineStr">
        <is>
          <t>Empty</t>
        </is>
      </c>
      <c r="H350" s="3" t="inlineStr">
        <is>
          <t>The TFDA insert is available online for 衛署藥製字第038843號</t>
        </is>
      </c>
      <c r="I350" s="3" t="inlineStr">
        <is>
          <t>https://mcp.fda.gov.tw/im_detail_1/%E8%A1%9B%E7%BD%B2%E8%97%A5%E8%A3%BD%E5%AD%97%E7%AC%AC038843%E8%99%9F</t>
        </is>
      </c>
      <c r="J350" s="3" t="inlineStr">
        <is>
          <t>Open</t>
        </is>
      </c>
      <c r="K350" s="3" t="inlineStr"/>
    </row>
    <row r="351">
      <c r="A351" s="3" t="n">
        <v>306</v>
      </c>
      <c r="B351" s="3" t="inlineStr">
        <is>
          <t>Cefmore (Cefoxitin) (CEF08)</t>
        </is>
      </c>
      <c r="C351" s="9" t="inlineStr">
        <is>
          <t>Low</t>
        </is>
      </c>
      <c r="D351" s="3" t="inlineStr">
        <is>
          <t>Pharmacokinetics/other</t>
        </is>
      </c>
      <c r="E351" s="3" t="inlineStr"/>
      <c r="F351" s="3" t="inlineStr">
        <is>
          <t>Protein binding: 65–80%</t>
        </is>
      </c>
      <c r="G351" s="3" t="inlineStr">
        <is>
          <t>41% to 75%</t>
        </is>
      </c>
      <c r="H351" s="3" t="inlineStr">
        <is>
          <t>65-80%</t>
        </is>
      </c>
      <c r="I351" s="3" t="inlineStr">
        <is>
          <t>UK SmPC §5.2 – https://www.medicines.org.uk/emc/product/10505/smpc</t>
        </is>
      </c>
      <c r="J351" s="3" t="inlineStr">
        <is>
          <t>Open</t>
        </is>
      </c>
      <c r="K351" s="3" t="inlineStr"/>
    </row>
    <row r="352">
      <c r="A352" s="3" t="n">
        <v>311</v>
      </c>
      <c r="B352" s="3" t="inlineStr">
        <is>
          <t>Cefmore (Cefoxitin) (CEF08)</t>
        </is>
      </c>
      <c r="C352" s="9" t="inlineStr">
        <is>
          <t>Low</t>
        </is>
      </c>
      <c r="D352" s="3" t="inlineStr">
        <is>
          <t>Pharmacokinetics/other</t>
        </is>
      </c>
      <c r="E352" s="3" t="inlineStr"/>
      <c r="F352" s="3" t="inlineStr">
        <is>
          <t>Attach current TFDA insert for Cefmore</t>
        </is>
      </c>
      <c r="G352" s="3" t="inlineStr">
        <is>
          <t>Empty</t>
        </is>
      </c>
      <c r="H352" s="3" t="inlineStr">
        <is>
          <t>A TFDA insert exists for the stocked product (Cefmore, 衛署藥製字第038843號). Older PDF versions are dated 103-05-15, 106-02-08, 106-06-28 and 106-09-30.</t>
        </is>
      </c>
      <c r="I352" s="3" t="inlineStr">
        <is>
          <t>TFDA 藥品仿單查詢平台 https://mcp.fda.gov.tw/im_detail_1/%E8%A1%9B%E7%BD%B2%E8%97%A5%E8%A3%BD%E5%AD%97%E7%AC%AC038843%E8%99%9F</t>
        </is>
      </c>
      <c r="J352" s="3" t="inlineStr">
        <is>
          <t>Open</t>
        </is>
      </c>
      <c r="K352" s="3" t="inlineStr"/>
    </row>
    <row r="353">
      <c r="A353" s="3" t="n">
        <v>315</v>
      </c>
      <c r="B353" s="3" t="inlineStr">
        <is>
          <t>Cefmore (Cefoxitin) (CEF08)</t>
        </is>
      </c>
      <c r="C353" s="9" t="inlineStr">
        <is>
          <t>Low</t>
        </is>
      </c>
      <c r="D353" s="3" t="inlineStr">
        <is>
          <t>Pharmacokinetics/other</t>
        </is>
      </c>
      <c r="E353" s="3" t="inlineStr"/>
      <c r="F353" s="3" t="inlineStr">
        <is>
          <t>Protein binding: 65–80%</t>
        </is>
      </c>
      <c r="G353" s="3" t="inlineStr">
        <is>
          <t>41% to 75%</t>
        </is>
      </c>
      <c r="H353" s="3" t="inlineStr">
        <is>
          <t>Plasma protein binding 65-80%</t>
        </is>
      </c>
      <c r="I353" s="3" t="inlineStr">
        <is>
          <t>UK SmPC Renoxitin §5.2</t>
        </is>
      </c>
      <c r="J353" s="3" t="inlineStr">
        <is>
          <t>Open</t>
        </is>
      </c>
      <c r="K353" s="3" t="inlineStr"/>
    </row>
    <row r="354">
      <c r="A354" s="3" t="n">
        <v>299</v>
      </c>
      <c r="B354" s="3" t="inlineStr">
        <is>
          <t>Cefmore (Cefoxitin) (CEF08)</t>
        </is>
      </c>
      <c r="C354" s="9" t="inlineStr">
        <is>
          <t>Low</t>
        </is>
      </c>
      <c r="D354" s="3" t="inlineStr">
        <is>
          <t>Pregnancy</t>
        </is>
      </c>
      <c r="E354" s="3" t="inlineStr">
        <is>
          <t>FDA letter category</t>
        </is>
      </c>
      <c r="F354" s="3" t="inlineStr">
        <is>
          <t>Remove category B; use narrative (no teratogenicity; use if clearly needed)</t>
        </is>
      </c>
      <c r="G354" s="3" t="inlineStr">
        <is>
          <t>B (FDA)</t>
        </is>
      </c>
      <c r="H354" s="3" t="inlineStr">
        <is>
          <t>FDA letter categories are retired. The US label says no teratogenicity in rats/mice and no adequate human studies, so use only if clearly needed. The UK SmPC says a large amount of human data shows no malformative or fetotoxic effect. The Taiwan insert's 'B級' is also outdated.</t>
        </is>
      </c>
      <c r="I354" s="3" t="inlineStr">
        <is>
          <t>US FDA label PRECAUTIONS – Pregnancy (DailyMed setid 658a0dc6-…); UK SmPC §4.6 – https://www.medicines.org.uk/emc/product/10505/smpc</t>
        </is>
      </c>
      <c r="J354" s="3" t="inlineStr">
        <is>
          <t>Open</t>
        </is>
      </c>
      <c r="K354" s="3" t="inlineStr"/>
    </row>
    <row r="355">
      <c r="A355" s="3" t="n">
        <v>309</v>
      </c>
      <c r="B355" s="3" t="inlineStr">
        <is>
          <t>Cefmore (Cefoxitin) (CEF08)</t>
        </is>
      </c>
      <c r="C355" s="9" t="inlineStr">
        <is>
          <t>Low</t>
        </is>
      </c>
      <c r="D355" s="3" t="inlineStr">
        <is>
          <t>Pregnancy</t>
        </is>
      </c>
      <c r="E355" s="3" t="inlineStr">
        <is>
          <t>FDA letter category</t>
        </is>
      </c>
      <c r="F355" s="3" t="inlineStr">
        <is>
          <t>Remove category B; use US/UK narrative wording</t>
        </is>
      </c>
      <c r="G355" s="3" t="inlineStr">
        <is>
          <t>B (FDA)</t>
        </is>
      </c>
      <c r="H355" s="3" t="inlineStr">
        <is>
          <t>FDA letter categories are retired. US label: animal studies show no teratogenicity; no adequate human studies; use only if clearly needed. UK SmPC: large clinical dataset shows no malformative or fetotoxic effect. (The TW insert also still says B級, which is outdated.)</t>
        </is>
      </c>
      <c r="I355" s="3" t="inlineStr">
        <is>
          <t>US FDA label PRECAUTIONS – Pregnancy; UK SmPC Renoxitin §4.6</t>
        </is>
      </c>
      <c r="J355" s="3" t="inlineStr">
        <is>
          <t>Open</t>
        </is>
      </c>
      <c r="K355" s="3" t="inlineStr"/>
    </row>
    <row r="356">
      <c r="A356" s="3" t="n">
        <v>319</v>
      </c>
      <c r="B356" s="3" t="inlineStr">
        <is>
          <t>Cetazone (Cefmetazole) (CET03)</t>
        </is>
      </c>
      <c r="C356" s="9" t="inlineStr">
        <is>
          <t>Low</t>
        </is>
      </c>
      <c r="D356" s="3" t="inlineStr">
        <is>
          <t>Contraindication/warning</t>
        </is>
      </c>
      <c r="E356" s="3" t="inlineStr"/>
      <c r="F356" s="3" t="inlineStr">
        <is>
          <t>Note jaundiced-neonate contraindication is not in TW insert; label: cephem allergy only</t>
        </is>
      </c>
      <c r="G356" s="3" t="inlineStr">
        <is>
          <t>Contraindicated in jaundiced newborns (bilirubin displacement)</t>
        </is>
      </c>
      <c r="H356" s="3" t="inlineStr">
        <is>
          <t>TW insert §4 禁忌 says '目前尚無資訊'. The only label 'do not use' is cephem allergy (§5.1(2)). The neonatal hyperbilirubinemia contraindication does not appear in the stocked product's label.</t>
        </is>
      </c>
      <c r="I356" s="3" t="inlineStr">
        <is>
          <t>TW仿單 §4, §5.1, https://mcp.fda.gov.tw/im_detail_1/%E8%A1%9B%E7%BD%B2%E8%97%A5%E8%A3%BD%E5%AD%97%E7%AC%AC035182%E8%99%9F</t>
        </is>
      </c>
      <c r="J356" s="3" t="inlineStr">
        <is>
          <t>Open</t>
        </is>
      </c>
      <c r="K356" s="3" t="inlineStr"/>
    </row>
    <row r="357">
      <c r="A357" s="3" t="n">
        <v>324</v>
      </c>
      <c r="B357" s="3" t="inlineStr">
        <is>
          <t>Cetazone (Cefmetazole) (CET03)</t>
        </is>
      </c>
      <c r="C357" s="9" t="inlineStr">
        <is>
          <t>Low</t>
        </is>
      </c>
      <c r="D357" s="3" t="inlineStr">
        <is>
          <t>Contraindication/warning</t>
        </is>
      </c>
      <c r="E357" s="3" t="inlineStr"/>
      <c r="F357" s="3" t="inlineStr">
        <is>
          <t>Cite TW wording: cephem allergy, caution in penicillin allergy; mark neonatal statement as non-label</t>
        </is>
      </c>
      <c r="G357" s="3" t="inlineStr">
        <is>
          <t>Hypersensitivity to cephalosporin and cephamycin group; avoid in jaundiced newborns (competes with bilirubin for albumin binding → bilirubin encephalopathy)</t>
        </is>
      </c>
      <c r="H357" s="3" t="inlineStr">
        <is>
          <t>TW §4 禁忌 says 目前尚無資訊. §5.1(2) says do not give to patients with prior Cephem (cephalosporin/cephamycin) allergy, and §5.1(3) says use caution with penicillin allergy. The TW insert does not contain the jaundiced-newborn/bilirubin statement.</t>
        </is>
      </c>
      <c r="I357" s="3" t="inlineStr">
        <is>
          <t>TW 仿單 §4, §5.1 — https://mcp.fda.gov.tw/im_detail_1/%E8%A1%9B%E7%BD%B2%E8%97%A5%E8%A3%BD%E5%AD%97%E7%AC%AC035182%E8%99%9F</t>
        </is>
      </c>
      <c r="J357" s="3" t="inlineStr">
        <is>
          <t>Open</t>
        </is>
      </c>
      <c r="K357" s="3" t="inlineStr"/>
    </row>
    <row r="358">
      <c r="A358" s="3" t="n">
        <v>326</v>
      </c>
      <c r="B358" s="3" t="inlineStr">
        <is>
          <t>Cetazone (Cefmetazole) (CET03)</t>
        </is>
      </c>
      <c r="C358" s="9" t="inlineStr">
        <is>
          <t>Low</t>
        </is>
      </c>
      <c r="D358" s="3" t="inlineStr">
        <is>
          <t>Pharmacokinetics/other</t>
        </is>
      </c>
      <c r="E358" s="3" t="inlineStr"/>
      <c r="F358" s="3" t="inlineStr">
        <is>
          <t>Chinese name: 喜達隆注射劑 (dry-powder injection), not 注射液</t>
        </is>
      </c>
      <c r="G358" s="3" t="inlineStr">
        <is>
          <t>喜達隆注射液</t>
        </is>
      </c>
      <c r="H358" s="3" t="inlineStr">
        <is>
          <t>The licensed name is 喜達隆注射劑（西華美達諾）〝信東〞, a dry-powder injection (乾粉注射劑), not a solution (注射液).</t>
        </is>
      </c>
      <c r="I358" s="3" t="inlineStr">
        <is>
          <t>TW 仿單 header, 劑型 — https://mcp.fda.gov.tw/im_detail_1/%E8%A1%9B%E7%BD%B2%E8%97%A5%E8%A3%BD%E5%AD%97%E7%AC%AC035182%E8%99%9F</t>
        </is>
      </c>
      <c r="J358" s="3" t="inlineStr">
        <is>
          <t>Open</t>
        </is>
      </c>
      <c r="K358" s="3" t="inlineStr"/>
    </row>
    <row r="359">
      <c r="A359" s="3" t="n">
        <v>316</v>
      </c>
      <c r="B359" s="3" t="inlineStr">
        <is>
          <t>Cetazone (Cefmetazole) (CET03)</t>
        </is>
      </c>
      <c r="C359" s="9" t="inlineStr">
        <is>
          <t>Low</t>
        </is>
      </c>
      <c r="D359" s="3" t="inlineStr">
        <is>
          <t>Pregnancy</t>
        </is>
      </c>
      <c r="E359" s="3" t="inlineStr">
        <is>
          <t>FDA letter category</t>
        </is>
      </c>
      <c r="F359" s="3" t="inlineStr">
        <is>
          <t>Remove category B; TW insert: no human data; rat studies negative</t>
        </is>
      </c>
      <c r="G359" s="3" t="inlineStr">
        <is>
          <t>B (FDA letter category)</t>
        </is>
      </c>
      <c r="H359" s="3" t="inlineStr">
        <is>
          <t>FDA letter categories are retired. TW insert §6.1 懷孕 says '目前尚無資訊'. Only rat teratogenicity data (§10.3) showed no abnormalities.</t>
        </is>
      </c>
      <c r="I359" s="3" t="inlineStr">
        <is>
          <t>TW仿單 衛署藥製字第035182號 §6.1, §10.3, https://mcp.fda.gov.tw/im_detail_1/%E8%A1%9B%E7%BD%B2%E8%97%A5%E8%A3%BD%E5%AD%97%E7%AC%AC035182%E8%99%9F</t>
        </is>
      </c>
      <c r="J359" s="3" t="inlineStr">
        <is>
          <t>Open</t>
        </is>
      </c>
      <c r="K359" s="3" t="inlineStr"/>
    </row>
    <row r="360">
      <c r="A360" s="3" t="n">
        <v>321</v>
      </c>
      <c r="B360" s="3" t="inlineStr">
        <is>
          <t>Cetazone (Cefmetazole) (CET03)</t>
        </is>
      </c>
      <c r="C360" s="9" t="inlineStr">
        <is>
          <t>Low</t>
        </is>
      </c>
      <c r="D360" s="3" t="inlineStr">
        <is>
          <t>Pregnancy</t>
        </is>
      </c>
      <c r="E360" s="3" t="inlineStr">
        <is>
          <t>FDA letter category</t>
        </is>
      </c>
      <c r="F360" s="3" t="inlineStr">
        <is>
          <t>Remove category B; TW: no human data, rat studies negative</t>
        </is>
      </c>
      <c r="G360" s="3" t="inlineStr">
        <is>
          <t>B; Cephalosporins, in general, are considered safe for use in pregnancy</t>
        </is>
      </c>
      <c r="H360" s="3" t="inlineStr">
        <is>
          <t>The FDA letter categories are retired. TW 仿單 §6.1 says 目前尚無資訊 (no human data). §10.3 reports rat teratogenicity studies with no abnormality.</t>
        </is>
      </c>
      <c r="I360" s="3" t="inlineStr">
        <is>
          <t>TW 仿單 §6.1/§10.3 — https://mcp.fda.gov.tw/im_detail_1/%E8%A1%9B%E7%BD%B2%E8%97%A5%E8%A3%BD%E5%AD%97%E7%AC%AC035182%E8%99%9F ; hospital page https://pharmacy.fjuh.fju.edu.tw/Key_Search/P4?query=CET03</t>
        </is>
      </c>
      <c r="J360" s="3" t="inlineStr">
        <is>
          <t>Open</t>
        </is>
      </c>
      <c r="K360" s="3" t="inlineStr"/>
    </row>
    <row r="361">
      <c r="A361" s="3" t="n">
        <v>10</v>
      </c>
      <c r="B361" s="3" t="inlineStr">
        <is>
          <t>Colistin (COL04)</t>
        </is>
      </c>
      <c r="C361" s="9" t="inlineStr">
        <is>
          <t>Low</t>
        </is>
      </c>
      <c r="D361" s="3" t="inlineStr">
        <is>
          <t>Pregnancy</t>
        </is>
      </c>
      <c r="E361" s="3" t="inlineStr">
        <is>
          <t>FDA letter category</t>
        </is>
      </c>
      <c r="F361" s="3" t="inlineStr">
        <is>
          <t>Replace category C with PLLR narrative: crosses placenta, use only if benefit justifies risk</t>
        </is>
      </c>
      <c r="G361" s="3" t="inlineStr">
        <is>
          <t>C</t>
        </is>
      </c>
      <c r="H361" s="3" t="inlineStr">
        <is>
          <t>FDA letter categories retired; label: crosses placenta, use only if benefit justifies risk</t>
        </is>
      </c>
      <c r="I361" s="3" t="inlineStr">
        <is>
          <t>US label</t>
        </is>
      </c>
      <c r="J361" s="3" t="inlineStr">
        <is>
          <t>Open</t>
        </is>
      </c>
      <c r="K361" s="3" t="inlineStr"/>
    </row>
    <row r="362">
      <c r="A362" s="3" t="n">
        <v>185</v>
      </c>
      <c r="B362" s="3" t="inlineStr">
        <is>
          <t>Cresemba (Isavuconazonium) (CRE02, CRE03)</t>
        </is>
      </c>
      <c r="C362" s="9" t="inlineStr">
        <is>
          <t>Low</t>
        </is>
      </c>
      <c r="D362" s="3" t="inlineStr">
        <is>
          <t>Adverse effects</t>
        </is>
      </c>
      <c r="E362" s="3" t="inlineStr"/>
      <c r="F362" s="3" t="inlineStr">
        <is>
          <t>Split '譫妄潮紅' into 譫妄 (delirium); flushing is overdose symptom only</t>
        </is>
      </c>
      <c r="G362" s="3" t="inlineStr">
        <is>
          <t>'譫妄潮紅' (delirium-flushing) listed as one item</t>
        </is>
      </c>
      <c r="H362" s="3" t="inlineStr">
        <is>
          <t>The TW insert lists 譫妄 (delirium, common) as a separate term. Flushing appears only among supratherapeutic-dose (600 mg/day) overdose symptoms (熱潮紅). The combined term looks like a typo or a merge of two terms.</t>
        </is>
      </c>
      <c r="I362" s="3" t="inlineStr">
        <is>
          <t>Taiwan insert 027796 §8.1 表4 and §9</t>
        </is>
      </c>
      <c r="J362" s="3" t="inlineStr">
        <is>
          <t>Open</t>
        </is>
      </c>
      <c r="K362" s="3" t="inlineStr"/>
    </row>
    <row r="363">
      <c r="A363" s="3" t="n">
        <v>193</v>
      </c>
      <c r="B363" s="3" t="inlineStr">
        <is>
          <t>Cresemba (Isavuconazonium) (CRE02, CRE03)</t>
        </is>
      </c>
      <c r="C363" s="9" t="inlineStr">
        <is>
          <t>Low</t>
        </is>
      </c>
      <c r="D363" s="3" t="inlineStr">
        <is>
          <t>Adverse effects</t>
        </is>
      </c>
      <c r="E363" s="3" t="inlineStr"/>
      <c r="F363" s="3" t="inlineStr">
        <is>
          <t>Correct bag ADR '譫妄潮紅' to '譫妄'</t>
        </is>
      </c>
      <c r="G363" s="3" t="inlineStr">
        <is>
          <t>噁心、嘔吐、低血鉀、譫妄潮紅、頭痛、嗜睡、血栓性靜脈炎、皮疹等</t>
        </is>
      </c>
      <c r="H363" s="3" t="inlineStr">
        <is>
          <t>'譫妄潮紅' is not a term used in any label; it is probably a missing separator between 譫妄 (delirium, common in Taiwan Table 4) and 潮紅/熱潮紅 (hot flush, listed only as an overdose symptom in Taiwan §9). It should be split or corrected.</t>
        </is>
      </c>
      <c r="I363" s="3" t="inlineStr">
        <is>
          <t>https://mcp.fda.gov.tw/im_detail_1/%E8%A1%9B%E9%83%A8%E8%97%A5%E8%BC%B8%E5%AD%97%E7%AC%AC027796%E8%99%9F</t>
        </is>
      </c>
      <c r="J363" s="3" t="inlineStr">
        <is>
          <t>Open</t>
        </is>
      </c>
      <c r="K363" s="3" t="inlineStr"/>
    </row>
    <row r="364">
      <c r="A364" s="3" t="n">
        <v>194</v>
      </c>
      <c r="B364" s="3" t="inlineStr">
        <is>
          <t>Cresemba (Isavuconazonium) (CRE02, CRE03)</t>
        </is>
      </c>
      <c r="C364" s="9" t="inlineStr">
        <is>
          <t>Low</t>
        </is>
      </c>
      <c r="D364" s="3" t="inlineStr">
        <is>
          <t>Dosing – pediatric</t>
        </is>
      </c>
      <c r="E364" s="3" t="inlineStr"/>
      <c r="F364" s="3" t="inlineStr">
        <is>
          <t>State explicitly capsule is adults only in TW</t>
        </is>
      </c>
      <c r="G364" s="3" t="inlineStr">
        <is>
          <t>(blank)</t>
        </is>
      </c>
      <c r="H364" s="3" t="inlineStr">
        <is>
          <t>Taiwan capsule insert: adults only, so a blank field is consistent with it but should say so explicitly. The US label allows capsules from age 6 and ≥16 kg (mostly with 74.5 mg capsules). The UK SmPC allows two 100 mg capsules for children aged ≥6 and ≥37 kg.</t>
        </is>
      </c>
      <c r="I364" s="3" t="inlineStr">
        <is>
          <t>https://mcp.fda.gov.tw/im_detail_1/%E8%A1%9B%E9%83%A8%E8%97%A5%E8%BC%B8%E5%AD%97%E7%AC%AC027795%E8%99%9F ; https://www.medicines.org.uk/emc/product/5071/smpc</t>
        </is>
      </c>
      <c r="J364" s="3" t="inlineStr">
        <is>
          <t>Open</t>
        </is>
      </c>
      <c r="K364" s="3" t="inlineStr"/>
    </row>
    <row r="365">
      <c r="A365" s="3" t="n">
        <v>349</v>
      </c>
      <c r="B365" s="3" t="inlineStr">
        <is>
          <t>Cubicin (Daptomycin) (CUB01)</t>
        </is>
      </c>
      <c r="C365" s="9" t="inlineStr">
        <is>
          <t>Low</t>
        </is>
      </c>
      <c r="D365" s="3" t="inlineStr">
        <is>
          <t>Pharmacokinetics/other</t>
        </is>
      </c>
      <c r="E365" s="3" t="inlineStr"/>
      <c r="F365" s="3" t="inlineStr">
        <is>
          <t>Link TFDA insert 衛署藥輸字第024565號</t>
        </is>
      </c>
      <c r="G365" s="3" t="inlineStr">
        <is>
          <t>Empty</t>
        </is>
      </c>
      <c r="H365" s="3" t="inlineStr">
        <is>
          <t>The TFDA insert for 衛署藥輸字第024565號 exists (updated 111/10/21): https://mcp.fda.gov.tw/insert/pdfcasefile/i_27bc1396-9737-42b5-af65-e9f7799a779d</t>
        </is>
      </c>
      <c r="I365" s="3" t="inlineStr">
        <is>
          <t>TFDA 藥品仿單查詢平台 – https://mcp.fda.gov.tw/im_detail_1/%E8%A1%9B%E7%BD%B2%E8%97%A5%E8%BC%B8%E5%AD%97%E7%AC%AC024565%E8%99%9F</t>
        </is>
      </c>
      <c r="J365" s="3" t="inlineStr">
        <is>
          <t>Open</t>
        </is>
      </c>
      <c r="K365" s="3" t="inlineStr"/>
    </row>
    <row r="366">
      <c r="A366" s="3" t="n">
        <v>344</v>
      </c>
      <c r="B366" s="3" t="inlineStr">
        <is>
          <t>Cubicin (Daptomycin) (CUB01)</t>
        </is>
      </c>
      <c r="C366" s="9" t="inlineStr">
        <is>
          <t>Low</t>
        </is>
      </c>
      <c r="D366" s="3" t="inlineStr">
        <is>
          <t>Pregnancy</t>
        </is>
      </c>
      <c r="E366" s="3" t="inlineStr">
        <is>
          <t>FDA letter category</t>
        </is>
      </c>
      <c r="F366" s="3" t="inlineStr">
        <is>
          <t>Replace category B with PLLR narrative; UK: use only if clearly necessary</t>
        </is>
      </c>
      <c r="G366" s="3" t="inlineStr">
        <is>
          <t>Pregnancy category B</t>
        </is>
      </c>
      <c r="H366" s="3" t="inlineStr">
        <is>
          <t>The FDA has retired letter categories. The US label §8.1 PLLR narrative says limited human data cannot inform risk and animal studies showed no harm; the TW insert matches; UK SmPC 4.6 says use only if clearly necessary.</t>
        </is>
      </c>
      <c r="I366" s="3" t="inlineStr">
        <is>
          <t>US FDA label §8.1 – https://dailymed.nlm.nih.gov/dailymed/drugInfo.cfm?setid=0b1a8885-2198-4a0e-8105-0c76c1cba6c2; TW insert 懷孕 – https://mcp.fda.gov.tw/im_detail_1/%E8%A1%9B%E7%BD%B2%E8%97%A5%E8%BC%B8%E5%AD%97%E7%AC%AC024565%E8%99%9F</t>
        </is>
      </c>
      <c r="J366" s="3" t="inlineStr">
        <is>
          <t>Open</t>
        </is>
      </c>
      <c r="K366" s="3" t="inlineStr"/>
    </row>
    <row r="367">
      <c r="A367" s="3" t="n">
        <v>350</v>
      </c>
      <c r="B367" s="3" t="inlineStr">
        <is>
          <t>Cubicin (Daptomycin) (CUB01)</t>
        </is>
      </c>
      <c r="C367" s="9" t="inlineStr">
        <is>
          <t>Low</t>
        </is>
      </c>
      <c r="D367" s="3" t="inlineStr">
        <is>
          <t>Pregnancy</t>
        </is>
      </c>
      <c r="E367" s="3" t="inlineStr">
        <is>
          <t>FDA letter category</t>
        </is>
      </c>
      <c r="F367" s="3" t="inlineStr">
        <is>
          <t>Replace category B with PLLR risk summary (insufficient human data; no animal harm)</t>
        </is>
      </c>
      <c r="G367" s="3" t="inlineStr">
        <is>
          <t>B</t>
        </is>
      </c>
      <c r="H367" s="3" t="inlineStr">
        <is>
          <t>The FDA has retired letter categories (PLLR). Current label: human data insufficient to inform risk; no adverse developmental outcomes in rat/rabbit studies. UK SmPC: avoid unless clearly necessary.</t>
        </is>
      </c>
      <c r="I367" s="3" t="inlineStr">
        <is>
          <t>US label §8.1 (https://dailymed.nlm.nih.gov/dailymed/drugInfo.cfm?setid=0b1a8885-2198-4a0e-8105-0c76c1cba6c2); 仿單 6.1; UK SmPC §4.6</t>
        </is>
      </c>
      <c r="J367" s="3" t="inlineStr">
        <is>
          <t>Open</t>
        </is>
      </c>
      <c r="K367" s="3" t="inlineStr"/>
    </row>
    <row r="368">
      <c r="A368" s="3" t="n">
        <v>146</v>
      </c>
      <c r="B368" s="3" t="inlineStr">
        <is>
          <t>Diflucan (Fluconazole) (DIF02, FLU22)</t>
        </is>
      </c>
      <c r="C368" s="9" t="inlineStr">
        <is>
          <t>Low</t>
        </is>
      </c>
      <c r="D368" s="3" t="inlineStr">
        <is>
          <t>Pharmacokinetics/other</t>
        </is>
      </c>
      <c r="E368" s="3" t="inlineStr"/>
      <c r="F368" s="3" t="inlineStr">
        <is>
          <t>Add TFDA insert links for DIF02 and FLU22</t>
        </is>
      </c>
      <c r="G368" s="3" t="inlineStr">
        <is>
          <t>Empty</t>
        </is>
      </c>
      <c r="H368" s="3" t="inlineStr">
        <is>
          <t>TFDA inserts are available: DIF02 at 衛署藥輸字第018790號 (CDS 20240709-3) https://mcp.fda.gov.tw/im_detail_1/%E8%A1%9B%E7%BD%B2%E8%97%A5%E8%BC%B8%E5%AD%97%E7%AC%AC018790%E8%99%9F and FLU22 at 衛署藥製字第041997號 https://mcp.fda.gov.tw/im_detail_1/%E8%A1%9B%E7%BD%B2%E8%97%A5%E8%A3%BD%E5%AD%97%E7%AC%AC041997%E8%99%9F</t>
        </is>
      </c>
      <c r="I368" s="3" t="inlineStr">
        <is>
          <t>TFDA 藥品仿單查詢平台</t>
        </is>
      </c>
      <c r="J368" s="3" t="inlineStr">
        <is>
          <t>Open</t>
        </is>
      </c>
      <c r="K368" s="3" t="inlineStr"/>
    </row>
    <row r="369">
      <c r="A369" s="3" t="n">
        <v>154</v>
      </c>
      <c r="B369" s="3" t="inlineStr">
        <is>
          <t>Diflucan (Fluconazole) (DIF02, FLU22)</t>
        </is>
      </c>
      <c r="C369" s="9" t="inlineStr">
        <is>
          <t>Low</t>
        </is>
      </c>
      <c r="D369" s="3" t="inlineStr">
        <is>
          <t>Pharmacokinetics/other</t>
        </is>
      </c>
      <c r="E369" s="3" t="inlineStr"/>
      <c r="F369" s="3" t="inlineStr">
        <is>
          <t>Change DIF02 臨床用途 from 抗生素 to 抗黴菌劑</t>
        </is>
      </c>
      <c r="G369" s="3" t="inlineStr">
        <is>
          <t>抗生素</t>
        </is>
      </c>
      <c r="H369" s="3" t="inlineStr">
        <is>
          <t>TW Diflucan IV insert 適應症: 抗黴菌劑 (antifungal). FLU22 on the same site correctly says 黴菌感染.</t>
        </is>
      </c>
      <c r="I369" s="3" t="inlineStr">
        <is>
          <t>TW 仿單 DIFLUCAN IV §2 適應症 https://mcp.fda.gov.tw/im_detail_1/%E8%A1%9B%E7%BD%B2%E8%97%A5%E8%BC%B8%E5%AD%97%E7%AC%AC018790%E8%99%9F</t>
        </is>
      </c>
      <c r="J369" s="3" t="inlineStr">
        <is>
          <t>Open</t>
        </is>
      </c>
      <c r="K369" s="3" t="inlineStr"/>
    </row>
    <row r="370">
      <c r="A370" s="3" t="n">
        <v>157</v>
      </c>
      <c r="B370" s="3" t="inlineStr">
        <is>
          <t>Diflucan (Fluconazole) (DIF02, FLU22)</t>
        </is>
      </c>
      <c r="C370" s="9" t="inlineStr">
        <is>
          <t>Low</t>
        </is>
      </c>
      <c r="D370" s="3" t="inlineStr">
        <is>
          <t>Pharmacokinetics/other</t>
        </is>
      </c>
      <c r="E370" s="3" t="inlineStr"/>
      <c r="F370" s="3" t="inlineStr">
        <is>
          <t>Add TFDA insert links (Diflucan IV CDS 20240709-3; Fluene 2023 v4)</t>
        </is>
      </c>
      <c r="G370" s="3" t="inlineStr">
        <is>
          <t>Empty 仿單 field (no insert link)</t>
        </is>
      </c>
      <c r="H370" s="3" t="inlineStr">
        <is>
          <t>Current inserts are on TFDA mcp.fda.gov.tw: Diflucan IV 衛署藥輸字第018790號 (CDS 20240709-3) and Fluene 衛署藥製字第041997號 (2023-01-13 版次4).</t>
        </is>
      </c>
      <c r="I370" s="3" t="inlineStr">
        <is>
          <t>https://mcp.fda.gov.tw/im_detail_1/%E8%A1%9B%E7%BD%B2%E8%97%A5%E8%BC%B8%E5%AD%97%E7%AC%AC018790%E8%99%9F ; https://mcp.fda.gov.tw/im_detail_1/%E8%A1%9B%E7%BD%B2%E8%97%A5%E8%A3%BD%E5%AD%97%E7%AC%AC041997%E8%99%9F</t>
        </is>
      </c>
      <c r="J370" s="3" t="inlineStr">
        <is>
          <t>Open</t>
        </is>
      </c>
      <c r="K370" s="3" t="inlineStr"/>
    </row>
    <row r="371">
      <c r="A371" s="3" t="n">
        <v>148</v>
      </c>
      <c r="B371" s="3" t="inlineStr">
        <is>
          <t>Diflucan (Fluconazole) (DIF02, FLU22)</t>
        </is>
      </c>
      <c r="C371" s="9" t="inlineStr">
        <is>
          <t>Low</t>
        </is>
      </c>
      <c r="D371" s="3" t="inlineStr">
        <is>
          <t>Pregnancy</t>
        </is>
      </c>
      <c r="E371" s="3" t="inlineStr">
        <is>
          <t>FDA letter category</t>
        </is>
      </c>
      <c r="F371" s="3" t="inlineStr">
        <is>
          <t>Replace 'D [FDA.AUS]' with current narrative pregnancy wording</t>
        </is>
      </c>
      <c r="G371" s="3" t="inlineStr">
        <is>
          <t>D [FDA.AUS]</t>
        </is>
      </c>
      <c r="H371" s="3" t="inlineStr">
        <is>
          <t>Current US label has no letter category, only narrative text: avoid except in severe or life-threatening infection; high-dose first-trimester exposure causes anomalies. TW Diflucan IV insert §6.1 and UK SmPC 4.6 are also narrative. FDA letter categories are retired.</t>
        </is>
      </c>
      <c r="I371" s="3" t="inlineStr">
        <is>
          <t>US label PRECAUTIONS – Pregnancy https://dailymed.nlm.nih.gov/dailymed/drugInfo.cfm?setid=02f74fe7-0649-46c5-a06a-0700cd265773; TW 仿單 §6.1 https://mcp.fda.gov.tw/im_detail_1/%E8%A1%9B%E7%BD%B2%E8%97%A5%E8%BC%B8%E5%AD%97%E7%AC%AC018790%E8%99%9F</t>
        </is>
      </c>
      <c r="J371" s="3" t="inlineStr">
        <is>
          <t>Open</t>
        </is>
      </c>
      <c r="K371" s="3" t="inlineStr"/>
    </row>
    <row r="372">
      <c r="A372" s="3" t="n">
        <v>360</v>
      </c>
      <c r="B372" s="3" t="inlineStr">
        <is>
          <t>Ertapenem (ERT01)</t>
        </is>
      </c>
      <c r="C372" s="9" t="inlineStr">
        <is>
          <t>Low</t>
        </is>
      </c>
      <c r="D372" s="3" t="inlineStr">
        <is>
          <t>Administration/compatibility</t>
        </is>
      </c>
      <c r="E372" s="3" t="inlineStr"/>
      <c r="F372" s="3" t="inlineStr">
        <is>
          <t>Harmonise IM lidocaine: 1% or 2% without epinephrine per TW insert across both fields</t>
        </is>
      </c>
      <c r="G372" s="3" t="inlineStr">
        <is>
          <t>Dosing field: reconstitute IM with 1% lidocaine; injection guide field: 1% or 2% lidocaine (internally inconsistent)</t>
        </is>
      </c>
      <c r="H372" s="3" t="inlineStr">
        <is>
          <t>TW 仿單 (stocked product): 3.2 mL of 1.0% or 2.0% lidocaine HCl without epinephrine; US label: 1.0% only</t>
        </is>
      </c>
      <c r="I372" s="3" t="inlineStr">
        <is>
          <t>TW 仿單 3.1; US FDA label §2.7</t>
        </is>
      </c>
      <c r="J372" s="3" t="inlineStr">
        <is>
          <t>Open</t>
        </is>
      </c>
      <c r="K372" s="3" t="inlineStr"/>
    </row>
    <row r="373">
      <c r="A373" s="3" t="n">
        <v>371</v>
      </c>
      <c r="B373" s="3" t="inlineStr">
        <is>
          <t>Ertapenem (ERT01)</t>
        </is>
      </c>
      <c r="C373" s="9" t="inlineStr">
        <is>
          <t>Low</t>
        </is>
      </c>
      <c r="D373" s="3" t="inlineStr">
        <is>
          <t>Administration/compatibility</t>
        </is>
      </c>
      <c r="E373" s="3" t="inlineStr"/>
      <c r="F373" s="3" t="inlineStr">
        <is>
          <t>Resolve IM lidocaine conflict: stocked insert allows 1% or 2% without epinephrine</t>
        </is>
      </c>
      <c r="G373" s="3" t="inlineStr">
        <is>
          <t>Dosing field: 3.2 mL of 1% lidocaine. Injection guide: 1%或2%之lidocaine HCl</t>
        </is>
      </c>
      <c r="H373" s="3" t="inlineStr">
        <is>
          <t>The stocked SLC product's insert allows 1.0% or 2.0% lidocaine HCl without epinephrine. The US INVANZ label says 1.0% only. The two hospital fields contradict each other.</t>
        </is>
      </c>
      <c r="I373" s="3" t="inlineStr">
        <is>
          <t>TW insert 3.2 調製方式; US label 2.7</t>
        </is>
      </c>
      <c r="J373" s="3" t="inlineStr">
        <is>
          <t>Open</t>
        </is>
      </c>
      <c r="K373" s="3" t="inlineStr"/>
    </row>
    <row r="374">
      <c r="A374" s="3" t="n">
        <v>363</v>
      </c>
      <c r="B374" s="3" t="inlineStr">
        <is>
          <t>Ertapenem (ERT01)</t>
        </is>
      </c>
      <c r="C374" s="9" t="inlineStr">
        <is>
          <t>Low</t>
        </is>
      </c>
      <c r="D374" s="3" t="inlineStr">
        <is>
          <t>Adverse effects</t>
        </is>
      </c>
      <c r="E374" s="3" t="inlineStr"/>
      <c r="F374" s="3" t="inlineStr">
        <is>
          <t>Use stocked TW product ADR rates (e.g. adult diarrhoea 4.3%) instead of US INVANZ figures</t>
        </is>
      </c>
      <c r="G374" s="3" t="inlineStr">
        <is>
          <t>Adult diarrhoea 5.5%, infused-vein complication 3.7%, nausea 3.1%, headache 2.2%, vaginitis 2.1%; peds diarrhoea 6.5%, infusion-site pain 5.5% (US INVANZ figures)</t>
        </is>
      </c>
      <c r="H374" s="3" t="inlineStr">
        <is>
          <t>The stocked product's TW 仿單 gives slightly different rates (e.g. adult diarrhoea 4.3%, paediatric diarrhoea 5.5%), and UK SmPC gives 4.8%/5.2%. The hospital copies the US innovator label, not the insert of the product it stocks.</t>
        </is>
      </c>
      <c r="I374" s="3" t="inlineStr">
        <is>
          <t>TW 仿單 副作用 section; UK SmPC 4.8; US FDA label §6.1</t>
        </is>
      </c>
      <c r="J374" s="3" t="inlineStr">
        <is>
          <t>Open</t>
        </is>
      </c>
      <c r="K374" s="3" t="inlineStr"/>
    </row>
    <row r="375">
      <c r="A375" s="3" t="n">
        <v>373</v>
      </c>
      <c r="B375" s="3" t="inlineStr">
        <is>
          <t>Ertapenem (ERT01)</t>
        </is>
      </c>
      <c r="C375" s="9" t="inlineStr">
        <is>
          <t>Low</t>
        </is>
      </c>
      <c r="D375" s="3" t="inlineStr">
        <is>
          <t>Dosing – hepatic</t>
        </is>
      </c>
      <c r="E375" s="3" t="inlineStr"/>
      <c r="F375" s="3" t="inlineStr">
        <is>
          <t>Reword: no hepatic dose adjustment needed (TW insert)</t>
        </is>
      </c>
      <c r="G375" s="3" t="inlineStr">
        <is>
          <t>No dose adjustment recommendations</t>
        </is>
      </c>
      <c r="H375" s="3" t="inlineStr">
        <is>
          <t>No dosage adjustment needed (肝功能受損的病人不須調整劑量). The hospital wording is the ambiguous US phrasing and could be read as 'unknown'.</t>
        </is>
      </c>
      <c r="I375" s="3" t="inlineStr">
        <is>
          <t>TW insert 3.3.3; UK SmPC 4.2</t>
        </is>
      </c>
      <c r="J375" s="3" t="inlineStr">
        <is>
          <t>Open</t>
        </is>
      </c>
      <c r="K375" s="3" t="inlineStr"/>
    </row>
    <row r="376">
      <c r="A376" s="3" t="n">
        <v>364</v>
      </c>
      <c r="B376" s="3" t="inlineStr">
        <is>
          <t>Ertapenem (ERT01)</t>
        </is>
      </c>
      <c r="C376" s="9" t="inlineStr">
        <is>
          <t>Low</t>
        </is>
      </c>
      <c r="D376" s="3" t="inlineStr">
        <is>
          <t>Dosing – renal/dialysis</t>
        </is>
      </c>
      <c r="E376" s="3" t="inlineStr"/>
      <c r="F376" s="3" t="inlineStr">
        <is>
          <t>Optionally note UK SmPC advises against use in severe renal impairment/HD</t>
        </is>
      </c>
      <c r="G376" s="3" t="inlineStr">
        <is>
          <t>CrCl ≤30 or ESRD: 500 mg daily, plus the 150 mg post-HD rule (matches TW/US)</t>
        </is>
      </c>
      <c r="H376" s="3" t="inlineStr">
        <is>
          <t>Matches the TW 仿單 and US label. The UK SmPC says 'should not be used' in severe renal impairment or HD. Not an error, but the hospital page does not mention the regulatory difference.</t>
        </is>
      </c>
      <c r="I376" s="3" t="inlineStr">
        <is>
          <t>TW 仿單 3.1; US FDA label §2.4–2.5; UK SmPC 4.2</t>
        </is>
      </c>
      <c r="J376" s="3" t="inlineStr">
        <is>
          <t>Open</t>
        </is>
      </c>
      <c r="K376" s="3" t="inlineStr"/>
    </row>
    <row r="377">
      <c r="A377" s="3" t="n">
        <v>358</v>
      </c>
      <c r="B377" s="3" t="inlineStr">
        <is>
          <t>Ertapenem (ERT01)</t>
        </is>
      </c>
      <c r="C377" s="9" t="inlineStr">
        <is>
          <t>Low</t>
        </is>
      </c>
      <c r="D377" s="3" t="inlineStr">
        <is>
          <t>Indication/coverage</t>
        </is>
      </c>
      <c r="E377" s="3" t="inlineStr"/>
      <c r="F377" s="3" t="inlineStr">
        <is>
          <t>Reword to complicated SSSI incl. diabetic foot without osteomyelitis</t>
        </is>
      </c>
      <c r="G377" s="3" t="inlineStr">
        <is>
          <t>Skin and soft tissue infection</t>
        </is>
      </c>
      <c r="H377" s="3" t="inlineStr">
        <is>
          <t>Complicated skin and skin structure infections, incl. diabetic foot infection without osteomyelitis (UK: diabetic foot infections of skin and soft tissue only)</t>
        </is>
      </c>
      <c r="I377" s="3" t="inlineStr">
        <is>
          <t>US FDA label §1.2; UK SmPC 4.1; TW 仿單 2</t>
        </is>
      </c>
      <c r="J377" s="3" t="inlineStr">
        <is>
          <t>Open</t>
        </is>
      </c>
      <c r="K377" s="3" t="inlineStr"/>
    </row>
    <row r="378">
      <c r="A378" s="3" t="n">
        <v>362</v>
      </c>
      <c r="B378" s="3" t="inlineStr">
        <is>
          <t>Ertapenem (ERT01)</t>
        </is>
      </c>
      <c r="C378" s="9" t="inlineStr">
        <is>
          <t>Low</t>
        </is>
      </c>
      <c r="D378" s="3" t="inlineStr">
        <is>
          <t>Pharmacokinetics/other</t>
        </is>
      </c>
      <c r="E378" s="3" t="inlineStr"/>
      <c r="F378" s="3" t="inlineStr">
        <is>
          <t>Link TFDA insert 衛部藥製字第059078號</t>
        </is>
      </c>
      <c r="G378" s="3" t="inlineStr">
        <is>
          <t>Empty</t>
        </is>
      </c>
      <c r="H378" s="3" t="inlineStr">
        <is>
          <t>The TFDA insert exists for 衛部藥製字第059078號 (updated 111/08/12, version 2)</t>
        </is>
      </c>
      <c r="I378" s="3" t="inlineStr">
        <is>
          <t>https://mcp.fda.gov.tw/im_detail_1/%E8%A1%9B%E9%83%A8%E8%97%A5%E8%A3%BD%E5%AD%97%E7%AC%AC059078%E8%99%9F</t>
        </is>
      </c>
      <c r="J378" s="3" t="inlineStr">
        <is>
          <t>Open</t>
        </is>
      </c>
      <c r="K378" s="3" t="inlineStr"/>
    </row>
    <row r="379">
      <c r="A379" s="3" t="n">
        <v>369</v>
      </c>
      <c r="B379" s="3" t="inlineStr">
        <is>
          <t>Ertapenem (ERT01)</t>
        </is>
      </c>
      <c r="C379" s="9" t="inlineStr">
        <is>
          <t>Low</t>
        </is>
      </c>
      <c r="D379" s="3" t="inlineStr">
        <is>
          <t>Pharmacokinetics/other</t>
        </is>
      </c>
      <c r="E379" s="3" t="inlineStr"/>
      <c r="F379" s="3" t="inlineStr">
        <is>
          <t>Change pharmacologic class to carbapenem (ATC J01DH03)</t>
        </is>
      </c>
      <c r="G379" s="3" t="inlineStr">
        <is>
          <t>Misc. beta-lactams</t>
        </is>
      </c>
      <c r="H379" s="3" t="inlineStr">
        <is>
          <t>Carbapenem (ATC J01DH03, 'carbapenems').</t>
        </is>
      </c>
      <c r="I379" s="3" t="inlineStr">
        <is>
          <t>UK SmPC 5.1; US label 11</t>
        </is>
      </c>
      <c r="J379" s="3" t="inlineStr">
        <is>
          <t>Open</t>
        </is>
      </c>
      <c r="K379" s="3" t="inlineStr"/>
    </row>
    <row r="380">
      <c r="A380" s="3" t="n">
        <v>374</v>
      </c>
      <c r="B380" s="3" t="inlineStr">
        <is>
          <t>Ertapenem (ERT01)</t>
        </is>
      </c>
      <c r="C380" s="9" t="inlineStr">
        <is>
          <t>Low</t>
        </is>
      </c>
      <c r="D380" s="3" t="inlineStr">
        <is>
          <t>Pharmacokinetics/other</t>
        </is>
      </c>
      <c r="E380" s="3" t="inlineStr"/>
      <c r="F380" s="3" t="inlineStr">
        <is>
          <t>Link TFDA insert 衛部藥製字第059078號 (v2, 111/08/12)</t>
        </is>
      </c>
      <c r="G380" s="3" t="inlineStr">
        <is>
          <t>(empty)</t>
        </is>
      </c>
      <c r="H380" s="3" t="inlineStr">
        <is>
          <t>The TFDA insert for 衛部藥製字第059078號 (version 2, 111/08/12) is available and should be linked.</t>
        </is>
      </c>
      <c r="I380" s="3" t="inlineStr">
        <is>
          <t>https://mcp.fda.gov.tw/im_detail_1/%E8%A1%9B%E9%83%A8%E8%97%A5%E8%A3%BD%E5%AD%97%E7%AC%AC059078%E8%99%9F</t>
        </is>
      </c>
      <c r="J380" s="3" t="inlineStr">
        <is>
          <t>Open</t>
        </is>
      </c>
      <c r="K380" s="3" t="inlineStr"/>
    </row>
    <row r="381">
      <c r="A381" s="3" t="n">
        <v>375</v>
      </c>
      <c r="B381" s="3" t="inlineStr">
        <is>
          <t>Ertapenem (ERT01)</t>
        </is>
      </c>
      <c r="C381" s="9" t="inlineStr">
        <is>
          <t>Low</t>
        </is>
      </c>
      <c r="D381" s="3" t="inlineStr">
        <is>
          <t>Pharmacokinetics/other</t>
        </is>
      </c>
      <c r="E381" s="3" t="inlineStr"/>
      <c r="F381" s="3" t="inlineStr">
        <is>
          <t>Use stocked insert IM PK: bioavailability ~92%, Tmax ~2 h</t>
        </is>
      </c>
      <c r="G381" s="3" t="inlineStr">
        <is>
          <t>Bioavailability ~90%, Tmax ~2.3 h (1% lidocaine)</t>
        </is>
      </c>
      <c r="H381" s="3" t="inlineStr">
        <is>
          <t>The stocked SLC insert says bioavailability ~92% and Tmax ~2 h. The hospital uses the US INVANZ values instead of the stocked product's.</t>
        </is>
      </c>
      <c r="I381" s="3" t="inlineStr">
        <is>
          <t>TW insert 11 藥物動力學特性 吸收; US label 12.3</t>
        </is>
      </c>
      <c r="J381" s="3" t="inlineStr">
        <is>
          <t>Open</t>
        </is>
      </c>
      <c r="K381" s="3" t="inlineStr"/>
    </row>
    <row r="382">
      <c r="A382" s="3" t="n">
        <v>382</v>
      </c>
      <c r="B382" s="3" t="inlineStr">
        <is>
          <t>Flumarin (Flomoxef) (FLU05)</t>
        </is>
      </c>
      <c r="C382" s="9" t="inlineStr">
        <is>
          <t>Low</t>
        </is>
      </c>
      <c r="D382" s="3" t="inlineStr">
        <is>
          <t>Dosing – adult</t>
        </is>
      </c>
      <c r="E382" s="3" t="inlineStr"/>
      <c r="F382" s="3" t="inlineStr">
        <is>
          <t>Add max 4 g/day in 2–4 doses for refractory/severe infection</t>
        </is>
      </c>
      <c r="G382" s="3" t="inlineStr">
        <is>
          <t>1-2 g/day IV in 2 doses</t>
        </is>
      </c>
      <c r="H382" s="3" t="inlineStr">
        <is>
          <t>Matches the label (1-2 g/day in 2 doses). The hospital entry omits the label's maximum of 4 g/day in 2-4 doses for refractory/severe infection.</t>
        </is>
      </c>
      <c r="I382" s="3" t="inlineStr">
        <is>
          <t>Taiwan insert, 【用法・用量】, https://mcp.fda.gov.tw/insert/pdfcasefile/f00601dd-69fd-4c6e-a282-74a0922a818d</t>
        </is>
      </c>
      <c r="J382" s="3" t="inlineStr">
        <is>
          <t>Open</t>
        </is>
      </c>
      <c r="K382" s="3" t="inlineStr"/>
    </row>
    <row r="383">
      <c r="A383" s="3" t="n">
        <v>389</v>
      </c>
      <c r="B383" s="3" t="inlineStr">
        <is>
          <t>Flumarin (Flomoxef) (FLU05)</t>
        </is>
      </c>
      <c r="C383" s="9" t="inlineStr">
        <is>
          <t>Low</t>
        </is>
      </c>
      <c r="D383" s="3" t="inlineStr">
        <is>
          <t>Pharmacokinetics/other</t>
        </is>
      </c>
      <c r="E383" s="3" t="inlineStr"/>
      <c r="F383" s="3" t="inlineStr">
        <is>
          <t>No change; verification note—Notion renal table appears copied from hospital site</t>
        </is>
      </c>
      <c r="G383" s="3" t="inlineStr">
        <is>
          <t>(FLU05 contents as given in the source brief; the site's drug search is JavaScript-driven, so I did not re-open the FLU05 page myself)</t>
        </is>
      </c>
      <c r="H383" s="3" t="inlineStr">
        <is>
          <t>The hospital renal table matches the unsourced CrCl table in the Notion column and body, which suggests the Notion content came from the hospital site or a shared secondary source rather than the label.</t>
        </is>
      </c>
      <c r="I383" s="3" t="inlineStr">
        <is>
          <t>https://pharmacy.fjuh.fju.edu.tw/ (homepage reachable, HTTP 200); Notion page https://app.notion.com/p/23ec496dfff180a7b633d3805cc6d755</t>
        </is>
      </c>
      <c r="J383" s="3" t="inlineStr">
        <is>
          <t>Open</t>
        </is>
      </c>
      <c r="K383" s="3" t="inlineStr"/>
    </row>
    <row r="384">
      <c r="A384" s="3" t="n">
        <v>378</v>
      </c>
      <c r="B384" s="3" t="inlineStr">
        <is>
          <t>Flumarin (Flomoxef) (FLU05)</t>
        </is>
      </c>
      <c r="C384" s="9" t="inlineStr">
        <is>
          <t>Low</t>
        </is>
      </c>
      <c r="D384" s="3" t="inlineStr">
        <is>
          <t>Pregnancy</t>
        </is>
      </c>
      <c r="E384" s="3" t="inlineStr">
        <is>
          <t>FDA letter category</t>
        </is>
      </c>
      <c r="F384" s="3" t="inlineStr">
        <is>
          <t>Remove category B; state safety not established, use if benefit outweighs risk</t>
        </is>
      </c>
      <c r="G384" s="3" t="inlineStr">
        <is>
          <t>B</t>
        </is>
      </c>
      <c r="H384" s="3" t="inlineStr">
        <is>
          <t>Safety in pregnancy not established; use only if benefit outweighs risk. No letter category. FDA letter categories are retired, and flomoxef has no FDA label.</t>
        </is>
      </c>
      <c r="I384" s="3" t="inlineStr">
        <is>
          <t>Taiwan insert, 【使用注意事項】八, https://mcp.fda.gov.tw/insert/pdfcasefile/f00601dd-69fd-4c6e-a282-74a0922a818d</t>
        </is>
      </c>
      <c r="J384" s="3" t="inlineStr">
        <is>
          <t>Open</t>
        </is>
      </c>
      <c r="K384" s="3" t="inlineStr"/>
    </row>
    <row r="385">
      <c r="A385" s="3" t="n">
        <v>385</v>
      </c>
      <c r="B385" s="3" t="inlineStr">
        <is>
          <t>Flumarin (Flomoxef) (FLU05)</t>
        </is>
      </c>
      <c r="C385" s="9" t="inlineStr">
        <is>
          <t>Low</t>
        </is>
      </c>
      <c r="D385" s="3" t="inlineStr">
        <is>
          <t>Pregnancy</t>
        </is>
      </c>
      <c r="E385" s="3" t="inlineStr">
        <is>
          <t>FDA letter category</t>
        </is>
      </c>
      <c r="F385" s="3" t="inlineStr">
        <is>
          <t>Remove letter B; use TW insert wording (safety not established)</t>
        </is>
      </c>
      <c r="G385" s="3" t="inlineStr">
        <is>
          <t>B</t>
        </is>
      </c>
      <c r="H385" s="3" t="inlineStr">
        <is>
          <t>No letter category (FDA letter categories are retired, and the drug has no FDA label). The insert says safety in pregnancy is not established; use only if benefit outweighs risk.</t>
        </is>
      </c>
      <c r="I385" s="3" t="inlineStr">
        <is>
          <t>Taiwan insert Flumarin 1g, 使用注意事項 八 — https://mcp.fda.gov.tw/insert/pdfcasefile/f00601dd-69fd-4c6e-a282-74a0922a818d</t>
        </is>
      </c>
      <c r="J385" s="3" t="inlineStr">
        <is>
          <t>Open</t>
        </is>
      </c>
      <c r="K385" s="3" t="inlineStr"/>
    </row>
    <row r="386">
      <c r="A386" s="3" t="n">
        <v>392</v>
      </c>
      <c r="B386" s="3" t="inlineStr">
        <is>
          <t>Menocik (minocycline) (MEN04, MER01)</t>
        </is>
      </c>
      <c r="C386" s="9" t="inlineStr">
        <is>
          <t>Low</t>
        </is>
      </c>
      <c r="D386" s="3" t="inlineStr">
        <is>
          <t>Dosing – renal/dialysis</t>
        </is>
      </c>
      <c r="E386" s="3" t="inlineStr"/>
      <c r="F386" s="3" t="inlineStr">
        <is>
          <t>Cite US label source; note TW insert: lower dose/extend interval, keep levels ≤15 mcg/mL</t>
        </is>
      </c>
      <c r="G386" s="3" t="inlineStr">
        <is>
          <t>CrCl &gt;80: no adjustment; CrCl &lt;80: do not exceed 200 mg/day (US-label values)</t>
        </is>
      </c>
      <c r="H386" s="3" t="inlineStr">
        <is>
          <t>Consistent with the US FDA label. However, the product actually stocked (Menocik, Taiwan insert §3.1/§5.1) says 總劑量應比一般推薦劑量低或延長用藥間隔, with no numeric cut-off, and serum levels ≤15 mcg/mL in prolonged therapy. The hospital entry does not mention the product's own insert.</t>
        </is>
      </c>
      <c r="I386" s="3" t="inlineStr">
        <is>
          <t>https://mcp.fda.gov.tw/im_detail_1/%E8%A1%9B%E9%83%A8%E8%97%A5%E8%A3%BD%E5%AD%97%E7%AC%AC060447%E8%99%9F</t>
        </is>
      </c>
      <c r="J386" s="3" t="inlineStr">
        <is>
          <t>Open</t>
        </is>
      </c>
      <c r="K386" s="3" t="inlineStr"/>
    </row>
    <row r="387">
      <c r="A387" s="3" t="n">
        <v>400</v>
      </c>
      <c r="B387" s="3" t="inlineStr">
        <is>
          <t>Menocik (minocycline) (MEN04, MER01)</t>
        </is>
      </c>
      <c r="C387" s="9" t="inlineStr">
        <is>
          <t>Low</t>
        </is>
      </c>
      <c r="D387" s="3" t="inlineStr">
        <is>
          <t>Dosing – renal/dialysis</t>
        </is>
      </c>
      <c r="E387" s="3" t="inlineStr"/>
      <c r="F387" s="3" t="inlineStr">
        <is>
          <t>State renal values come from US label; add TW insert wording</t>
        </is>
      </c>
      <c r="G387" s="3" t="inlineStr">
        <is>
          <t>CrCl &gt;80 no adjustment; CrCl &lt;80 do not exceed 200 mg/day</t>
        </is>
      </c>
      <c r="H387" s="3" t="inlineStr">
        <is>
          <t>The values match the US FDA label. The hospital's own product insert (TW Menocik) has no CrCl cut-off; it says 總劑量應比一般推薦劑量低或延長用藥間隔 and, for prolonged therapy, to keep serum levels ≤15 mcg/mL. The page does not say the value comes from the US label.</t>
        </is>
      </c>
      <c r="I387" s="3" t="inlineStr">
        <is>
          <t>TW Menocik 仿單 §3.1/§5.1 https://mcp.fda.gov.tw/im_detail_1/%E8%A1%9B%E9%83%A8%E8%97%A5%E8%A3%BD%E5%AD%97%E7%AC%AC060447%E8%99%9F</t>
        </is>
      </c>
      <c r="J387" s="3" t="inlineStr">
        <is>
          <t>Open</t>
        </is>
      </c>
      <c r="K387" s="3" t="inlineStr"/>
    </row>
    <row r="388">
      <c r="A388" s="3" t="n">
        <v>403</v>
      </c>
      <c r="B388" s="3" t="inlineStr">
        <is>
          <t>Menocik (minocycline) (MEN04, MER01)</t>
        </is>
      </c>
      <c r="C388" s="9" t="inlineStr">
        <is>
          <t>Low</t>
        </is>
      </c>
      <c r="D388" s="3" t="inlineStr">
        <is>
          <t>Dosing – renal/dialysis</t>
        </is>
      </c>
      <c r="E388" s="3" t="inlineStr"/>
      <c r="F388" s="3" t="inlineStr">
        <is>
          <t>Cite FDA oral label instead of UpToDate for CrCl &lt;80 max 200 mg/day</t>
        </is>
      </c>
      <c r="G388" s="3" t="inlineStr">
        <is>
          <t>CrCl ≥80 no adjustment; CrCl &lt;80 max 200 mg/day (UTD)</t>
        </is>
      </c>
      <c r="H388" s="3" t="inlineStr">
        <is>
          <t>The TW Mero insert has no renal dosing. The value matches the FDA oral label ('total daily dosage should not exceed 200 mg in 24 hours'), but it is cited to UpToDate rather than the label.</t>
        </is>
      </c>
      <c r="I388" s="3" t="inlineStr">
        <is>
          <t>FDA oral capsule label D&amp;A https://dailymed.nlm.nih.gov/dailymed/drugInfo.cfm?setid=a5fc4d50-50b2-46e0-b722-4c6b2ec47d06 ; TW Mero 仿單 §3 https://mcp.fda.gov.tw/im_detail_1/%E8%A1%9B%E7%BD%B2%E8%97%A5%E8%A3%BD%E5%AD%97%E7%AC%AC036940%E8%99%9F</t>
        </is>
      </c>
      <c r="J388" s="3" t="inlineStr">
        <is>
          <t>Open</t>
        </is>
      </c>
      <c r="K388" s="3" t="inlineStr"/>
    </row>
    <row r="389">
      <c r="A389" s="3" t="n">
        <v>393</v>
      </c>
      <c r="B389" s="3" t="inlineStr">
        <is>
          <t>Menocik (minocycline) (MEN04, MER01)</t>
        </is>
      </c>
      <c r="C389" s="9" t="inlineStr">
        <is>
          <t>Low</t>
        </is>
      </c>
      <c r="D389" s="3" t="inlineStr">
        <is>
          <t>Pharmacokinetics/other</t>
        </is>
      </c>
      <c r="E389" s="3" t="inlineStr"/>
      <c r="F389" s="3" t="inlineStr">
        <is>
          <t>Replace excretion %s with label: urine/fecal recovery 1/2–1/3 of other tetracyclines</t>
        </is>
      </c>
      <c r="G389" s="3" t="inlineStr">
        <is>
          <t>Urine 5% to 12% excreted unchanged; feces 20% to 34%</t>
        </is>
      </c>
      <c r="H389" s="3" t="inlineStr">
        <is>
          <t>Neither the US FDA label nor the Menocik insert gives these figures. They state that urinary and fecal recovery is one-half to one-third that of other tetracyclines (Menocik insert §11: 在尿液及糞便中之回收率為其他四環素回收率之1/2至1/3).</t>
        </is>
      </c>
      <c r="I389" s="3" t="inlineStr">
        <is>
          <t>https://mcp.fda.gov.tw/im_detail_1/%E8%A1%9B%E9%83%A8%E8%97%A5%E8%A3%BD%E5%AD%97%E7%AC%AC060447%E8%99%9F ; https://dailymed.nlm.nih.gov/dailymed/drugInfo.cfm?setid=a5fc4d50-50b2-46e0-b722-4c6b2ec47d06</t>
        </is>
      </c>
      <c r="J389" s="3" t="inlineStr">
        <is>
          <t>Open</t>
        </is>
      </c>
      <c r="K389" s="3" t="inlineStr"/>
    </row>
    <row r="390">
      <c r="A390" s="3" t="n">
        <v>394</v>
      </c>
      <c r="B390" s="3" t="inlineStr">
        <is>
          <t>Menocik (minocycline) (MEN04, MER01)</t>
        </is>
      </c>
      <c r="C390" s="9" t="inlineStr">
        <is>
          <t>Low</t>
        </is>
      </c>
      <c r="D390" s="3" t="inlineStr">
        <is>
          <t>Pharmacokinetics/other</t>
        </is>
      </c>
      <c r="E390" s="3" t="inlineStr"/>
      <c r="F390" s="3" t="inlineStr">
        <is>
          <t>Correct strength to 100 mg/cap (capsule)</t>
        </is>
      </c>
      <c r="G390" s="3" t="inlineStr">
        <is>
          <t>規格: Minocycline (HCl) 100mg/tab (劑型 Cap)</t>
        </is>
      </c>
      <c r="H390" s="3" t="inlineStr">
        <is>
          <t>Mero is a capsule: '劑型 膠囊劑', '#2之藍頭、橙身硬膠囊'. The strength should read 100 mg/cap.</t>
        </is>
      </c>
      <c r="I390" s="3" t="inlineStr">
        <is>
          <t>https://mcp.fda.gov.tw/im_detail_1/%E8%A1%9B%E7%BD%B2%E8%97%A5%E8%A3%BD%E5%AD%97%E7%AC%AC036940%E8%99%9F</t>
        </is>
      </c>
      <c r="J390" s="3" t="inlineStr">
        <is>
          <t>Open</t>
        </is>
      </c>
      <c r="K390" s="3" t="inlineStr"/>
    </row>
    <row r="391">
      <c r="A391" s="3" t="n">
        <v>401</v>
      </c>
      <c r="B391" s="3" t="inlineStr">
        <is>
          <t>Menocik (minocycline) (MEN04, MER01)</t>
        </is>
      </c>
      <c r="C391" s="9" t="inlineStr">
        <is>
          <t>Low</t>
        </is>
      </c>
      <c r="D391" s="3" t="inlineStr">
        <is>
          <t>Pharmacokinetics/other</t>
        </is>
      </c>
      <c r="E391" s="3" t="inlineStr"/>
      <c r="F391" s="3" t="inlineStr">
        <is>
          <t>Correct strength to 100 mg/cap</t>
        </is>
      </c>
      <c r="G391" s="3" t="inlineStr">
        <is>
          <t>Minocycline (HCl) 100mg/tab (劑型 Cap)</t>
        </is>
      </c>
      <c r="H391" s="3" t="inlineStr">
        <is>
          <t>The product is a hard capsule: 膠囊劑, #2 blue/orange capsule printed 'G-3852'. The strength should read 100 mg/cap.</t>
        </is>
      </c>
      <c r="I391" s="3" t="inlineStr">
        <is>
          <t>TW Mero 仿單 §1.3/§1.4 https://mcp.fda.gov.tw/im_detail_1/%E8%A1%9B%E7%BD%B2%E8%97%A5%E8%A3%BD%E5%AD%97%E7%AC%AC036940%E8%99%9F</t>
        </is>
      </c>
      <c r="J391" s="3" t="inlineStr">
        <is>
          <t>Open</t>
        </is>
      </c>
      <c r="K391" s="3" t="inlineStr"/>
    </row>
    <row r="392">
      <c r="A392" s="3" t="n">
        <v>404</v>
      </c>
      <c r="B392" s="3" t="inlineStr">
        <is>
          <t>Menocik (minocycline) (MEN04, MER01)</t>
        </is>
      </c>
      <c r="C392" s="9" t="inlineStr">
        <is>
          <t>Low</t>
        </is>
      </c>
      <c r="D392" s="3" t="inlineStr">
        <is>
          <t>Pharmacokinetics/other</t>
        </is>
      </c>
      <c r="E392" s="3" t="inlineStr"/>
      <c r="F392" s="3" t="inlineStr">
        <is>
          <t>Replace 5–12% urine/20–34% feces with label 1/2–1/3 recovery statement</t>
        </is>
      </c>
      <c r="G392" s="3" t="inlineStr">
        <is>
          <t>Excretion: Urine (5% to 12% excreted unchanged); feces (20% to 34%)</t>
        </is>
      </c>
      <c r="H392" s="3" t="inlineStr">
        <is>
          <t>Neither the FDA nor the TW label gives these percentages. Both say only that urinary and fecal recovery is 1/2–1/3 that of other tetracyclines. The Notion body repeats '5-12%', which suggests it was copied from the hospital site or Lexicomp.</t>
        </is>
      </c>
      <c r="I392" s="3" t="inlineStr">
        <is>
          <t>FDA oral capsule label CLINICAL PHARMACOLOGY https://dailymed.nlm.nih.gov/dailymed/drugInfo.cfm?setid=a5fc4d50-50b2-46e0-b722-4c6b2ec47d06 ; TW Menocik 仿單 §11 https://mcp.fda.gov.tw/im_detail_1/%E8%A1%9B%E9%83%A8%E8%97%A5%E8%A3%BD%E5%AD%97%E7%AC%AC060447%E8%99%9F</t>
        </is>
      </c>
      <c r="J392" s="3" t="inlineStr">
        <is>
          <t>Open</t>
        </is>
      </c>
      <c r="K392" s="3" t="inlineStr"/>
    </row>
    <row r="393">
      <c r="A393" s="3" t="n">
        <v>1</v>
      </c>
      <c r="B393" s="3" t="inlineStr">
        <is>
          <t>Meropenem (MER02)</t>
        </is>
      </c>
      <c r="C393" s="9" t="inlineStr">
        <is>
          <t>Low</t>
        </is>
      </c>
      <c r="D393" s="3" t="inlineStr">
        <is>
          <t>Pregnancy</t>
        </is>
      </c>
      <c r="E393" s="3" t="inlineStr">
        <is>
          <t>FDA letter category</t>
        </is>
      </c>
      <c r="F393" s="3" t="inlineStr">
        <is>
          <t>Replace category B with PLLR narrative: insufficient human data, no fetal toxicity in animals</t>
        </is>
      </c>
      <c r="G393" s="3" t="inlineStr">
        <is>
          <t>B</t>
        </is>
      </c>
      <c r="H393" s="3" t="inlineStr">
        <is>
          <t>The FDA retired letter categories (PLLR). Current label: insufficient human data; no fetal toxicity in animal studies</t>
        </is>
      </c>
      <c r="I393" s="3" t="inlineStr">
        <is>
          <t>US label §8.1</t>
        </is>
      </c>
      <c r="J393" s="3" t="inlineStr">
        <is>
          <t>Open</t>
        </is>
      </c>
      <c r="K393" s="3" t="inlineStr"/>
    </row>
    <row r="394">
      <c r="A394" s="3" t="n">
        <v>221</v>
      </c>
      <c r="B394" s="3" t="inlineStr">
        <is>
          <t>Myfungin (Micafungin) (MYF02)</t>
        </is>
      </c>
      <c r="C394" s="9" t="inlineStr">
        <is>
          <t>Low</t>
        </is>
      </c>
      <c r="D394" s="3" t="inlineStr">
        <is>
          <t>Dosing – hepatic</t>
        </is>
      </c>
      <c r="E394" s="3" t="inlineStr"/>
      <c r="F394" s="3" t="inlineStr">
        <is>
          <t>Optionally add UK caution: severe hepatic impairment not recommended</t>
        </is>
      </c>
      <c r="G394" s="3" t="inlineStr">
        <is>
          <t>No adjustment (per brief)</t>
        </is>
      </c>
      <c r="H394" s="3" t="inlineStr">
        <is>
          <t>Matches the TW and US labels, which give no adjustment for mild, moderate or severe impairment. The UK SmPC differs: severe impairment is 'not recommended'. Consider adding the UK caution.</t>
        </is>
      </c>
      <c r="I394" s="3" t="inlineStr">
        <is>
          <t>Taiwan insert 6.6; UK SmPC 4.2</t>
        </is>
      </c>
      <c r="J394" s="3" t="inlineStr">
        <is>
          <t>Open</t>
        </is>
      </c>
      <c r="K394" s="3" t="inlineStr"/>
    </row>
    <row r="395">
      <c r="A395" s="3" t="n">
        <v>421</v>
      </c>
      <c r="B395" s="3" t="inlineStr">
        <is>
          <t>Pipe Tazo (Piperacillin/Tazobactam) (PIP01, TAP02)</t>
        </is>
      </c>
      <c r="C395" s="9" t="inlineStr">
        <is>
          <t>Low</t>
        </is>
      </c>
      <c r="D395" s="3" t="inlineStr">
        <is>
          <t>Adverse effects</t>
        </is>
      </c>
      <c r="E395" s="3" t="inlineStr"/>
      <c r="F395" s="3" t="inlineStr">
        <is>
          <t>Move flushing, hypotension, thrombophlebitis to &lt;1% band; phlebitis 1.3%</t>
        </is>
      </c>
      <c r="G395" s="3" t="inlineStr">
        <is>
          <t>'1% to 10%: flushing (≤1%), hypotension (≤1%), phlebitis (1%), thrombophlebitis (≤1%) ...'</t>
        </is>
      </c>
      <c r="H395" s="3" t="inlineStr">
        <is>
          <t>FDA Table 6: flushing, hypotension and thrombophlebitis ≤1% (they belong in the &lt;1% band); phlebitis 1.3%.</t>
        </is>
      </c>
      <c r="I395" s="3" t="inlineStr">
        <is>
          <t>https://dailymed.nlm.nih.gov/dailymed/drugInfo.cfm?setid=a798faf5-cd97-4e35-a700-94c372978c46 (§6.1 Table 6)</t>
        </is>
      </c>
      <c r="J395" s="3" t="inlineStr">
        <is>
          <t>Open</t>
        </is>
      </c>
      <c r="K395" s="3" t="inlineStr"/>
    </row>
    <row r="396">
      <c r="A396" s="3" t="n">
        <v>407</v>
      </c>
      <c r="B396" s="3" t="inlineStr">
        <is>
          <t>Pipe Tazo (Piperacillin/Tazobactam) (PIP01, TAP02)</t>
        </is>
      </c>
      <c r="C396" s="9" t="inlineStr">
        <is>
          <t>Low</t>
        </is>
      </c>
      <c r="D396" s="3" t="inlineStr">
        <is>
          <t>Indication/coverage</t>
        </is>
      </c>
      <c r="E396" s="3" t="inlineStr"/>
      <c r="F396" s="3" t="inlineStr">
        <is>
          <t>Move nephrotoxicity note from indication to warnings</t>
        </is>
      </c>
      <c r="G396" s="3" t="inlineStr">
        <is>
          <t>Taiwan-insert indication sentence plus a Johns Hopkins NxP note ('significant nephrotoxic potential').</t>
        </is>
      </c>
      <c r="H396" s="3" t="inlineStr">
        <is>
          <t>Nephrotoxicity is a warning (US §5.7; Taiwan insert §5.1.5 對重症病人的腎毒性), not an indication. The note belongs in the warnings field.</t>
        </is>
      </c>
      <c r="I396" s="3" t="inlineStr">
        <is>
          <t>US FDA label §5.7 https://dailymed.nlm.nih.gov/dailymed/drugInfo.cfm?setid=a798faf5-cd97-4e35-a700-94c372978c46</t>
        </is>
      </c>
      <c r="J396" s="3" t="inlineStr">
        <is>
          <t>Open</t>
        </is>
      </c>
      <c r="K396" s="3" t="inlineStr"/>
    </row>
    <row r="397">
      <c r="A397" s="3" t="n">
        <v>416</v>
      </c>
      <c r="B397" s="3" t="inlineStr">
        <is>
          <t>Pipe Tazo (Piperacillin/Tazobactam) (PIP01, TAP02)</t>
        </is>
      </c>
      <c r="C397" s="9" t="inlineStr">
        <is>
          <t>Low</t>
        </is>
      </c>
      <c r="D397" s="3" t="inlineStr">
        <is>
          <t>Indication/coverage</t>
        </is>
      </c>
      <c r="E397" s="3" t="inlineStr"/>
      <c r="F397" s="3" t="inlineStr">
        <is>
          <t>Move nephrotoxicity note to warnings; keep TW §2 indication text</t>
        </is>
      </c>
      <c r="G397" s="3" t="inlineStr">
        <is>
          <t>Indication field opens with a Johns Hopkins NxP nephrotoxic-potential note before the insert indication text.</t>
        </is>
      </c>
      <c r="H397" s="3" t="inlineStr">
        <is>
          <t>Indications per the Taiwan insert §2: moderate–severe infections incl. lower respiratory tract, UTI (complicated and uncomplicated), intra-abdominal, skin/skin structure, bacterial septicaemia, neutropenic patients, polymicrobial. Nephrotoxicity belongs under warnings: insert §5.1.5 / FDA §5.7 critically ill nephrotoxicity, plus vancomycin interaction.</t>
        </is>
      </c>
      <c r="I397" s="3" t="inlineStr">
        <is>
          <t>https://mcp.fda.gov.tw/im_detail_1/%E8%A1%9B%E7%BD%B2%E8%97%A5%E8%A3%BD%E5%AD%97%E7%AC%AC056759%E8%99%9F (§2, §5.1.5)</t>
        </is>
      </c>
      <c r="J397" s="3" t="inlineStr">
        <is>
          <t>Open</t>
        </is>
      </c>
      <c r="K397" s="3" t="inlineStr"/>
    </row>
    <row r="398">
      <c r="A398" s="3" t="n">
        <v>411</v>
      </c>
      <c r="B398" s="3" t="inlineStr">
        <is>
          <t>Pipe Tazo (Piperacillin/Tazobactam) (PIP01, TAP02)</t>
        </is>
      </c>
      <c r="C398" s="9" t="inlineStr">
        <is>
          <t>Low</t>
        </is>
      </c>
      <c r="D398" s="3" t="inlineStr">
        <is>
          <t>Pharmacokinetics/other</t>
        </is>
      </c>
      <c r="E398" s="3" t="inlineStr"/>
      <c r="F398" s="3" t="inlineStr">
        <is>
          <t>Link TFDA inserts 056759 and 045704</t>
        </is>
      </c>
      <c r="G398" s="3" t="inlineStr">
        <is>
          <t>Empty on both the PIP01 and TAP02 pages.</t>
        </is>
      </c>
      <c r="H398" s="3" t="inlineStr">
        <is>
          <t>Current inserts are available on the TFDA platform: Pipe Tazo 衛署藥製字第056759號 (PDF uploaded 2024-01-24) and Tapimycin 衛署藥製字第045704號 (files dated 2023-06-27).</t>
        </is>
      </c>
      <c r="I398" s="3" t="inlineStr">
        <is>
          <t>https://mcp.fda.gov.tw/insert/pdfcasefile/542125f3-4498-4f38-ae67-e5b5c57d88d5 ; https://mcp.fda.gov.tw/im_detail_1/%E8%A1%9B%E7%BD%B2%E8%97%A5%E8%A3%BD%E5%AD%97%E7%AC%AC045704%E8%99%9F</t>
        </is>
      </c>
      <c r="J398" s="3" t="inlineStr">
        <is>
          <t>Open</t>
        </is>
      </c>
      <c r="K398" s="3" t="inlineStr"/>
    </row>
    <row r="399">
      <c r="A399" s="3" t="n">
        <v>413</v>
      </c>
      <c r="B399" s="3" t="inlineStr">
        <is>
          <t>Pipe Tazo (Piperacillin/Tazobactam) (PIP01, TAP02)</t>
        </is>
      </c>
      <c r="C399" s="9" t="inlineStr">
        <is>
          <t>Low</t>
        </is>
      </c>
      <c r="D399" s="3" t="inlineStr">
        <is>
          <t>Pharmacokinetics/other</t>
        </is>
      </c>
      <c r="E399" s="3" t="inlineStr"/>
      <c r="F399" s="3" t="inlineStr">
        <is>
          <t>No change; verification scope note</t>
        </is>
      </c>
      <c r="G399" s="3" t="inlineStr">
        <is>
          <t>The hospital-site content above comes from the prepared source brief. I did not re-fetch pharmacy.fjuh.fju.edu.tw.</t>
        </is>
      </c>
      <c r="H399" s="3" t="inlineStr">
        <is>
          <t>I checked the official values each hospital-site item is compared against directly in the saved US label, SmPC and Taiwan insert texts.</t>
        </is>
      </c>
      <c r="I399" s="3" t="inlineStr">
        <is>
          <t>/home/user/antibiotics-guide/verification/sources/piperacillin-and-tazobactam.json; /home/user/antibiotics-guide/verification/sources/piperacillin-and-tazobactam-taiwan-insert-pipe-tazo.txt; /home/user/antibiotics-guide/verification/sources/piperacillin-and-tazobactam-taiwan-insert-tapimycin.txt</t>
        </is>
      </c>
      <c r="J399" s="3" t="inlineStr">
        <is>
          <t>Open</t>
        </is>
      </c>
      <c r="K399" s="3" t="inlineStr"/>
    </row>
    <row r="400">
      <c r="A400" s="3" t="n">
        <v>420</v>
      </c>
      <c r="B400" s="3" t="inlineStr">
        <is>
          <t>Pipe Tazo (Piperacillin/Tazobactam) (PIP01, TAP02)</t>
        </is>
      </c>
      <c r="C400" s="9" t="inlineStr">
        <is>
          <t>Low</t>
        </is>
      </c>
      <c r="D400" s="3" t="inlineStr">
        <is>
          <t>Pharmacokinetics/other</t>
        </is>
      </c>
      <c r="E400" s="3" t="inlineStr"/>
      <c r="F400" s="3" t="inlineStr">
        <is>
          <t>ATC code: J01CR05 only</t>
        </is>
      </c>
      <c r="G400" s="3" t="inlineStr">
        <is>
          <t>J01CR05, J01CA12, J01CG02</t>
        </is>
      </c>
      <c r="H400" s="3" t="inlineStr">
        <is>
          <t>The combination product is J01CR05 only. J01CA12 (piperacillin alone) and J01CG02 (tazobactam alone) do not apply.</t>
        </is>
      </c>
      <c r="I400" s="3" t="inlineStr">
        <is>
          <t>UK SmPC §5.1 'ATC-Code: J01C R05' – https://www.medicines.org.uk/emc/product/8757/smpc</t>
        </is>
      </c>
      <c r="J400" s="3" t="inlineStr">
        <is>
          <t>Open</t>
        </is>
      </c>
      <c r="K400" s="3" t="inlineStr"/>
    </row>
    <row r="401">
      <c r="A401" s="3" t="n">
        <v>422</v>
      </c>
      <c r="B401" s="3" t="inlineStr">
        <is>
          <t>Pipe Tazo (Piperacillin/Tazobactam) (PIP01, TAP02)</t>
        </is>
      </c>
      <c r="C401" s="9" t="inlineStr">
        <is>
          <t>Low</t>
        </is>
      </c>
      <c r="D401" s="3" t="inlineStr">
        <is>
          <t>Pharmacokinetics/other</t>
        </is>
      </c>
      <c r="E401" s="3" t="inlineStr"/>
      <c r="F401" s="3" t="inlineStr">
        <is>
          <t>Link TFDA inserts; note Pipe Tazo insert lacks HLH and sodium inconsistency</t>
        </is>
      </c>
      <c r="G401" s="3" t="inlineStr">
        <is>
          <t>Insert (仿單) link field is empty on both pages.</t>
        </is>
      </c>
      <c r="H401" s="3" t="inlineStr">
        <is>
          <t>Official TFDA inserts exist: Pipe Tazo 衛署藥製字第056759號 (latest PDF uploaded 2024-01-24); Tapimycin 衛署藥製字第045704號 (latest files 2023-06-27). Note: the Pipe Tazo insert lacks the HLH warning that Tapimycin and the US label carry, and it states sodium inconsistently (65/64/54 mg per g).</t>
        </is>
      </c>
      <c r="I401" s="3" t="inlineStr">
        <is>
          <t>https://mcp.fda.gov.tw/im_detail_1/%E8%A1%9B%E7%BD%B2%E8%97%A5%E8%A3%BD%E5%AD%97%E7%AC%AC056759%E8%99%9F ; https://mcp.fda.gov.tw/insert/pdfcasefile/542125f3-4498-4f38-ae67-e5b5c57d88d5 ; https://mcp.fda.gov.tw/im_detail_1/%E8%A1%9B%E7%BD%B2%E8%97%A5%E8%A3%BD%E5%AD%97%E7%AC%AC045704%E8%99%9F</t>
        </is>
      </c>
      <c r="J401" s="3" t="inlineStr">
        <is>
          <t>Open</t>
        </is>
      </c>
      <c r="K401" s="3" t="inlineStr"/>
    </row>
    <row r="402">
      <c r="A402" s="3" t="n">
        <v>405</v>
      </c>
      <c r="B402" s="3" t="inlineStr">
        <is>
          <t>Pipe Tazo (Piperacillin/Tazobactam) (PIP01, TAP02)</t>
        </is>
      </c>
      <c r="C402" s="9" t="inlineStr">
        <is>
          <t>Low</t>
        </is>
      </c>
      <c r="D402" s="3" t="inlineStr">
        <is>
          <t>Pregnancy</t>
        </is>
      </c>
      <c r="E402" s="3" t="inlineStr">
        <is>
          <t>FDA letter category</t>
        </is>
      </c>
      <c r="F402" s="3" t="inlineStr">
        <is>
          <t>Replace category B with risk summary (crosses placenta, insufficient human data)</t>
        </is>
      </c>
      <c r="G402" s="3" t="inlineStr">
        <is>
          <t>B (FDA letter category)</t>
        </is>
      </c>
      <c r="H402" s="3" t="inlineStr">
        <is>
          <t>Risk-summary format: crosses placenta; insufficient human data; no teratogenicity in animals. The FDA has retired letter categories, and both Taiwan inserts use the risk-summary wording.</t>
        </is>
      </c>
      <c r="I402" s="3" t="inlineStr">
        <is>
          <t>US FDA label §8.1 https://dailymed.nlm.nih.gov/dailymed/drugInfo.cfm?setid=a798faf5-cd97-4e35-a700-94c372978c46; TW insert 帝斯坦 §6.1 https://mcp.fda.gov.tw/im_detail_1/%E8%A1%9B%E7%BD%B2%E8%97%A5%E8%A3%BD%E5%AD%97%E7%AC%AC056759%E8%99%9F</t>
        </is>
      </c>
      <c r="J402" s="3" t="inlineStr">
        <is>
          <t>Open</t>
        </is>
      </c>
      <c r="K402" s="3" t="inlineStr"/>
    </row>
    <row r="403">
      <c r="A403" s="3" t="n">
        <v>414</v>
      </c>
      <c r="B403" s="3" t="inlineStr">
        <is>
          <t>Pipe Tazo (Piperacillin/Tazobactam) (PIP01, TAP02)</t>
        </is>
      </c>
      <c r="C403" s="9" t="inlineStr">
        <is>
          <t>Low</t>
        </is>
      </c>
      <c r="D403" s="3" t="inlineStr">
        <is>
          <t>Pregnancy</t>
        </is>
      </c>
      <c r="E403" s="3" t="inlineStr">
        <is>
          <t>FDA letter category</t>
        </is>
      </c>
      <c r="F403" s="3" t="inlineStr">
        <is>
          <t>Replace category B text with PLLR risk summary</t>
        </is>
      </c>
      <c r="G403" s="3" t="inlineStr">
        <is>
          <t>"B; Piperacillin/tazobactam is considered compatible with pregnancy when used for the treatment airway diseases, such as cystic fibrosis..."</t>
        </is>
      </c>
      <c r="H403" s="3" t="inlineStr">
        <is>
          <t>FDA letter categories are retired. FDA §8.1 and Taiwan inserts 6.1 use a risk summary: crosses placenta, insufficient human data, no teratogenicity in animals. UK SmPC §4.6: use only if clearly indicated.</t>
        </is>
      </c>
      <c r="I403" s="3" t="inlineStr">
        <is>
          <t>https://dailymed.nlm.nih.gov/dailymed/drugInfo.cfm?setid=a798faf5-cd97-4e35-a700-94c372978c46 (§8.1); https://mcp.fda.gov.tw/im_detail_1/%E8%A1%9B%E7%BD%B2%E8%97%A5%E8%A3%BD%E5%AD%97%E7%AC%AC056759%E8%99%9F (6.1)</t>
        </is>
      </c>
      <c r="J403" s="3" t="inlineStr">
        <is>
          <t>Open</t>
        </is>
      </c>
      <c r="K403" s="3" t="inlineStr"/>
    </row>
    <row r="404">
      <c r="A404" s="3" t="n">
        <v>75</v>
      </c>
      <c r="B404" s="3" t="inlineStr">
        <is>
          <t>Rapiacta (Peramivir) (RAP02)</t>
        </is>
      </c>
      <c r="C404" s="9" t="inlineStr">
        <is>
          <t>Low</t>
        </is>
      </c>
      <c r="D404" s="3" t="inlineStr">
        <is>
          <t>Adverse effects</t>
        </is>
      </c>
      <c r="E404" s="3" t="inlineStr"/>
      <c r="F404" s="3" t="inlineStr">
        <is>
          <t>Remove QT prolongation; label shows no clinically relevant QTc effect</t>
        </is>
      </c>
      <c r="G404" s="3" t="inlineStr">
        <is>
          <t>QT prolongation is listed as a side effect.</t>
        </is>
      </c>
      <c r="H404" s="3" t="inlineStr">
        <is>
          <t>Not among the label's adverse reactions. §12.2 states that at twice the maximum recommended dose, RAPIVAB did not prolong QTc to any clinically relevant extent.</t>
        </is>
      </c>
      <c r="I404" s="3" t="inlineStr">
        <is>
          <t>DailyMed RAPIVAB §12.2 Cardiac Electrophysiology, §6 https://dailymed.nlm.nih.gov/dailymed/drugInfo.cfm?setid=fe04f6cd-e71c-4bd4-abac-97720bba2a0d</t>
        </is>
      </c>
      <c r="J404" s="3" t="inlineStr">
        <is>
          <t>Open</t>
        </is>
      </c>
      <c r="K404" s="3" t="inlineStr"/>
    </row>
    <row r="405">
      <c r="A405" s="3" t="n">
        <v>76</v>
      </c>
      <c r="B405" s="3" t="inlineStr">
        <is>
          <t>Rapiacta (Peramivir) (RAP02)</t>
        </is>
      </c>
      <c r="C405" s="9" t="inlineStr">
        <is>
          <t>Low</t>
        </is>
      </c>
      <c r="D405" s="3" t="inlineStr">
        <is>
          <t>Adverse effects</t>
        </is>
      </c>
      <c r="E405" s="3" t="inlineStr"/>
      <c r="F405" s="3" t="inlineStr">
        <is>
          <t>Verify source of thrombocytopenia/jaundice (TW insert?) and cite it</t>
        </is>
      </c>
      <c r="G405" s="3" t="inlineStr">
        <is>
          <t>Per the source brief, includes thrombocytopenia and jaundice, along with proteinuria and hyperglycemia.</t>
        </is>
      </c>
      <c r="H405" s="3" t="inlineStr">
        <is>
          <t>The FDA label lists hyperglycemia (adults) and proteinuria (pediatric dipstick). Thrombocytopenia and jaundice are not in FDA §6. Their source may be the Taiwan/Japan insert, which is unverified.</t>
        </is>
      </c>
      <c r="I405" s="3" t="inlineStr">
        <is>
          <t>DailyMed RAPIVAB §6.1, §6.2 https://dailymed.nlm.nih.gov/dailymed/drugInfo.cfm?setid=fe04f6cd-e71c-4bd4-abac-97720bba2a0d</t>
        </is>
      </c>
      <c r="J405" s="3" t="inlineStr">
        <is>
          <t>Open</t>
        </is>
      </c>
      <c r="K405" s="3" t="inlineStr"/>
    </row>
    <row r="406">
      <c r="A406" s="3" t="n">
        <v>79</v>
      </c>
      <c r="B406" s="3" t="inlineStr">
        <is>
          <t>Rapiacta (Peramivir) (RAP02)</t>
        </is>
      </c>
      <c r="C406" s="9" t="inlineStr">
        <is>
          <t>Low</t>
        </is>
      </c>
      <c r="D406" s="3" t="inlineStr">
        <is>
          <t>Dosing – pediatric</t>
        </is>
      </c>
      <c r="E406" s="3" t="inlineStr"/>
      <c r="F406" s="3" t="inlineStr">
        <is>
          <t>Cite FDA label pediatric dose (12 mg/kg, max 600 mg) instead of Lexicomp</t>
        </is>
      </c>
      <c r="G406" s="3" t="inlineStr">
        <is>
          <t>Pediatric dosing is attributed to Lexicomp/UpToDate.</t>
        </is>
      </c>
      <c r="H406" s="3" t="inlineStr">
        <is>
          <t>The FDA label gives the pediatric dose directly: 6 months–12 years 12 mg/kg (max 600 mg) single dose over 15–30 min; renal adjustment for ages 2–12. The official label should be cited instead of tertiary references.</t>
        </is>
      </c>
      <c r="I406" s="3" t="inlineStr">
        <is>
          <t>DailyMed RAPIVAB §2.1, §2.2 Table 2 https://dailymed.nlm.nih.gov/dailymed/drugInfo.cfm?setid=fe04f6cd-e71c-4bd4-abac-97720bba2a0d</t>
        </is>
      </c>
      <c r="J406" s="3" t="inlineStr">
        <is>
          <t>Open</t>
        </is>
      </c>
      <c r="K406" s="3" t="inlineStr"/>
    </row>
    <row r="407">
      <c r="A407" s="3" t="n">
        <v>73</v>
      </c>
      <c r="B407" s="3" t="inlineStr">
        <is>
          <t>Rapiacta (Peramivir) (RAP02)</t>
        </is>
      </c>
      <c r="C407" s="9" t="inlineStr">
        <is>
          <t>Low</t>
        </is>
      </c>
      <c r="D407" s="3" t="inlineStr">
        <is>
          <t>Pregnancy</t>
        </is>
      </c>
      <c r="E407" s="3" t="inlineStr">
        <is>
          <t>FDA letter category</t>
        </is>
      </c>
      <c r="F407" s="3" t="inlineStr">
        <is>
          <t>Replace category C with PLLR narrative</t>
        </is>
      </c>
      <c r="G407" s="3" t="inlineStr">
        <is>
          <t>Category C</t>
        </is>
      </c>
      <c r="H407" s="3" t="inlineStr">
        <is>
          <t>The current PLLR label has no letter category; §8.1 is a narrative. The data are insufficient to determine drug-associated risk, and influenza itself carries maternal and fetal risk. Letter categories are retired.</t>
        </is>
      </c>
      <c r="I407" s="3" t="inlineStr">
        <is>
          <t>DailyMed RAPIVAB §8.1 https://dailymed.nlm.nih.gov/dailymed/drugInfo.cfm?setid=fe04f6cd-e71c-4bd4-abac-97720bba2a0d</t>
        </is>
      </c>
      <c r="J407" s="3" t="inlineStr">
        <is>
          <t>Open</t>
        </is>
      </c>
      <c r="K407" s="3" t="inlineStr"/>
    </row>
    <row r="408">
      <c r="A408" s="3" t="n">
        <v>81</v>
      </c>
      <c r="B408" s="3" t="inlineStr">
        <is>
          <t>Rapiacta (Peramivir) (RAP02)</t>
        </is>
      </c>
      <c r="C408" s="9" t="inlineStr">
        <is>
          <t>Low</t>
        </is>
      </c>
      <c r="D408" s="3" t="inlineStr">
        <is>
          <t>Pregnancy</t>
        </is>
      </c>
      <c r="E408" s="3" t="inlineStr">
        <is>
          <t>FDA letter category</t>
        </is>
      </c>
      <c r="F408" s="3" t="inlineStr">
        <is>
          <t>Replace category C with PLLR narrative; note oseltamivir preferred in pregnancy</t>
        </is>
      </c>
      <c r="G408" s="3" t="inlineStr">
        <is>
          <t>C: No data available for use during pregnancy</t>
        </is>
      </c>
      <c r="H408" s="3" t="inlineStr">
        <is>
          <t>The FDA retired letter categories (PLLR). The current US §8.1 is narrative: limited human data, animal findings in rats and rabbits, and maternal/fetal risk from influenza. The Taiwan insert §8.1 still quotes 'FDA懷孕用藥分類為C級', so the hospital entry copies an outdated statement from the insert. IDSA 2018 prefers oseltamivir in pregnancy.</t>
        </is>
      </c>
      <c r="I408" s="3" t="inlineStr">
        <is>
          <t>US RAPIVAB §8.1; Taiwan insert v4 §8.1; IDSA 2018 PMID 30566567</t>
        </is>
      </c>
      <c r="J408" s="3" t="inlineStr">
        <is>
          <t>Open</t>
        </is>
      </c>
      <c r="K408" s="3" t="inlineStr"/>
    </row>
    <row r="409">
      <c r="A409" s="3" t="n">
        <v>427</v>
      </c>
      <c r="B409" s="3" t="inlineStr">
        <is>
          <t>Seforce (ciprofloxacin) (SEF02, CIN02)</t>
        </is>
      </c>
      <c r="C409" s="9" t="inlineStr">
        <is>
          <t>Low</t>
        </is>
      </c>
      <c r="D409" s="3" t="inlineStr">
        <is>
          <t>Pharmacokinetics/other</t>
        </is>
      </c>
      <c r="E409" s="3" t="inlineStr"/>
      <c r="F409" s="3" t="inlineStr">
        <is>
          <t>Link TFDA inserts 044809 and 038747</t>
        </is>
      </c>
      <c r="G409" s="3" t="inlineStr">
        <is>
          <t>Empty (no insert linked)</t>
        </is>
      </c>
      <c r="H409" s="3" t="inlineStr">
        <is>
          <t>Both inserts are on the TFDA platform: Seforce 衛署藥製字第044809號 and Cinolone 衛署藥製字第038747號.</t>
        </is>
      </c>
      <c r="I409" s="3" t="inlineStr">
        <is>
          <t>https://mcp.fda.gov.tw/im_detail_1/%E8%A1%9B%E7%BD%B2%E8%97%A5%E8%A3%BD%E5%AD%97%E7%AC%AC044809%E8%99%9F ; https://mcp.fda.gov.tw/im_detail_1/%E8%A1%9B%E7%BD%B2%E8%97%A5%E8%A3%BD%E5%AD%97%E7%AC%AC038747%E8%99%9F</t>
        </is>
      </c>
      <c r="J409" s="3" t="inlineStr">
        <is>
          <t>Open</t>
        </is>
      </c>
      <c r="K409" s="3" t="inlineStr"/>
    </row>
    <row r="410">
      <c r="A410" s="3" t="n">
        <v>433</v>
      </c>
      <c r="B410" s="3" t="inlineStr">
        <is>
          <t>Seforce (ciprofloxacin) (SEF02, CIN02)</t>
        </is>
      </c>
      <c r="C410" s="9" t="inlineStr">
        <is>
          <t>Low</t>
        </is>
      </c>
      <c r="D410" s="3" t="inlineStr">
        <is>
          <t>Pharmacokinetics/other</t>
        </is>
      </c>
      <c r="E410" s="3" t="inlineStr"/>
      <c r="F410" s="3" t="inlineStr">
        <is>
          <t>Link TFDA inserts 044809 and 038747</t>
        </is>
      </c>
      <c r="G410" s="3" t="inlineStr">
        <is>
          <t>仿單 field empty on both pages</t>
        </is>
      </c>
      <c r="H410" s="3" t="inlineStr">
        <is>
          <t>The TFDA platform hosts current structured inserts for both permits (衛署藥製字第044809號, 第038747號) and could be linked.</t>
        </is>
      </c>
      <c r="I410" s="3" t="inlineStr">
        <is>
          <t>https://mcp.fda.gov.tw/im_detail_1/%E8%A1%9B%E7%BD%B2%E8%97%A5%E8%A3%BD%E5%AD%97%E7%AC%AC044809%E8%99%9F ; https://mcp.fda.gov.tw/im_detail_1/%E8%A1%9B%E7%BD%B2%E8%97%A5%E8%A3%BD%E5%AD%97%E7%AC%AC038747%E8%99%9F</t>
        </is>
      </c>
      <c r="J410" s="3" t="inlineStr">
        <is>
          <t>Open</t>
        </is>
      </c>
      <c r="K410" s="3" t="inlineStr"/>
    </row>
    <row r="411">
      <c r="A411" s="3" t="n">
        <v>426</v>
      </c>
      <c r="B411" s="3" t="inlineStr">
        <is>
          <t>Seforce (ciprofloxacin) (SEF02, CIN02)</t>
        </is>
      </c>
      <c r="C411" s="9" t="inlineStr">
        <is>
          <t>Low</t>
        </is>
      </c>
      <c r="D411" s="3" t="inlineStr">
        <is>
          <t>Pregnancy</t>
        </is>
      </c>
      <c r="E411" s="3" t="inlineStr"/>
      <c r="F411" s="3" t="inlineStr">
        <is>
          <t>Replace guideline text with label risk summary/TW 'not recommended in pregnancy'</t>
        </is>
      </c>
      <c r="G411" s="3" t="inlineStr">
        <is>
          <t>Guideline text (not label content)</t>
        </is>
      </c>
      <c r="H411" s="3" t="inlineStr">
        <is>
          <t>US 8.1 Risk Summary: no drug-associated risk of major birth defects or miscarriage has been identified, and there is no letter category. Seforce/Cinolone 仿單 6.1: 懷孕期間不建議使用. UK SmPC 4.6: preferable to avoid.</t>
        </is>
      </c>
      <c r="I411" s="3" t="inlineStr">
        <is>
          <t>US FDA label 8.1 - https://dailymed.nlm.nih.gov/dailymed/drugInfo.cfm?setid=f406e796-17d9-4465-b8a7-00d966a4ba74; Seforce 仿單 6.1 - https://mcp.fda.gov.tw/im_detail_1/%E8%A1%9B%E7%BD%B2%E8%97%A5%E8%A3%BD%E5%AD%97%E7%AC%AC044809%E8%99%9F</t>
        </is>
      </c>
      <c r="J411" s="3" t="inlineStr">
        <is>
          <t>Open</t>
        </is>
      </c>
      <c r="K411" s="3" t="inlineStr"/>
    </row>
    <row r="412">
      <c r="A412" s="3" t="n">
        <v>432</v>
      </c>
      <c r="B412" s="3" t="inlineStr">
        <is>
          <t>Seforce (ciprofloxacin) (SEF02, CIN02)</t>
        </is>
      </c>
      <c r="C412" s="9" t="inlineStr">
        <is>
          <t>Low</t>
        </is>
      </c>
      <c r="D412" s="3" t="inlineStr">
        <is>
          <t>Pregnancy</t>
        </is>
      </c>
      <c r="E412" s="3" t="inlineStr"/>
      <c r="F412" s="3" t="inlineStr">
        <is>
          <t>Replace guideline text with US risk summary and TW/UK avoid-as-precaution wording</t>
        </is>
      </c>
      <c r="G412" s="3" t="inlineStr">
        <is>
          <t>Guideline text (not label content)</t>
        </is>
      </c>
      <c r="H412" s="3" t="inlineStr">
        <is>
          <t>US 8.1 risk summary: decades of data have not identified a drug-associated risk of major birth defects, miscarriage or adverse outcomes. UK SmPC 4.6 / TW 6.1: avoid during pregnancy as a precaution (cartilage damage in juvenile animals). No letter category.</t>
        </is>
      </c>
      <c r="I412" s="3" t="inlineStr">
        <is>
          <t>US FDA label 8.1 https://dailymed.nlm.nih.gov/dailymed/drugInfo.cfm?setid=f406e796-17d9-4465-b8a7-00d966a4ba74; Taiwan Seforce insert 6.1 https://mcp.fda.gov.tw/im_detail_1/%E8%A1%9B%E7%BD%B2%E8%97%A5%E8%A3%BD%E5%AD%97%E7%AC%AC044809%E8%99%9F</t>
        </is>
      </c>
      <c r="J412" s="3" t="inlineStr">
        <is>
          <t>Open</t>
        </is>
      </c>
      <c r="K412" s="3" t="inlineStr"/>
    </row>
    <row r="413">
      <c r="A413" s="3" t="n">
        <v>38</v>
      </c>
      <c r="B413" s="3" t="inlineStr">
        <is>
          <t>Sulampi (Ampicillin/Sulbactam) (SUL05)</t>
        </is>
      </c>
      <c r="C413" s="9" t="inlineStr">
        <is>
          <t>Low</t>
        </is>
      </c>
      <c r="D413" s="3" t="inlineStr">
        <is>
          <t>Adverse effects</t>
        </is>
      </c>
      <c r="E413" s="3" t="inlineStr"/>
      <c r="F413" s="3" t="inlineStr">
        <is>
          <t>Fix truncated rash entry: rash &lt;2%</t>
        </is>
      </c>
      <c r="G413" s="3" t="inlineStr">
        <is>
          <t>3.Dermatologic: Skin rash (   [truncated]</t>
        </is>
      </c>
      <c r="H413" s="3" t="inlineStr">
        <is>
          <t>Rash in less than 2% of patients</t>
        </is>
      </c>
      <c r="I413" s="3" t="inlineStr">
        <is>
          <t>DailyMed UNASYN ADVERSE REACTIONS–Adult Patients</t>
        </is>
      </c>
      <c r="J413" s="3" t="inlineStr">
        <is>
          <t>Open</t>
        </is>
      </c>
      <c r="K413" s="3" t="inlineStr"/>
    </row>
    <row r="414">
      <c r="A414" s="3" t="n">
        <v>48</v>
      </c>
      <c r="B414" s="3" t="inlineStr">
        <is>
          <t>Sulampi (Ampicillin/Sulbactam) (SUL05)</t>
        </is>
      </c>
      <c r="C414" s="9" t="inlineStr">
        <is>
          <t>Low</t>
        </is>
      </c>
      <c r="D414" s="3" t="inlineStr">
        <is>
          <t>Adverse effects</t>
        </is>
      </c>
      <c r="E414" s="3" t="inlineStr"/>
      <c r="F414" s="3" t="inlineStr">
        <is>
          <t>Fix truncated rash entry (rash &lt;2%)</t>
        </is>
      </c>
      <c r="G414" s="3" t="inlineStr">
        <is>
          <t>'3.Dermatologic: Skin rash (' (truncated)</t>
        </is>
      </c>
      <c r="H414" s="3" t="inlineStr">
        <is>
          <t>FDA: rash in less than 2% of patients</t>
        </is>
      </c>
      <c r="I414" s="3" t="inlineStr">
        <is>
          <t>FDA UNASYN ADVERSE REACTIONS–Adult Patients</t>
        </is>
      </c>
      <c r="J414" s="3" t="inlineStr">
        <is>
          <t>Open</t>
        </is>
      </c>
      <c r="K414" s="3" t="inlineStr"/>
    </row>
    <row r="415">
      <c r="A415" s="3" t="n">
        <v>46</v>
      </c>
      <c r="B415" s="3" t="inlineStr">
        <is>
          <t>Sulampi (Ampicillin/Sulbactam) (SUL05)</t>
        </is>
      </c>
      <c r="C415" s="9" t="inlineStr">
        <is>
          <t>Low</t>
        </is>
      </c>
      <c r="D415" s="3" t="inlineStr">
        <is>
          <t>Indication/coverage</t>
        </is>
      </c>
      <c r="E415" s="3" t="inlineStr"/>
      <c r="F415" s="3" t="inlineStr">
        <is>
          <t>Correct 'Branhumella' to Moraxella (Branhamella) catarrhalis</t>
        </is>
      </c>
      <c r="G415" s="3" t="inlineStr">
        <is>
          <t>'Branhumella catarrhalis'</t>
        </is>
      </c>
      <c r="H415" s="3" t="inlineStr">
        <is>
          <t>The correct name is Branhamella catarrhalis, now Moraxella catarrhalis (FDA microbiology). Note that the Sulampi insert itself prints 'Branhumella' in both the 適應症 and 藥效學 sections, so the hospital copied the insert's typo.</t>
        </is>
      </c>
      <c r="I415" s="3" t="inlineStr">
        <is>
          <t>FDA UNASYN Gram-negative Bacteria; Sulampi 仿單 pages 1–2</t>
        </is>
      </c>
      <c r="J415" s="3" t="inlineStr">
        <is>
          <t>Open</t>
        </is>
      </c>
      <c r="K415" s="3" t="inlineStr"/>
    </row>
    <row r="416">
      <c r="A416" s="3" t="n">
        <v>39</v>
      </c>
      <c r="B416" s="3" t="inlineStr">
        <is>
          <t>Sulampi (Ampicillin/Sulbactam) (SUL05)</t>
        </is>
      </c>
      <c r="C416" s="9" t="inlineStr">
        <is>
          <t>Low</t>
        </is>
      </c>
      <c r="D416" s="3" t="inlineStr">
        <is>
          <t>Pharmacokinetics/other</t>
        </is>
      </c>
      <c r="E416" s="3" t="inlineStr"/>
      <c r="F416" s="3" t="inlineStr">
        <is>
          <t>Keep ATC J01CR01 only; remove J01CA01 and J01CG01</t>
        </is>
      </c>
      <c r="G416" s="3" t="inlineStr">
        <is>
          <t>J01CR01 J01CA01 J01CG01</t>
        </is>
      </c>
      <c r="H416" s="3" t="inlineStr">
        <is>
          <t>The product is a fixed combination (J01CR01). J01CA01 (ampicillin alone) and J01CG01 (sulbactam alone) do not describe this product. WHO ATC is outside the source hierarchy; this is flagged as a data-quality issue only.</t>
        </is>
      </c>
      <c r="I416" s="3" t="inlineStr">
        <is>
          <t>Product identity: US label DESCRIPTION / Taiwan insert (fixed-combination product)</t>
        </is>
      </c>
      <c r="J416" s="3" t="inlineStr">
        <is>
          <t>Open</t>
        </is>
      </c>
      <c r="K416" s="3" t="inlineStr"/>
    </row>
    <row r="417">
      <c r="A417" s="3" t="n">
        <v>49</v>
      </c>
      <c r="B417" s="3" t="inlineStr">
        <is>
          <t>Sulampi (Ampicillin/Sulbactam) (SUL05)</t>
        </is>
      </c>
      <c r="C417" s="9" t="inlineStr">
        <is>
          <t>Low</t>
        </is>
      </c>
      <c r="D417" s="3" t="inlineStr">
        <is>
          <t>Pharmacokinetics/other</t>
        </is>
      </c>
      <c r="E417" s="3" t="inlineStr"/>
      <c r="F417" s="3" t="inlineStr">
        <is>
          <t>ATC code should be J01CR01 only</t>
        </is>
      </c>
      <c r="G417" s="3" t="inlineStr">
        <is>
          <t>J01CR01, J01CA01, J01CG01</t>
        </is>
      </c>
      <c r="H417" s="3" t="inlineStr">
        <is>
          <t>The fixed combination ampicillin + β-lactamase inhibitor is J01CR01 only. J01CA01 is ampicillin alone and J01CG01 is sulbactam alone.</t>
        </is>
      </c>
      <c r="I417" s="3" t="inlineStr">
        <is>
          <t>WHO ATC classification (J01CR01 ampicillin and beta-lactamase inhibitor); product is a fixed combination per FDA DESCRIPTION</t>
        </is>
      </c>
      <c r="J417" s="3" t="inlineStr">
        <is>
          <t>Open</t>
        </is>
      </c>
      <c r="K417" s="3" t="inlineStr"/>
    </row>
    <row r="418">
      <c r="A418" s="3" t="n">
        <v>36</v>
      </c>
      <c r="B418" s="3" t="inlineStr">
        <is>
          <t>Sulampi (Ampicillin/Sulbactam) (SUL05)</t>
        </is>
      </c>
      <c r="C418" s="9" t="inlineStr">
        <is>
          <t>Low</t>
        </is>
      </c>
      <c r="D418" s="3" t="inlineStr">
        <is>
          <t>Pregnancy</t>
        </is>
      </c>
      <c r="E418" s="3" t="inlineStr">
        <is>
          <t>FDA letter category</t>
        </is>
      </c>
      <c r="F418" s="3" t="inlineStr">
        <is>
          <t>Replace category B with PLLR narrative / TW 'safety not established'</t>
        </is>
      </c>
      <c r="G418" s="3" t="inlineStr">
        <is>
          <t>B</t>
        </is>
      </c>
      <c r="H418" s="3" t="inlineStr">
        <is>
          <t>The current US label has narrative pregnancy text with no letter category (FDA retired letter categories). The Taiwan insert says pregnancy and lactation safety is not established.</t>
        </is>
      </c>
      <c r="I418" s="3" t="inlineStr">
        <is>
          <t>DailyMed UNASYN PRECAUTIONS–Pregnancy; Taiwan insert 【懷孕和哺乳】</t>
        </is>
      </c>
      <c r="J418" s="3" t="inlineStr">
        <is>
          <t>Open</t>
        </is>
      </c>
      <c r="K418" s="3" t="inlineStr"/>
    </row>
    <row r="419">
      <c r="A419" s="3" t="n">
        <v>47</v>
      </c>
      <c r="B419" s="3" t="inlineStr">
        <is>
          <t>Sulampi (Ampicillin/Sulbactam) (SUL05)</t>
        </is>
      </c>
      <c r="C419" s="9" t="inlineStr">
        <is>
          <t>Low</t>
        </is>
      </c>
      <c r="D419" s="3" t="inlineStr">
        <is>
          <t>Pregnancy</t>
        </is>
      </c>
      <c r="E419" s="3" t="inlineStr">
        <is>
          <t>FDA letter category</t>
        </is>
      </c>
      <c r="F419" s="3" t="inlineStr">
        <is>
          <t>Replace category B with FDA narrative / TW 'safety not established'</t>
        </is>
      </c>
      <c r="G419" s="3" t="inlineStr">
        <is>
          <t>B</t>
        </is>
      </c>
      <c r="H419" s="3" t="inlineStr">
        <is>
          <t>The FDA has retired letter categories. The label gives narrative text: animal studies show no harm; use only if clearly needed. 仿單: 懷孕期間安全性尚未建立.</t>
        </is>
      </c>
      <c r="I419" s="3" t="inlineStr">
        <is>
          <t>FDA UNASYN Pregnancy; Sulampi 仿單 【懷孕和哺乳】</t>
        </is>
      </c>
      <c r="J419" s="3" t="inlineStr">
        <is>
          <t>Open</t>
        </is>
      </c>
      <c r="K419" s="3" t="inlineStr"/>
    </row>
    <row r="420">
      <c r="A420" s="3" t="n">
        <v>128</v>
      </c>
      <c r="B420" s="3" t="inlineStr">
        <is>
          <t>Taigexyn (Nemonoxacin) (TAI05, TAI06)</t>
        </is>
      </c>
      <c r="C420" s="9" t="inlineStr">
        <is>
          <t>Low</t>
        </is>
      </c>
      <c r="D420" s="3" t="inlineStr">
        <is>
          <t>Pharmacokinetics/other</t>
        </is>
      </c>
      <c r="E420" s="3" t="inlineStr"/>
      <c r="F420" s="3" t="inlineStr">
        <is>
          <t>Change TAI05 dosage form from tablet to capsule</t>
        </is>
      </c>
      <c r="G420" s="3" t="inlineStr">
        <is>
          <t>Tab</t>
        </is>
      </c>
      <c r="H420" s="3" t="inlineStr">
        <is>
          <t>Capsule (膠囊劑): light-blue size-0 capsule printed 'TG' / '250'</t>
        </is>
      </c>
      <c r="I420" s="3" t="inlineStr">
        <is>
          <t>TFDA 仿單 衛部藥製字第058540號 §1.3–1.4 — https://mcp.fda.gov.tw/im_detail_1/%E8%A1%9B%E9%83%A8%E8%97%A5%E8%A3%BD%E5%AD%97%E7%AC%AC058540%E8%99%9F (hospital value from the source brief; I did not re-fetch the hospital page)</t>
        </is>
      </c>
      <c r="J420" s="3" t="inlineStr">
        <is>
          <t>Open</t>
        </is>
      </c>
      <c r="K420" s="3" t="inlineStr"/>
    </row>
    <row r="421">
      <c r="A421" s="3" t="n">
        <v>133</v>
      </c>
      <c r="B421" s="3" t="inlineStr">
        <is>
          <t>Taigexyn (Nemonoxacin) (TAI05, TAI06)</t>
        </is>
      </c>
      <c r="C421" s="9" t="inlineStr">
        <is>
          <t>Low</t>
        </is>
      </c>
      <c r="D421" s="3" t="inlineStr">
        <is>
          <t>Pharmacokinetics/other</t>
        </is>
      </c>
      <c r="E421" s="3" t="inlineStr"/>
      <c r="F421" s="3" t="inlineStr">
        <is>
          <t>Link current TFDA inserts (capsule 113/03/25 v4; infusion 111/06/13 v2)</t>
        </is>
      </c>
      <c r="G421" s="3" t="inlineStr">
        <is>
          <t>Empty</t>
        </is>
      </c>
      <c r="H421" s="3" t="inlineStr">
        <is>
          <t>Current inserts are on the TFDA 藥品仿單查詢平台: capsule 113/03/25 v4, infusion 111/06/13 v2</t>
        </is>
      </c>
      <c r="I421" s="3" t="inlineStr">
        <is>
          <t>https://mcp.fda.gov.tw/im_detail_1/%E8%A1%9B%E9%83%A8%E8%97%A5%E8%A3%BD%E5%AD%97%E7%AC%AC058540%E8%99%9F ; https://mcp.fda.gov.tw/im_detail_1/%E8%A1%9B%E9%83%A8%E8%97%A5%E8%A3%BD%E5%AD%97%E7%AC%AC060558%E8%99%9F</t>
        </is>
      </c>
      <c r="J421" s="3" t="inlineStr">
        <is>
          <t>Open</t>
        </is>
      </c>
      <c r="K421" s="3" t="inlineStr"/>
    </row>
    <row r="422">
      <c r="A422" s="3" t="n">
        <v>134</v>
      </c>
      <c r="B422" s="3" t="inlineStr">
        <is>
          <t>Taigexyn (Nemonoxacin) (TAI05, TAI06)</t>
        </is>
      </c>
      <c r="C422" s="9" t="inlineStr">
        <is>
          <t>Low</t>
        </is>
      </c>
      <c r="D422" s="3" t="inlineStr">
        <is>
          <t>Pharmacokinetics/other</t>
        </is>
      </c>
      <c r="E422" s="3" t="inlineStr"/>
      <c r="F422" s="3" t="inlineStr">
        <is>
          <t>Change TAI05 劑型 from Tab to capsule</t>
        </is>
      </c>
      <c r="G422" s="3" t="inlineStr">
        <is>
          <t>Tab</t>
        </is>
      </c>
      <c r="H422" s="3" t="inlineStr">
        <is>
          <t>膠囊劑 (capsule); 規格 on the same page says 'Nemonoxacin 250 mg/Capsule'</t>
        </is>
      </c>
      <c r="I422" s="3" t="inlineStr">
        <is>
          <t>TFDA 仿單 Taigexyn Capsule 1.3 劑型 — https://mcp.fda.gov.tw/im_detail_1/%E8%A1%9B%E9%83%A8%E8%97%A5%E8%A3%BD%E5%AD%97%E7%AC%AC058540%E8%99%9F</t>
        </is>
      </c>
      <c r="J422" s="3" t="inlineStr">
        <is>
          <t>Open</t>
        </is>
      </c>
      <c r="K422" s="3" t="inlineStr"/>
    </row>
    <row r="423">
      <c r="A423" s="3" t="n">
        <v>140</v>
      </c>
      <c r="B423" s="3" t="inlineStr">
        <is>
          <t>Taigexyn (Nemonoxacin) (TAI05, TAI06)</t>
        </is>
      </c>
      <c r="C423" s="9" t="inlineStr">
        <is>
          <t>Low</t>
        </is>
      </c>
      <c r="D423" s="3" t="inlineStr">
        <is>
          <t>Pharmacokinetics/other</t>
        </is>
      </c>
      <c r="E423" s="3" t="inlineStr"/>
      <c r="F423" s="3" t="inlineStr">
        <is>
          <t>Add TFDA insert links (capsule v4 2024; IV v2 2022)</t>
        </is>
      </c>
      <c r="G423" s="3" t="inlineStr">
        <is>
          <t>仿單 field empty; TAI05 is annotated '#仿單變更2022'</t>
        </is>
      </c>
      <c r="H423" s="3" t="inlineStr">
        <is>
          <t>Current TFDA inserts: capsule 113/03/25 版次4 (2024); IV 111/06/13 版次2. The TFDA URLs could be linked.</t>
        </is>
      </c>
      <c r="I423" s="3" t="inlineStr">
        <is>
          <t>TFDA 藥品仿單查詢平台 history tables — https://mcp.fda.gov.tw/im_detail_1/%E8%A1%9B%E9%83%A8%E8%97%A5%E8%A3%BD%E5%AD%97%E7%AC%AC058540%E8%99%9F</t>
        </is>
      </c>
      <c r="J423" s="3" t="inlineStr">
        <is>
          <t>Open</t>
        </is>
      </c>
      <c r="K423" s="3" t="inlineStr"/>
    </row>
    <row r="424">
      <c r="A424" s="3" t="n">
        <v>203</v>
      </c>
      <c r="B424" s="3" t="inlineStr">
        <is>
          <t>UFO (Fosfomycin) (UFO02)</t>
        </is>
      </c>
      <c r="C424" s="9" t="inlineStr">
        <is>
          <t>Low</t>
        </is>
      </c>
      <c r="D424" s="3" t="inlineStr">
        <is>
          <t>Administration/compatibility</t>
        </is>
      </c>
      <c r="E424" s="3" t="inlineStr"/>
      <c r="F424" s="3" t="inlineStr">
        <is>
          <t>Bag storage: below 25°C (fix 15–30°C)</t>
        </is>
      </c>
      <c r="G424" s="3" t="inlineStr">
        <is>
          <t>15–30 ℃ 乾燥處儲存 (another field says 'store under 25 degree C')</t>
        </is>
      </c>
      <c r="H424" s="3" t="inlineStr">
        <is>
          <t>25℃以下</t>
        </is>
      </c>
      <c r="I424" s="3" t="inlineStr">
        <is>
          <t>Taiwan insert §13.3 (reported only as a hospital inconsistency; not for Notion)</t>
        </is>
      </c>
      <c r="J424" s="3" t="inlineStr">
        <is>
          <t>Open</t>
        </is>
      </c>
      <c r="K424" s="3" t="inlineStr"/>
    </row>
    <row r="425">
      <c r="A425" s="3" t="n">
        <v>198</v>
      </c>
      <c r="B425" s="3" t="inlineStr">
        <is>
          <t>UFO (Fosfomycin) (UFO02)</t>
        </is>
      </c>
      <c r="C425" s="9" t="inlineStr">
        <is>
          <t>Low</t>
        </is>
      </c>
      <c r="D425" s="3" t="inlineStr">
        <is>
          <t>Pharmacokinetics/other</t>
        </is>
      </c>
      <c r="E425" s="3" t="inlineStr"/>
      <c r="F425" s="3" t="inlineStr">
        <is>
          <t>Replace oral PK with IV PK (t½ ~2 h, Vd ~0.3 L/kg, 80–90% renal)</t>
        </is>
      </c>
      <c r="G425" s="3" t="inlineStr">
        <is>
          <t>Oral PK: bioavailability fasting 37% / fed 30%, Vd 90–180 L, t½ 3–8 h</t>
        </is>
      </c>
      <c r="H425" s="3" t="inlineStr">
        <is>
          <t>IV product: no oral bioavailability applies. IV t½ about 2 h (UK) or 2.8 h (US); Vd about 0.3 L/kg (UK) or 27 L (US); 80–90% renal elimination</t>
        </is>
      </c>
      <c r="I425" s="3" t="inlineStr">
        <is>
          <t>UK SmPC §5.2; US Contepo §12.3</t>
        </is>
      </c>
      <c r="J425" s="3" t="inlineStr">
        <is>
          <t>Open</t>
        </is>
      </c>
      <c r="K425" s="3" t="inlineStr"/>
    </row>
    <row r="426">
      <c r="A426" s="3" t="n">
        <v>204</v>
      </c>
      <c r="B426" s="3" t="inlineStr">
        <is>
          <t>UFO (Fosfomycin) (UFO02)</t>
        </is>
      </c>
      <c r="C426" s="9" t="inlineStr">
        <is>
          <t>Low</t>
        </is>
      </c>
      <c r="D426" s="3" t="inlineStr">
        <is>
          <t>Pharmacokinetics/other</t>
        </is>
      </c>
      <c r="E426" s="3" t="inlineStr"/>
      <c r="F426" s="3" t="inlineStr">
        <is>
          <t>Link TFDA insert 衛署藥製字第035049號 (113/01/05 v4)</t>
        </is>
      </c>
      <c r="G426" s="3" t="inlineStr">
        <is>
          <t>Empty</t>
        </is>
      </c>
      <c r="H426" s="3" t="inlineStr">
        <is>
          <t>The TFDA insert for 衛署藥製字第035049號 is available (updated 113/01/05, 版次4)</t>
        </is>
      </c>
      <c r="I426" s="3" t="inlineStr">
        <is>
          <t>https://mcp.fda.gov.tw/im_detail_1/%E8%A1%9B%E7%BD%B2%E8%97%A5%E8%A3%BD%E5%AD%97%E7%AC%AC035049%E8%99%9F</t>
        </is>
      </c>
      <c r="J426" s="3" t="inlineStr">
        <is>
          <t>Open</t>
        </is>
      </c>
      <c r="K426" s="3" t="inlineStr"/>
    </row>
    <row r="427">
      <c r="A427" s="3" t="n">
        <v>209</v>
      </c>
      <c r="B427" s="3" t="inlineStr">
        <is>
          <t>UFO (Fosfomycin) (UFO02)</t>
        </is>
      </c>
      <c r="C427" s="9" t="inlineStr">
        <is>
          <t>Low</t>
        </is>
      </c>
      <c r="D427" s="3" t="inlineStr">
        <is>
          <t>Pharmacokinetics/other</t>
        </is>
      </c>
      <c r="E427" s="3" t="inlineStr"/>
      <c r="F427" s="3" t="inlineStr">
        <is>
          <t>Replace oral PK with IV PK data</t>
        </is>
      </c>
      <c r="G427" s="3" t="inlineStr">
        <is>
          <t>Oral PK: bioavailability 37% fasting, 30% with food; Vd 90–180 L</t>
        </is>
      </c>
      <c r="H427" s="3" t="inlineStr">
        <is>
          <t>IV product: 100% bioavailable. Vd about 0.30 L/kg (UK) or 27 L (US CONTEPO). t½ about 2 h (UK) or 2.8 h (US). 80–90% excreted in urine within 12 h.</t>
        </is>
      </c>
      <c r="I427" s="3" t="inlineStr">
        <is>
          <t>UK SmPC §5.2; US CONTEPO §12.3 https://dailymed.nlm.nih.gov/dailymed/drugInfo.cfm?setid=855574f2-39f8-43bc-a3d2-79dbb578cb94</t>
        </is>
      </c>
      <c r="J427" s="3" t="inlineStr">
        <is>
          <t>Open</t>
        </is>
      </c>
      <c r="K427" s="3" t="inlineStr"/>
    </row>
    <row r="428">
      <c r="A428" s="3" t="n">
        <v>197</v>
      </c>
      <c r="B428" s="3" t="inlineStr">
        <is>
          <t>UFO (Fosfomycin) (UFO02)</t>
        </is>
      </c>
      <c r="C428" s="9" t="inlineStr">
        <is>
          <t>Low</t>
        </is>
      </c>
      <c r="D428" s="3" t="inlineStr">
        <is>
          <t>Pregnancy</t>
        </is>
      </c>
      <c r="E428" s="3" t="inlineStr">
        <is>
          <t>FDA letter category</t>
        </is>
      </c>
      <c r="F428" s="3" t="inlineStr">
        <is>
          <t>Replace B with narrative: not recommended unless benefit outweighs risk</t>
        </is>
      </c>
      <c r="G428" s="3" t="inlineStr">
        <is>
          <t>B</t>
        </is>
      </c>
      <c r="H428" s="3" t="inlineStr">
        <is>
          <t>Letter categories are retired. Taiwan/UK: not recommended in pregnancy unless the benefit outweighs the risk. US Contepo 8.1: narrative risk summary.</t>
        </is>
      </c>
      <c r="I428" s="3" t="inlineStr">
        <is>
          <t>Taiwan insert §6.1; UK SmPC §4.6; US Contepo §8.1</t>
        </is>
      </c>
      <c r="J428" s="3" t="inlineStr">
        <is>
          <t>Open</t>
        </is>
      </c>
      <c r="K428" s="3" t="inlineStr"/>
    </row>
    <row r="429">
      <c r="A429" s="3" t="n">
        <v>208</v>
      </c>
      <c r="B429" s="3" t="inlineStr">
        <is>
          <t>UFO (Fosfomycin) (UFO02)</t>
        </is>
      </c>
      <c r="C429" s="9" t="inlineStr">
        <is>
          <t>Low</t>
        </is>
      </c>
      <c r="D429" s="3" t="inlineStr">
        <is>
          <t>Pregnancy</t>
        </is>
      </c>
      <c r="E429" s="3" t="inlineStr">
        <is>
          <t>FDA letter category</t>
        </is>
      </c>
      <c r="F429" s="3" t="inlineStr">
        <is>
          <t>Remove B; narrative: not recommended unless benefit outweighs risk</t>
        </is>
      </c>
      <c r="G429" s="3" t="inlineStr">
        <is>
          <t>B</t>
        </is>
      </c>
      <c r="H429" s="3" t="inlineStr">
        <is>
          <t>No letter category; FDA letter categories are retired. Crosses the placenta. Not recommended in pregnancy unless the benefit outweighs the risk.</t>
        </is>
      </c>
      <c r="I429" s="3" t="inlineStr">
        <is>
          <t>Taiwan insert UFO §6.1; UK SmPC §4.6</t>
        </is>
      </c>
      <c r="J429" s="3" t="inlineStr">
        <is>
          <t>Open</t>
        </is>
      </c>
      <c r="K429" s="3" t="inlineStr"/>
    </row>
    <row r="430">
      <c r="A430" s="3" t="n">
        <v>446</v>
      </c>
      <c r="B430" s="3" t="inlineStr">
        <is>
          <t>Vancomycin (UVA01)</t>
        </is>
      </c>
      <c r="C430" s="9" t="inlineStr">
        <is>
          <t>Low</t>
        </is>
      </c>
      <c r="D430" s="3" t="inlineStr">
        <is>
          <t>Dosing – hepatic</t>
        </is>
      </c>
      <c r="E430" s="3" t="inlineStr"/>
      <c r="F430" s="3" t="inlineStr">
        <is>
          <t>No change; consistent with label</t>
        </is>
      </c>
      <c r="G430" s="3" t="inlineStr">
        <is>
          <t>No initial adjustment for Child-Pugh A, B or C</t>
        </is>
      </c>
      <c r="H430" s="3" t="inlineStr">
        <is>
          <t>Consistent with UK SmPC 4.2 ('No dose adjustment is needed in patients with hepatic insufficiency'). No discrepancy; listed for completeness.</t>
        </is>
      </c>
      <c r="I430" s="3" t="inlineStr">
        <is>
          <t>UK SmPC 4.2 https://www.medicines.org.uk/emc/product/15737/smpc</t>
        </is>
      </c>
      <c r="J430" s="3" t="inlineStr">
        <is>
          <t>Open</t>
        </is>
      </c>
      <c r="K430" s="3" t="inlineStr"/>
    </row>
    <row r="431">
      <c r="A431" s="3" t="n">
        <v>434</v>
      </c>
      <c r="B431" s="3" t="inlineStr">
        <is>
          <t>Vancomycin (UVA01)</t>
        </is>
      </c>
      <c r="C431" s="9" t="inlineStr">
        <is>
          <t>Low</t>
        </is>
      </c>
      <c r="D431" s="3" t="inlineStr">
        <is>
          <t>Pregnancy</t>
        </is>
      </c>
      <c r="E431" s="3" t="inlineStr">
        <is>
          <t>FDA letter category</t>
        </is>
      </c>
      <c r="F431" s="3" t="inlineStr">
        <is>
          <t>Replace B/C letters with 'use only if clearly needed'; note higher doses/TDM may be needed</t>
        </is>
      </c>
      <c r="G431" s="3" t="inlineStr">
        <is>
          <t>B (oral) / C (injection) — FDA letter categories (per source brief summary of the UVA01 page)</t>
        </is>
      </c>
      <c r="H431" s="3" t="inlineStr">
        <is>
          <t>The FDA retired letter categories under PLLR. Current labels say 'should be given to a pregnant woman only if clearly needed' (FDA Mylan; SmPC 4.6), and the 仿單 says use only when 利益確實勝過對胎兒的潛在危險. The SmPC adds that higher doses may be needed and levels should be monitored.</t>
        </is>
      </c>
      <c r="I431" s="3" t="inlineStr">
        <is>
          <t>US FDA label PRECAUTIONS-Pregnancy https://dailymed.nlm.nih.gov/dailymed/drugInfo.cfm?setid=2dc7b3d6-3874-40ac-b8aa-7bcfe2dc0cdf ; UK SmPC 4.6 https://www.medicines.org.uk/emc/product/15737/smpc ; Taiwan 仿單 6.1 https://mcp.fda.gov.tw/im_detail_1/%E8%A1%9B%E7%BD%B2%E8%97%A5%E8%A3%BD%E5%AD%97%E7%AC%AC041443%E8%99%9F</t>
        </is>
      </c>
      <c r="J431" s="3" t="inlineStr">
        <is>
          <t>Open</t>
        </is>
      </c>
      <c r="K431" s="3" t="inlineStr"/>
    </row>
    <row r="432">
      <c r="A432" s="3" t="n">
        <v>440</v>
      </c>
      <c r="B432" s="3" t="inlineStr">
        <is>
          <t>Vancomycin (UVA01)</t>
        </is>
      </c>
      <c r="C432" s="9" t="inlineStr">
        <is>
          <t>Low</t>
        </is>
      </c>
      <c r="D432" s="3" t="inlineStr">
        <is>
          <t>Pregnancy</t>
        </is>
      </c>
      <c r="E432" s="3" t="inlineStr">
        <is>
          <t>FDA letter category</t>
        </is>
      </c>
      <c r="F432" s="3" t="inlineStr">
        <is>
          <t>Remove B/C letters; use 'only if clearly needed' risk summary</t>
        </is>
      </c>
      <c r="G432" s="3" t="inlineStr">
        <is>
          <t>B (oral) / C (injection)</t>
        </is>
      </c>
      <c r="H432" s="3" t="inlineStr">
        <is>
          <t>FDA letter categories are retired. US/UK/Taiwan labels: use only if clearly needed; cord-blood transfer, but no infant ototoxicity or nephrotoxicity in a 2nd/3rd-trimester study; pregnant women may need higher doses (UK).</t>
        </is>
      </c>
      <c r="I432" s="3" t="inlineStr">
        <is>
          <t>US DailyMed Mylan PRECAUTIONS &gt; Pregnancy https://dailymed.nlm.nih.gov/dailymed/drugInfo.cfm?setid=2dc7b3d6-3874-40ac-b8aa-7bcfe2dc0cdf; UK SmPC 4.6 https://www.medicines.org.uk/emc/product/15737/smpc</t>
        </is>
      </c>
      <c r="J432" s="3" t="inlineStr">
        <is>
          <t>Open</t>
        </is>
      </c>
      <c r="K432" s="3" t="inlineStr"/>
    </row>
    <row r="433">
      <c r="A433" s="3" t="n">
        <v>21</v>
      </c>
      <c r="B433" s="3" t="inlineStr">
        <is>
          <t>Vfend (Voriconazole) (VFE01, VFE02, VOR03)</t>
        </is>
      </c>
      <c r="C433" s="9" t="inlineStr">
        <is>
          <t>Low</t>
        </is>
      </c>
      <c r="D433" s="3" t="inlineStr">
        <is>
          <t>Breastfeeding</t>
        </is>
      </c>
      <c r="E433" s="3" t="inlineStr"/>
      <c r="F433" s="3" t="inlineStr">
        <is>
          <t>Keep 'avoid' (TW/UK) but note LactMed view that breastfeeding need not stop</t>
        </is>
      </c>
      <c r="G433" s="3" t="inlineStr">
        <is>
          <t>'avoided'</t>
        </is>
      </c>
      <c r="H433" s="3" t="inlineStr">
        <is>
          <t>The official sources disagree. TW and UK labels require stopping breastfeeding when treatment starts. LactMed says voriconazole is not a reason to discontinue breastfeeding, though an alternative may be preferred for a newborn or preterm infant. The US label says to weigh the benefits. The hospital entry is consistent with TW/UK but does not mention the LactMed view.</t>
        </is>
      </c>
      <c r="I433" s="3" t="inlineStr">
        <is>
          <t>TW insert 哺乳; UK SmPC 4.6; LactMed NBK575380 https://www.ncbi.nlm.nih.gov/books/NBK575380/; US label 8.2</t>
        </is>
      </c>
      <c r="J433" s="3" t="inlineStr">
        <is>
          <t>Open</t>
        </is>
      </c>
      <c r="K433" s="3" t="inlineStr"/>
    </row>
    <row r="434">
      <c r="A434" s="3" t="n">
        <v>26</v>
      </c>
      <c r="B434" s="3" t="inlineStr">
        <is>
          <t>Vfend (Voriconazole) (VFE01, VFE02, VOR03)</t>
        </is>
      </c>
      <c r="C434" s="9" t="inlineStr">
        <is>
          <t>Low</t>
        </is>
      </c>
      <c r="D434" s="3" t="inlineStr">
        <is>
          <t>Breastfeeding</t>
        </is>
      </c>
      <c r="E434" s="3" t="inlineStr"/>
      <c r="F434" s="3" t="inlineStr">
        <is>
          <t>Keep avoid per TW/UK; add US benefit-risk and LactMed alternative view</t>
        </is>
      </c>
      <c r="G434" s="3" t="inlineStr">
        <is>
          <t>哺乳分類: avoided</t>
        </is>
      </c>
      <c r="H434" s="3" t="inlineStr">
        <is>
          <t>This is consistent with Taiwan 仿單 §6.2 AND UK SmPC §4.6, which both say stop breastfeeding at the start of treatment. The US label §8.2 says weigh benefit against risk, and LactMed says it is not a reason to stop breastfeeding but an alternative may be preferred. The official sources genuinely differ, so this is not purely a hospital error. Unlike the brief, I found that UK also requires stopping.</t>
        </is>
      </c>
      <c r="I434" s="3" t="inlineStr">
        <is>
          <t>Taiwan 仿單 §6.2; UK SmPC §4.6 https://www.medicines.org.uk/emc/product/7976/smpc; US §8.2; LactMed NBK575380 https://www.ncbi.nlm.nih.gov/books/NBK575380/</t>
        </is>
      </c>
      <c r="J434" s="3" t="inlineStr">
        <is>
          <t>Open</t>
        </is>
      </c>
      <c r="K434" s="3" t="inlineStr"/>
    </row>
    <row r="435">
      <c r="A435" s="3" t="n">
        <v>23</v>
      </c>
      <c r="B435" s="3" t="inlineStr">
        <is>
          <t>Vfend (Voriconazole) (VFE01, VFE02, VOR03)</t>
        </is>
      </c>
      <c r="C435" s="9" t="inlineStr">
        <is>
          <t>Low</t>
        </is>
      </c>
      <c r="D435" s="3" t="inlineStr">
        <is>
          <t>Dosing – renal/dialysis</t>
        </is>
      </c>
      <c r="E435" s="3" t="inlineStr"/>
      <c r="F435" s="3" t="inlineStr">
        <is>
          <t>Add SBECD accumulation rationale and close SCr monitoring with switch to oral</t>
        </is>
      </c>
      <c r="G435" s="3" t="inlineStr">
        <is>
          <t>CrCl &lt;50 and haemodialysis: 'No dosage adjustment necessary; however, use of oral voriconazole or alternative antifungals is preferred'. CRRT/PIRRT: oral or an alternative is preferred.</t>
        </is>
      </c>
      <c r="H435" s="3" t="inlineStr">
        <is>
          <t>Broadly consistent with the labels. However, the labels say IV should be used only when an assessment of benefit/risk justifies it, because the SBECD vehicle accumulates, and that serum creatinine must be closely monitored, with a switch to oral if it rises. The hospital text leaves out the SCr monitoring and the reason. Labels say nothing about CRRT. This is a minor wording gap, not a contradiction.</t>
        </is>
      </c>
      <c r="I435" s="3" t="inlineStr">
        <is>
          <t>TW insert 3.3 腎功能不全; US label 2.6; UK SmPC 4.2 Renal impairment</t>
        </is>
      </c>
      <c r="J435" s="3" t="inlineStr">
        <is>
          <t>Open</t>
        </is>
      </c>
      <c r="K435" s="3" t="inlineStr"/>
    </row>
    <row r="436">
      <c r="A436" s="3" t="n">
        <v>24</v>
      </c>
      <c r="B436" s="3" t="inlineStr">
        <is>
          <t>Vfend (Voriconazole) (VFE01, VFE02, VOR03)</t>
        </is>
      </c>
      <c r="C436" s="9" t="inlineStr">
        <is>
          <t>Low</t>
        </is>
      </c>
      <c r="D436" s="3" t="inlineStr">
        <is>
          <t>Pharmacokinetics/other</t>
        </is>
      </c>
      <c r="E436" s="3" t="inlineStr"/>
      <c r="F436" s="3" t="inlineStr">
        <is>
          <t>Replace fixed 6 h half-life with note on non-linear, dose-dependent PK</t>
        </is>
      </c>
      <c r="G436" s="3" t="inlineStr">
        <is>
          <t>'The elimination half-life is about 6 hours'</t>
        </is>
      </c>
      <c r="H436" s="3" t="inlineStr">
        <is>
          <t>Because of non-linear pharmacokinetics, the terminal half-life is dose-dependent and is not useful for predicting accumulation or elimination.</t>
        </is>
      </c>
      <c r="I436" s="3" t="inlineStr">
        <is>
          <t>US label 12.3 Pharmacokinetics https://dailymed.nlm.nih.gov/dailymed/drugInfo.cfm?setid=ce3ef5cf-3087-4d92-9d94-9eb8287228db</t>
        </is>
      </c>
      <c r="J436" s="3" t="inlineStr">
        <is>
          <t>Open</t>
        </is>
      </c>
      <c r="K436" s="3" t="inlineStr"/>
    </row>
    <row r="437">
      <c r="A437" s="3" t="n">
        <v>34</v>
      </c>
      <c r="B437" s="3" t="inlineStr">
        <is>
          <t>Vfend (Voriconazole) (VFE01, VFE02, VOR03)</t>
        </is>
      </c>
      <c r="C437" s="9" t="inlineStr">
        <is>
          <t>Low</t>
        </is>
      </c>
      <c r="D437" s="3" t="inlineStr">
        <is>
          <t>Pharmacokinetics/other</t>
        </is>
      </c>
      <c r="E437" s="3" t="inlineStr"/>
      <c r="F437" s="3" t="inlineStr">
        <is>
          <t>Confirm whether VOR03 (temporary purchase) is still in use</t>
        </is>
      </c>
      <c r="G437" s="3" t="inlineStr">
        <is>
          <t>Generic voriconazole 200 mg tab marked 臨採 (temporary purchase)</t>
        </is>
      </c>
      <c r="H437" s="3" t="inlineStr">
        <is>
          <t>Not a label issue. The pharmacist should confirm whether VOR03 is still in use before it is referenced.</t>
        </is>
      </c>
      <c r="I437" s="3" t="inlineStr">
        <is>
          <t>pharmacy.fjuh.fju.edu.tw Key_Search/P4?query=VOR03 (identification only)</t>
        </is>
      </c>
      <c r="J437" s="3" t="inlineStr">
        <is>
          <t>Open</t>
        </is>
      </c>
      <c r="K437" s="3" t="inlineStr"/>
    </row>
    <row r="438">
      <c r="A438" s="3" t="n">
        <v>59</v>
      </c>
      <c r="B438" s="3" t="inlineStr">
        <is>
          <t>Zavicefta (Ceftazidime-Avibactam) (ZAV04)</t>
        </is>
      </c>
      <c r="C438" s="9" t="inlineStr">
        <is>
          <t>Low</t>
        </is>
      </c>
      <c r="D438" s="3" t="inlineStr">
        <is>
          <t>Administration/compatibility</t>
        </is>
      </c>
      <c r="E438" s="3" t="inlineStr"/>
      <c r="F438" s="3" t="inlineStr">
        <is>
          <t>State label infusion 2 h; cite IDSA if 3 h extended infusion retained</t>
        </is>
      </c>
      <c r="G438" s="3" t="inlineStr">
        <is>
          <t>2-3 h extended infusion</t>
        </is>
      </c>
      <c r="H438" s="3" t="inlineStr">
        <is>
          <t>Infuse over 2 hours (120 min) in all labels (US 2.1, SmPC 4.2, TW 3.1). 3 h is not labelled.</t>
        </is>
      </c>
      <c r="I438" s="3" t="inlineStr">
        <is>
          <t>TW 3.1 用法 'Zavicefta 的給藥方式為以120分鐘...'; US 2.1</t>
        </is>
      </c>
      <c r="J438" s="3" t="inlineStr">
        <is>
          <t>Open</t>
        </is>
      </c>
      <c r="K438" s="3" t="inlineStr"/>
    </row>
    <row r="439">
      <c r="A439" s="3" t="n">
        <v>67</v>
      </c>
      <c r="B439" s="3" t="inlineStr">
        <is>
          <t>Zavicefta (Ceftazidime-Avibactam) (ZAV04)</t>
        </is>
      </c>
      <c r="C439" s="9" t="inlineStr">
        <is>
          <t>Low</t>
        </is>
      </c>
      <c r="D439" s="3" t="inlineStr">
        <is>
          <t>Administration/compatibility</t>
        </is>
      </c>
      <c r="E439" s="3" t="inlineStr"/>
      <c r="F439" s="3" t="inlineStr">
        <is>
          <t>State label 2 h infusion; cite IDSA 2026 for 3 h</t>
        </is>
      </c>
      <c r="G439" s="3" t="inlineStr">
        <is>
          <t>Extended Infusion time: 2~3 hours</t>
        </is>
      </c>
      <c r="H439" s="3" t="inlineStr">
        <is>
          <t>Label: 120-minute infusion. IDSA 2026 AMR guidance Table 1 suggests 3 h for resistant infections. Cite the guideline if 3 h is kept; the label value is 2 h.</t>
        </is>
      </c>
      <c r="I439" s="3" t="inlineStr">
        <is>
          <t>Taiwan 仿單 §3.1; IDSA 2026 Table 1 https://www.idsociety.org/globalassets/idsa/practice-guidelines/amr-guidance/5.0/table-1.pdf</t>
        </is>
      </c>
      <c r="J439" s="3" t="inlineStr">
        <is>
          <t>Open</t>
        </is>
      </c>
      <c r="K439" s="3" t="inlineStr"/>
    </row>
    <row r="440">
      <c r="A440" s="3" t="n">
        <v>58</v>
      </c>
      <c r="B440" s="3" t="inlineStr">
        <is>
          <t>Zavicefta (Ceftazidime-Avibactam) (ZAV04)</t>
        </is>
      </c>
      <c r="C440" s="9" t="inlineStr">
        <is>
          <t>Low</t>
        </is>
      </c>
      <c r="D440" s="3" t="inlineStr">
        <is>
          <t>Pharmacokinetics/other</t>
        </is>
      </c>
      <c r="E440" s="3" t="inlineStr"/>
      <c r="F440" s="3" t="inlineStr">
        <is>
          <t>Fill protein binding (ceftazidime &lt;10%, avibactam 5.7–8.2%); fix stray line</t>
        </is>
      </c>
      <c r="G440" s="3" t="inlineStr">
        <is>
          <t>Cut off: protein binding blank; stray line numbered '10'</t>
        </is>
      </c>
      <c r="H440" s="3" t="inlineStr">
        <is>
          <t>Protein binding &lt;10% for ceftazidime and 5.7-8.2% for avibactam; Vss 17 L / 22.2 L (US 12.3)</t>
        </is>
      </c>
      <c r="I440" s="3" t="inlineStr">
        <is>
          <t>US 12.3 https://dailymed.nlm.nih.gov/dailymed/drugInfo.cfm?setid=d9c2803f-dc9c-4b19-b4a3-8303bc8c15fd</t>
        </is>
      </c>
      <c r="J440" s="3" t="inlineStr">
        <is>
          <t>Open</t>
        </is>
      </c>
      <c r="K440" s="3" t="inlineStr"/>
    </row>
    <row r="441">
      <c r="A441" s="3" t="n">
        <v>71</v>
      </c>
      <c r="B441" s="3" t="inlineStr">
        <is>
          <t>Zavicefta (Ceftazidime-Avibactam) (ZAV04)</t>
        </is>
      </c>
      <c r="C441" s="9" t="inlineStr">
        <is>
          <t>Low</t>
        </is>
      </c>
      <c r="D441" s="3" t="inlineStr">
        <is>
          <t>Pharmacokinetics/other</t>
        </is>
      </c>
      <c r="E441" s="3" t="inlineStr"/>
      <c r="F441" s="3" t="inlineStr">
        <is>
          <t>Fill protein binding: ceftazidime &lt;10%, avibactam 5.7–8.2%</t>
        </is>
      </c>
      <c r="G441" s="3" t="inlineStr">
        <is>
          <t>'Protein binding: (Ceftazidime)' is blank and runs into 'Metabolism'; the avibactam half-life line is numbered '10'</t>
        </is>
      </c>
      <c r="H441" s="3" t="inlineStr">
        <is>
          <t>Protein binding: ceftazidime ~10% (&lt;10%), avibactam ~8% (5.7–8.2%)</t>
        </is>
      </c>
      <c r="I441" s="3" t="inlineStr">
        <is>
          <t>UK SmPC §5.2; Taiwan 仿單 §11; US AVYCAZ §12.3</t>
        </is>
      </c>
      <c r="J441" s="3" t="inlineStr">
        <is>
          <t>Open</t>
        </is>
      </c>
      <c r="K441" s="3" t="inlineStr"/>
    </row>
    <row r="442">
      <c r="A442" s="3" t="n">
        <v>166</v>
      </c>
      <c r="B442" s="3" t="inlineStr">
        <is>
          <t>Zerbaxa (Ceftolozane-tazobactam) (ZER01)</t>
        </is>
      </c>
      <c r="C442" s="9" t="inlineStr">
        <is>
          <t>Low</t>
        </is>
      </c>
      <c r="D442" s="3" t="inlineStr">
        <is>
          <t>Dosing – pediatric</t>
        </is>
      </c>
      <c r="E442" s="3" t="inlineStr"/>
      <c r="F442" s="3" t="inlineStr">
        <is>
          <t>State pediatric use not established in TW; optionally note US pediatric dosing ≥32 wk GA</t>
        </is>
      </c>
      <c r="G442" s="3" t="inlineStr">
        <is>
          <t>(empty)</t>
        </is>
      </c>
      <c r="H442" s="3" t="inlineStr">
        <is>
          <t>The US label has full pediatric dosing (≥32 weeks gestational age) for cIAI, cUTI and HABP/VABP. The Taiwan insert says pediatric use is not established. The hospital's empty field is consistent with the Taiwan insert but not with the current US label.</t>
        </is>
      </c>
      <c r="I442" s="3" t="inlineStr">
        <is>
          <t>US label §2.2; Taiwan insert §8.4</t>
        </is>
      </c>
      <c r="J442" s="3" t="inlineStr">
        <is>
          <t>Open</t>
        </is>
      </c>
      <c r="K442" s="3" t="inlineStr"/>
    </row>
    <row r="443">
      <c r="A443" s="3" t="n">
        <v>167</v>
      </c>
      <c r="B443" s="3" t="inlineStr">
        <is>
          <t>Zerbaxa (Ceftolozane-tazobactam) (ZER01)</t>
        </is>
      </c>
      <c r="C443" s="9" t="inlineStr">
        <is>
          <t>Low</t>
        </is>
      </c>
      <c r="D443" s="3" t="inlineStr">
        <is>
          <t>Pharmacokinetics/other</t>
        </is>
      </c>
      <c r="E443" s="3" t="inlineStr"/>
      <c r="F443" s="3" t="inlineStr">
        <is>
          <t>Re-verify ZER01 page directly; current values taken from brief</t>
        </is>
      </c>
      <c r="G443" s="3" t="inlineStr">
        <is>
          <t>Content as described in the source brief for ZER01</t>
        </is>
      </c>
      <c r="H443" s="3" t="inlineStr">
        <is>
          <t>I could not re-open the ZER01 detail page myself; the site's search page loads but needs a dynamic query. The hospital-side values above come from the brief, and I checked each one against the official labels.</t>
        </is>
      </c>
      <c r="I443" s="3" t="inlineStr">
        <is>
          <t>https://pharmacy.fjuh.fju.edu.tw/Look_Search</t>
        </is>
      </c>
      <c r="J443" s="3" t="inlineStr">
        <is>
          <t>Open</t>
        </is>
      </c>
      <c r="K443" s="3" t="inlineStr"/>
    </row>
    <row r="444">
      <c r="A444" s="3" t="n">
        <v>164</v>
      </c>
      <c r="B444" s="3" t="inlineStr">
        <is>
          <t>Zerbaxa (Ceftolozane-tazobactam) (ZER01)</t>
        </is>
      </c>
      <c r="C444" s="9" t="inlineStr">
        <is>
          <t>Low</t>
        </is>
      </c>
      <c r="D444" s="3" t="inlineStr">
        <is>
          <t>Pregnancy</t>
        </is>
      </c>
      <c r="E444" s="3" t="inlineStr">
        <is>
          <t>FDA letter category</t>
        </is>
      </c>
      <c r="F444" s="3" t="inlineStr">
        <is>
          <t>Replace category B with PLLR narrative</t>
        </is>
      </c>
      <c r="G444" s="3" t="inlineStr">
        <is>
          <t>B</t>
        </is>
      </c>
      <c r="H444" s="3" t="inlineStr">
        <is>
          <t>The US label uses the PLLR narrative and has no letter category, because FDA retired the letter categories. The Taiwan insert (2019) still prints '妊娠用藥分級B', so the hospital value matches the old local insert but should not be shown as a current category.</t>
        </is>
      </c>
      <c r="I444" s="3" t="inlineStr">
        <is>
          <t>US label §8.1; Taiwan insert §8.1</t>
        </is>
      </c>
      <c r="J444" s="3" t="inlineStr">
        <is>
          <t>Open</t>
        </is>
      </c>
      <c r="K444" s="3" t="inlineStr"/>
    </row>
    <row r="445">
      <c r="A445" s="3" t="n">
        <v>174</v>
      </c>
      <c r="B445" s="3" t="inlineStr">
        <is>
          <t>Zerbaxa (Ceftolozane-tazobactam) (ZER01)</t>
        </is>
      </c>
      <c r="C445" s="9" t="inlineStr">
        <is>
          <t>Low</t>
        </is>
      </c>
      <c r="D445" s="3" t="inlineStr">
        <is>
          <t>Pregnancy</t>
        </is>
      </c>
      <c r="E445" s="3" t="inlineStr">
        <is>
          <t>FDA letter category</t>
        </is>
      </c>
      <c r="F445" s="3" t="inlineStr">
        <is>
          <t>Remove category B; use narrative pregnancy text</t>
        </is>
      </c>
      <c r="G445" s="3" t="inlineStr">
        <is>
          <t>B</t>
        </is>
      </c>
      <c r="H445" s="3" t="inlineStr">
        <is>
          <t>The FDA retired letter categories (US §8.1 is narrative, with no human data). The Taiwan 2019 insert still prints 妊娠用藥分級B, but this should not be shown as a current category.</t>
        </is>
      </c>
      <c r="I445" s="3" t="inlineStr">
        <is>
          <t>US FDA label §8.1 — https://dailymed.nlm.nih.gov/dailymed/drugInfo.cfm?setid=70ac1d90-eff3-4f0b-9f46-5846c571b32f</t>
        </is>
      </c>
      <c r="J445" s="3" t="inlineStr">
        <is>
          <t>Open</t>
        </is>
      </c>
      <c r="K445" s="3" t="inlineStr"/>
    </row>
    <row r="446">
      <c r="A446" s="3" t="n">
        <v>98</v>
      </c>
      <c r="B446" s="3" t="inlineStr">
        <is>
          <t>Zinforo (Ceftaroline) (ZIN04)</t>
        </is>
      </c>
      <c r="C446" s="9" t="inlineStr">
        <is>
          <t>Low</t>
        </is>
      </c>
      <c r="D446" s="3" t="inlineStr">
        <is>
          <t>Administration/compatibility</t>
        </is>
      </c>
      <c r="E446" s="3" t="inlineStr"/>
      <c r="F446" s="3" t="inlineStr">
        <is>
          <t>Storage: below 30 °C, original package, protect from light</t>
        </is>
      </c>
      <c r="G446" s="3" t="inlineStr">
        <is>
          <t>Store at 30°C (drug-bag info says 15-30℃)</t>
        </is>
      </c>
      <c r="H446" s="3" t="inlineStr">
        <is>
          <t>請存放於 30°C 以下 (store below 30°C), in the original package, protected from light</t>
        </is>
      </c>
      <c r="I446" s="3" t="inlineStr">
        <is>
          <t>Taiwan insert 13.3, 13.4 — https://mcp.fda.gov.tw/im_detail_1/%E8%A1%9B%E9%83%A8%E8%97%A5%E8%BC%B8%E5%AD%97%E7%AC%AC026611%E8%99%9F</t>
        </is>
      </c>
      <c r="J446" s="3" t="inlineStr">
        <is>
          <t>Open</t>
        </is>
      </c>
      <c r="K446" s="3" t="inlineStr"/>
    </row>
    <row r="447">
      <c r="A447" s="3" t="n">
        <v>89</v>
      </c>
      <c r="B447" s="3" t="inlineStr">
        <is>
          <t>Zinforo (Ceftaroline) (ZIN04)</t>
        </is>
      </c>
      <c r="C447" s="9" t="inlineStr">
        <is>
          <t>Low</t>
        </is>
      </c>
      <c r="D447" s="3" t="inlineStr">
        <is>
          <t>Adverse effects</t>
        </is>
      </c>
      <c r="E447" s="3" t="inlineStr"/>
      <c r="F447" s="3" t="inlineStr">
        <is>
          <t>Reassign ADR frequencies per TW insert; SCAR frequency unknown, seizure/renal failure not common</t>
        </is>
      </c>
      <c r="G447" s="3" t="inlineStr">
        <is>
          <t>Common: rash, SCAR (SJS, TEN, DRESS, AGEP), diarrhea, nausea, vomiting, fever, C. difficile diarrhea, ALT/AST raised, hepatitis, anaphylaxis, hypersensitivity reaction, seizure, renal failure</t>
        </is>
      </c>
      <c r="H447" s="3" t="inlineStr">
        <is>
          <t>Common: rash, pruritus, diarrhoea, nausea, vomiting, abdominal pain, headache, dizziness, phlebitis, raised transaminases, fever. Uncommon: C. difficile colitis, hypersensitivity/anaphylaxis, encephalopathy, anaemia/leukopenia/thrombocytopenia, raised creatinine. Frequency unknown: SJS/TEN/DRESS/AGEP. Seizure, renal failure and hepatitis are not in the TW table (US lists them at &lt;2%).</t>
        </is>
      </c>
      <c r="I447" s="3" t="inlineStr">
        <is>
          <t>Taiwan insert 8.2 表3 — https://mcp.fda.gov.tw/im_detail_1/%E8%A1%9B%E9%83%A8%E8%97%A5%E8%BC%B8%E5%AD%97%E7%AC%AC026611%E8%99%9F</t>
        </is>
      </c>
      <c r="J447" s="3" t="inlineStr">
        <is>
          <t>Open</t>
        </is>
      </c>
      <c r="K447" s="3" t="inlineStr"/>
    </row>
    <row r="448">
      <c r="A448" s="3" t="n">
        <v>101</v>
      </c>
      <c r="B448" s="3" t="inlineStr">
        <is>
          <t>Zinforo (Ceftaroline) (ZIN04)</t>
        </is>
      </c>
      <c r="C448" s="9" t="inlineStr">
        <is>
          <t>Low</t>
        </is>
      </c>
      <c r="D448" s="3" t="inlineStr">
        <is>
          <t>Adverse effects</t>
        </is>
      </c>
      <c r="E448" s="3" t="inlineStr"/>
      <c r="F448" s="3" t="inlineStr">
        <is>
          <t>Correct ADR frequency classes (SCAR unknown, anaphylaxis uncommon, seizure/renal failure US &lt;2%)</t>
        </is>
      </c>
      <c r="G448" s="3" t="inlineStr">
        <is>
          <t>Common: … SCAR (SJS, TEN, DRESS, AGEP) … hepatitis, anaphylaxis, hypersensitivity reaction, seizure, renal failure</t>
        </is>
      </c>
      <c r="H448" s="3" t="inlineStr">
        <is>
          <t>SJS/TEN/DRESS/AGEP = frequency unknown (post-marketing); hypersensitivity/anaphylaxis = uncommon; blood creatinine increased = uncommon; hepatitis, convulsion and renal failure appear only in the US label's '&lt;2%' list, not as common</t>
        </is>
      </c>
      <c r="I448" s="3" t="inlineStr">
        <is>
          <t>Taiwan insert 8.2 表3; US label 6.1 'Other adverse reactions … &lt;2%'</t>
        </is>
      </c>
      <c r="J448" s="3" t="inlineStr">
        <is>
          <t>Open</t>
        </is>
      </c>
      <c r="K448" s="3" t="inlineStr"/>
    </row>
    <row r="449">
      <c r="A449" s="3" t="n">
        <v>87</v>
      </c>
      <c r="B449" s="3" t="inlineStr">
        <is>
          <t>Zinforo (Ceftaroline) (ZIN04)</t>
        </is>
      </c>
      <c r="C449" s="9" t="inlineStr">
        <is>
          <t>Low</t>
        </is>
      </c>
      <c r="D449" s="3" t="inlineStr">
        <is>
          <t>Dosing – adult</t>
        </is>
      </c>
      <c r="E449" s="3" t="inlineStr"/>
      <c r="F449" s="3" t="inlineStr">
        <is>
          <t>Correct MIC unit to mg/L</t>
        </is>
      </c>
      <c r="G449" s="3" t="inlineStr">
        <is>
          <t>MIC for ceftaroline = 2 to 4 mL/L</t>
        </is>
      </c>
      <c r="H449" s="3" t="inlineStr">
        <is>
          <t>MIC = 2 mg/L or 4 mg/L (對ceftaroline的MIC = 2毫克/升或4毫克/升)</t>
        </is>
      </c>
      <c r="I449" s="3" t="inlineStr">
        <is>
          <t>Taiwan insert 3.1 — https://mcp.fda.gov.tw/im_detail_1/%E8%A1%9B%E9%83%A8%E8%97%A5%E8%BC%B8%E5%AD%97%E7%AC%AC026611%E8%99%9F</t>
        </is>
      </c>
      <c r="J449" s="3" t="inlineStr">
        <is>
          <t>Open</t>
        </is>
      </c>
      <c r="K449" s="3" t="inlineStr"/>
    </row>
    <row r="450">
      <c r="A450" s="3" t="n">
        <v>99</v>
      </c>
      <c r="B450" s="3" t="inlineStr">
        <is>
          <t>Zinforo (Ceftaroline) (ZIN04)</t>
        </is>
      </c>
      <c r="C450" s="9" t="inlineStr">
        <is>
          <t>Low</t>
        </is>
      </c>
      <c r="D450" s="3" t="inlineStr">
        <is>
          <t>Dosing – adult</t>
        </is>
      </c>
      <c r="E450" s="3" t="inlineStr"/>
      <c r="F450" s="3" t="inlineStr">
        <is>
          <t>Correct MIC unit from mL/L to mg/L</t>
        </is>
      </c>
      <c r="G450" s="3" t="inlineStr">
        <is>
          <t>MIC for ceftaroline = 2 to 4 mL/L</t>
        </is>
      </c>
      <c r="H450" s="3" t="inlineStr">
        <is>
          <t>MIC = 2 毫克/升 或 4 毫克/升 (mg/L)</t>
        </is>
      </c>
      <c r="I450" s="3" t="inlineStr">
        <is>
          <t>Taiwan insert 3.1 https://mcp.fda.gov.tw/im_detail_1/%E8%A1%9B%E9%83%A8%E8%97%A5%E8%BC%B8%E5%AD%97%E7%AC%AC026611%E8%99%9F</t>
        </is>
      </c>
      <c r="J450" s="3" t="inlineStr">
        <is>
          <t>Open</t>
        </is>
      </c>
      <c r="K450" s="3" t="inlineStr"/>
    </row>
    <row r="451">
      <c r="A451" s="3" t="n">
        <v>97</v>
      </c>
      <c r="B451" s="3" t="inlineStr">
        <is>
          <t>Zinforo (Ceftaroline) (ZIN04)</t>
        </is>
      </c>
      <c r="C451" s="9" t="inlineStr">
        <is>
          <t>Low</t>
        </is>
      </c>
      <c r="D451" s="3" t="inlineStr">
        <is>
          <t>Dosing – hepatic</t>
        </is>
      </c>
      <c r="E451" s="3" t="inlineStr"/>
      <c r="F451" s="3" t="inlineStr">
        <is>
          <t>State explicitly no adjustment needed in hepatic impairment</t>
        </is>
      </c>
      <c r="G451" s="3" t="inlineStr">
        <is>
          <t>There are no dosage adjustments provided in the manufacturer's labeling.</t>
        </is>
      </c>
      <c r="H451" s="3" t="inlineStr">
        <is>
          <t>肝功能不全病人無需調整劑量 (the label explicitly says no adjustment is needed)</t>
        </is>
      </c>
      <c r="I451" s="3" t="inlineStr">
        <is>
          <t>Taiwan insert 3.3 — https://mcp.fda.gov.tw/im_detail_1/%E8%A1%9B%E9%83%A8%E8%97%A5%E8%BC%B8%E5%AD%97%E7%AC%AC026611%E8%99%9F</t>
        </is>
      </c>
      <c r="J451" s="3" t="inlineStr">
        <is>
          <t>Open</t>
        </is>
      </c>
      <c r="K451" s="3" t="inlineStr"/>
    </row>
    <row r="452">
      <c r="A452" s="3" t="n">
        <v>107</v>
      </c>
      <c r="B452" s="3" t="inlineStr">
        <is>
          <t>Zinforo (Ceftaroline) (ZIN04)</t>
        </is>
      </c>
      <c r="C452" s="9" t="inlineStr">
        <is>
          <t>Low</t>
        </is>
      </c>
      <c r="D452" s="3" t="inlineStr">
        <is>
          <t>Dosing – hepatic</t>
        </is>
      </c>
      <c r="E452" s="3" t="inlineStr"/>
      <c r="F452" s="3" t="inlineStr">
        <is>
          <t>State label explicitly: no hepatic adjustment needed</t>
        </is>
      </c>
      <c r="G452" s="3" t="inlineStr">
        <is>
          <t>There are no dosage adjustments provided in the manufacturer's labeling</t>
        </is>
      </c>
      <c r="H452" s="3" t="inlineStr">
        <is>
          <t>肝功能不全病人無需調整劑量 (an explicit statement that no adjustment is needed)</t>
        </is>
      </c>
      <c r="I452" s="3" t="inlineStr">
        <is>
          <t>Taiwan insert 3.1 肝功能不全病人</t>
        </is>
      </c>
      <c r="J452" s="3" t="inlineStr">
        <is>
          <t>Open</t>
        </is>
      </c>
      <c r="K452" s="3" t="inlineStr"/>
    </row>
    <row r="453">
      <c r="A453" s="3" t="n">
        <v>96</v>
      </c>
      <c r="B453" s="3" t="inlineStr">
        <is>
          <t>Zinforo (Ceftaroline) (ZIN04)</t>
        </is>
      </c>
      <c r="C453" s="9" t="inlineStr">
        <is>
          <t>Low</t>
        </is>
      </c>
      <c r="D453" s="3" t="inlineStr">
        <is>
          <t>Pregnancy</t>
        </is>
      </c>
      <c r="E453" s="3" t="inlineStr"/>
      <c r="F453" s="3" t="inlineStr">
        <is>
          <t>Use TW wording: animal data no harmful effects; avoid unless clinically needed</t>
        </is>
      </c>
      <c r="G453" s="3" t="inlineStr">
        <is>
          <t>Adverse events have been observed in some animal reproduction studies.</t>
        </is>
      </c>
      <c r="H453" s="3" t="inlineStr">
        <is>
          <t>Taiwan insert: no human data, animal studies show no harmful reproductive effects apart from minor fetal weight changes and delayed ossification in rats; 懷孕期間應避免使用，除非臨床確實需要 (avoid unless clinically needed). The hospital text omits this recommendation.</t>
        </is>
      </c>
      <c r="I453" s="3" t="inlineStr">
        <is>
          <t>Taiwan insert 6.1 — https://mcp.fda.gov.tw/im_detail_1/%E8%A1%9B%E9%83%A8%E8%97%A5%E8%BC%B8%E5%AD%97%E7%AC%AC026611%E8%99%9F</t>
        </is>
      </c>
      <c r="J453" s="3" t="inlineStr">
        <is>
          <t>Open</t>
        </is>
      </c>
      <c r="K453" s="3" t="inlineStr"/>
    </row>
    <row r="454">
      <c r="A454" s="3" t="n">
        <v>106</v>
      </c>
      <c r="B454" s="3" t="inlineStr">
        <is>
          <t>Zinforo (Ceftaroline) (ZIN04)</t>
        </is>
      </c>
      <c r="C454" s="9" t="inlineStr">
        <is>
          <t>Low</t>
        </is>
      </c>
      <c r="D454" s="3" t="inlineStr">
        <is>
          <t>Pregnancy</t>
        </is>
      </c>
      <c r="E454" s="3" t="inlineStr"/>
      <c r="F454" s="3" t="inlineStr">
        <is>
          <t>Correct animal data statement; avoid unless clinically needed</t>
        </is>
      </c>
      <c r="G454" s="3" t="inlineStr">
        <is>
          <t>Adverse events have been observed in some animal reproduction studies</t>
        </is>
      </c>
      <c r="H454" s="3" t="inlineStr">
        <is>
          <t>Animal studies showed no harmful reproductive effects (minor fetal weight change and delayed ossification in rats); avoid in pregnancy unless clinically needed</t>
        </is>
      </c>
      <c r="I454" s="3" t="inlineStr">
        <is>
          <t>Taiwan insert 6.1; UK SmPC 4.6</t>
        </is>
      </c>
      <c r="J454" s="3" t="inlineStr">
        <is>
          <t>Open</t>
        </is>
      </c>
      <c r="K454" s="3" t="inlineStr"/>
    </row>
    <row r="455">
      <c r="A455" s="3" t="n">
        <v>112</v>
      </c>
      <c r="B455" s="3" t="inlineStr">
        <is>
          <t>Zovirax (Acyclovir) (ZOV01, ACY01)</t>
        </is>
      </c>
      <c r="C455" s="9" t="inlineStr">
        <is>
          <t>Low</t>
        </is>
      </c>
      <c r="D455" s="3" t="inlineStr">
        <is>
          <t>Adverse effects</t>
        </is>
      </c>
      <c r="E455" s="3" t="inlineStr"/>
      <c r="F455" s="3" t="inlineStr">
        <is>
          <t>Remove injection-site reactions from oral tablet ADRs; use tablet label list</t>
        </is>
      </c>
      <c r="G455" s="3" t="inlineStr">
        <is>
          <t>Local: Inflammation at injection site, injection site phlebitis</t>
        </is>
      </c>
      <c r="H455" s="3" t="inlineStr">
        <is>
          <t>Injection-site reactions do not apply to an oral tablet. Neither the FDA tablet label nor the Acylete insert lists them; the insert lists rash, N/V, diarrhoea, abdominal pain, bilirubin/LFT/BUN/creatinine rises, haematological decreases, neurological reactions and fatigue.</t>
        </is>
      </c>
      <c r="I455" s="3" t="inlineStr">
        <is>
          <t>https://dailymed.nlm.nih.gov/dailymed/drugInfo.cfm?setid=05f42300-2a06-45f1-a9b9-6e5c84ae58ec ; https://mcp.fda.gov.tw/insert/pdfcasefile/i_846aed79-8984-4d2b-8863-39852b6a0175</t>
        </is>
      </c>
      <c r="J455" s="3" t="inlineStr">
        <is>
          <t>Open</t>
        </is>
      </c>
      <c r="K455" s="3" t="inlineStr"/>
    </row>
    <row r="456">
      <c r="A456" s="3" t="n">
        <v>115</v>
      </c>
      <c r="B456" s="3" t="inlineStr">
        <is>
          <t>Zovirax (Acyclovir) (ZOV01, ACY01)</t>
        </is>
      </c>
      <c r="C456" s="9" t="inlineStr">
        <is>
          <t>Low</t>
        </is>
      </c>
      <c r="D456" s="3" t="inlineStr">
        <is>
          <t>Dosing – adult</t>
        </is>
      </c>
      <c r="E456" s="3" t="inlineStr"/>
      <c r="F456" s="3" t="inlineStr">
        <is>
          <t>Note label duration 10 days; 14–21 days per IDSA/NHI (informational)</t>
        </is>
      </c>
      <c r="G456" s="3" t="inlineStr">
        <is>
          <t>duration for encephalitis is 14 to 21 days</t>
        </is>
      </c>
      <c r="H456" s="3" t="inlineStr">
        <is>
          <t>Labels (TW insert, UK SmPC, FDA): usually 10 days. The 14–21 days matches the IDSA 2008 guideline and the Taiwan NHI reimbursement rule, so this is informational and not an error.</t>
        </is>
      </c>
      <c r="I456" s="3" t="inlineStr">
        <is>
          <t>https://mcp.fda.gov.tw/insert/pdfcasefile/i_43ee63d3-02bb-4b8b-956a-0d7296e71d7e ; https://pubmed.ncbi.nlm.nih.gov/18582201/</t>
        </is>
      </c>
      <c r="J456" s="3" t="inlineStr">
        <is>
          <t>Open</t>
        </is>
      </c>
      <c r="K456" s="3" t="inlineStr"/>
    </row>
    <row r="457">
      <c r="A457" s="3" t="n">
        <v>122</v>
      </c>
      <c r="B457" s="3" t="inlineStr">
        <is>
          <t>Zovirax (Acyclovir) (ZOV01, ACY01)</t>
        </is>
      </c>
      <c r="C457" s="9" t="inlineStr">
        <is>
          <t>Low</t>
        </is>
      </c>
      <c r="D457" s="3" t="inlineStr">
        <is>
          <t>Dosing – adult</t>
        </is>
      </c>
      <c r="E457" s="3" t="inlineStr"/>
      <c r="F457" s="3" t="inlineStr">
        <is>
          <t>Varicella adult: 800 mg four times daily for 5 days per FDA label</t>
        </is>
      </c>
      <c r="G457" s="3" t="inlineStr">
        <is>
          <t>800 mg 5 times daily for &gt;5 to 7 days and until all lesions have crusted</t>
        </is>
      </c>
      <c r="H457" s="3" t="inlineStr">
        <is>
          <t>FDA tablet label: adults and children &gt;40 kg, 800 mg 4 times daily for 5 days (minor difference)</t>
        </is>
      </c>
      <c r="I457" s="3" t="inlineStr">
        <is>
          <t>https://dailymed.nlm.nih.gov/dailymed/drugInfo.cfm?setid=05f42300-2a06-45f1-a9b9-6e5c84ae58ec</t>
        </is>
      </c>
      <c r="J457" s="3" t="inlineStr">
        <is>
          <t>Open</t>
        </is>
      </c>
      <c r="K457" s="3" t="inlineStr"/>
    </row>
    <row r="458">
      <c r="A458" s="3" t="n">
        <v>124</v>
      </c>
      <c r="B458" s="3" t="inlineStr">
        <is>
          <t>Zovirax (Acyclovir) (ZOV01, ACY01)</t>
        </is>
      </c>
      <c r="C458" s="9" t="inlineStr">
        <is>
          <t>Low</t>
        </is>
      </c>
      <c r="D458" s="3" t="inlineStr">
        <is>
          <t>Dosing – adult</t>
        </is>
      </c>
      <c r="E458" s="3" t="inlineStr"/>
      <c r="F458" s="3" t="inlineStr">
        <is>
          <t>Annotate HSE 14–21 days as NHI/guideline-based; label says usually 10 days</t>
        </is>
      </c>
      <c r="G458" s="3" t="inlineStr">
        <is>
          <t>duration for encephalitis is 14 to 21 days</t>
        </is>
      </c>
      <c r="H458" s="3" t="inlineStr">
        <is>
          <t>Labels say usually 10 days (FDA, SmPC, TW 仿單). 14–21 days matches the NHI rule (疱疹性腦炎得使用14至21天) and guideline practice, so this is acceptable but should be marked as guideline/NHI-based.</t>
        </is>
      </c>
      <c r="I458" s="3" t="inlineStr">
        <is>
          <t>https://mcp.fda.gov.tw/insert/pdfcasefile/i_43ee63d3-02bb-4b8b-956a-0d7296e71d7e ; https://www.cth.org.tw/?aid=606&amp;pid=0&amp;page_name=detail&amp;iid=1012</t>
        </is>
      </c>
      <c r="J458" s="3" t="inlineStr">
        <is>
          <t>Open</t>
        </is>
      </c>
      <c r="K458" s="3" t="inlineStr"/>
    </row>
    <row r="459">
      <c r="A459" s="3" t="n">
        <v>460</v>
      </c>
      <c r="B459" s="3" t="inlineStr">
        <is>
          <t>Zyvox (Linezolid) (ZYV01, ZYV02)</t>
        </is>
      </c>
      <c r="C459" s="9" t="inlineStr">
        <is>
          <t>Low</t>
        </is>
      </c>
      <c r="D459" s="3" t="inlineStr">
        <is>
          <t>Dosing – adult</t>
        </is>
      </c>
      <c r="E459" s="3" t="inlineStr"/>
      <c r="F459" s="3" t="inlineStr">
        <is>
          <t>No change needed; note uSSSI 400 mg if indication added</t>
        </is>
      </c>
      <c r="G459" s="3" t="inlineStr">
        <is>
          <t>600 mg q12h for all listed indications</t>
        </is>
      </c>
      <c r="H459" s="3" t="inlineStr">
        <is>
          <t>Correct for the listed indications (pneumonia, cSSTI, VRE). If uncomplicated SSSI is ever added, the adult dose is 400 mg PO q12h for 10–14 days; adolescents get 600 mg.</t>
        </is>
      </c>
      <c r="I459" s="3" t="inlineStr">
        <is>
          <t>US label §2.1 Table 1; Taiwan 仿單 §3.1 表一</t>
        </is>
      </c>
      <c r="J459" s="3" t="inlineStr">
        <is>
          <t>Open</t>
        </is>
      </c>
      <c r="K459" s="3" t="inlineStr"/>
    </row>
    <row r="460">
      <c r="A460" s="3" t="n">
        <v>447</v>
      </c>
      <c r="B460" s="3" t="inlineStr">
        <is>
          <t>Zyvox (Linezolid) (ZYV01, ZYV02)</t>
        </is>
      </c>
      <c r="C460" s="9" t="inlineStr">
        <is>
          <t>Low</t>
        </is>
      </c>
      <c r="D460" s="3" t="inlineStr">
        <is>
          <t>Pregnancy</t>
        </is>
      </c>
      <c r="E460" s="3" t="inlineStr">
        <is>
          <t>FDA letter category</t>
        </is>
      </c>
      <c r="F460" s="3" t="inlineStr">
        <is>
          <t>Replace category C with PLLR narrative risk summary</t>
        </is>
      </c>
      <c r="G460" s="3" t="inlineStr">
        <is>
          <t>Pregnancy category C</t>
        </is>
      </c>
      <c r="H460" s="3" t="inlineStr">
        <is>
          <t>FDA letter categories are retired. The US label §8.1 now gives a narrative risk summary: human case data have not identified a drug-associated risk of major birth defects or miscarriage; animal studies showed embryo-fetal lethality in mice at 6.5× exposure and reduced pup survival in rats. The Taiwan insert 懷孕 section is the same.</t>
        </is>
      </c>
      <c r="I460" s="3" t="inlineStr">
        <is>
          <t>US FDA label §8.1 - https://dailymed.nlm.nih.gov/dailymed/drugInfo.cfm?setid=6e70e63b-bfd5-478d-a8ee-8ba22c9efabd; Taiwan insert - https://mcp.fda.gov.tw/im_detail_1/%E8%A1%9B%E7%BD%B2%E8%97%A5%E8%BC%B8%E5%AD%97%E7%AC%AC023186%E8%99%9F</t>
        </is>
      </c>
      <c r="J460" s="3" t="inlineStr">
        <is>
          <t>Open</t>
        </is>
      </c>
      <c r="K460" s="3" t="inlineStr"/>
    </row>
    <row r="461">
      <c r="A461" s="3" t="n">
        <v>454</v>
      </c>
      <c r="B461" s="3" t="inlineStr">
        <is>
          <t>Zyvox (Linezolid) (ZYV01, ZYV02)</t>
        </is>
      </c>
      <c r="C461" s="9" t="inlineStr">
        <is>
          <t>Low</t>
        </is>
      </c>
      <c r="D461" s="3" t="inlineStr">
        <is>
          <t>Pregnancy</t>
        </is>
      </c>
      <c r="E461" s="3" t="inlineStr">
        <is>
          <t>FDA letter category</t>
        </is>
      </c>
      <c r="F461" s="3" t="inlineStr">
        <is>
          <t>Replace category C with PLLR narrative</t>
        </is>
      </c>
      <c r="G461" s="3" t="inlineStr">
        <is>
          <t>C</t>
        </is>
      </c>
      <c r="H461" s="3" t="inlineStr">
        <is>
          <t>FDA letter categories are retired (PLLR). The current label narrative: published and postmarketing data have not identified a drug-associated risk of major birth defects, miscarriage or adverse outcomes; animal studies showed no malformations. The UK SmPC says avoid unless clearly necessary.</t>
        </is>
      </c>
      <c r="I461" s="3" t="inlineStr">
        <is>
          <t>US label §8.1 (DailyMed setid 6e70e63b…, 2026); Taiwan 仿單 §6.1; UK SmPC 4.6</t>
        </is>
      </c>
      <c r="J461" s="3" t="inlineStr">
        <is>
          <t>Open</t>
        </is>
      </c>
      <c r="K461" s="3" t="inlineStr"/>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30" customWidth="1" min="1" max="1"/>
    <col width="80" customWidth="1" min="2" max="2"/>
    <col width="18" customWidth="1" min="3" max="3"/>
    <col width="14" customWidth="1" min="4" max="4"/>
  </cols>
  <sheetData>
    <row r="1">
      <c r="A1" s="10" t="inlineStr">
        <is>
          <t>Pattern</t>
        </is>
      </c>
      <c r="B1" s="10" t="inlineStr">
        <is>
          <t>What it means</t>
        </is>
      </c>
      <c r="C1" s="10" t="inlineStr">
        <is>
          <t>Rows (All issues)</t>
        </is>
      </c>
      <c r="D1" s="10" t="inlineStr">
        <is>
          <t>of which High</t>
        </is>
      </c>
    </row>
    <row r="2">
      <c r="A2" s="3" t="inlineStr">
        <is>
          <t>Renal table outdated</t>
        </is>
      </c>
      <c r="B2" s="3" t="inlineStr">
        <is>
          <t>Renal dose bands do not match the current label (CrCl bands, HD/CRRT rows missing or different).</t>
        </is>
      </c>
      <c r="C2" s="3">
        <f>COUNTIF('All issues'!$E$2:$E$461,A2)</f>
        <v/>
      </c>
      <c r="D2" s="3">
        <f>COUNTIFS('All issues'!$E$2:$E$461,A2,'All issues'!$C$2:$C$461,"High")</f>
        <v/>
      </c>
    </row>
    <row r="3">
      <c r="A3" s="3" t="inlineStr">
        <is>
          <t>FDA letter category</t>
        </is>
      </c>
      <c r="B3" s="3" t="inlineStr">
        <is>
          <t>Pregnancy shown as an FDA letter (A/B/C/D/X). The FDA retired these in 2015 (PLLR); replace with the label narrative.</t>
        </is>
      </c>
      <c r="C3" s="3">
        <f>COUNTIF('All issues'!$E$2:$E$461,A3)</f>
        <v/>
      </c>
      <c r="D3" s="3">
        <f>COUNTIFS('All issues'!$E$2:$E$461,A3,'All issues'!$C$2:$C$461,"High")</f>
        <v/>
      </c>
    </row>
    <row r="4">
      <c r="A4" s="3" t="inlineStr">
        <is>
          <t>LactMed outdated</t>
        </is>
      </c>
      <c r="B4" s="3" t="inlineStr">
        <is>
          <t>Breastfeeding text is older or more restrictive than current LactMed.</t>
        </is>
      </c>
      <c r="C4" s="3">
        <f>COUNTIF('All issues'!$E$2:$E$461,A4)</f>
        <v/>
      </c>
      <c r="D4" s="3">
        <f>COUNTIFS('All issues'!$E$2:$E$461,A4,'All issues'!$C$2:$C$461,"High")</f>
        <v/>
      </c>
    </row>
    <row r="5">
      <c r="A5" s="3" t="inlineStr">
        <is>
          <t>Missing SCAR (SJS/TEN/DRESS)</t>
        </is>
      </c>
      <c r="B5" s="3" t="inlineStr">
        <is>
          <t>Severe cutaneous adverse reactions listed in the label are missing.</t>
        </is>
      </c>
      <c r="C5" s="3">
        <f>COUNTIF('All issues'!$E$2:$E$461,A5)</f>
        <v/>
      </c>
      <c r="D5" s="3">
        <f>COUNTIFS('All issues'!$E$2:$E$461,A5,'All issues'!$C$2:$C$461,"High")</f>
        <v/>
      </c>
    </row>
    <row r="6">
      <c r="A6" s="3" t="inlineStr">
        <is>
          <t>Interaction list incomplete</t>
        </is>
      </c>
      <c r="B6" s="3" t="inlineStr">
        <is>
          <t>Interaction or contraindicated co-medication list is shorter than the label.</t>
        </is>
      </c>
      <c r="C6" s="3">
        <f>COUNTIF('All issues'!$E$2:$E$461,A6)</f>
        <v/>
      </c>
      <c r="D6" s="3">
        <f>COUNTIFS('All issues'!$E$2:$E$461,A6,'All issues'!$C$2:$C$461,"High")</f>
        <v/>
      </c>
    </row>
    <row r="7">
      <c r="A7" s="3" t="inlineStr">
        <is>
          <t>Missing boxed warning</t>
        </is>
      </c>
      <c r="B7" s="3" t="inlineStr">
        <is>
          <t>A US boxed warning is not mentioned.</t>
        </is>
      </c>
      <c r="C7" s="3">
        <f>COUNTIF('All issues'!$E$2:$E$461,A7)</f>
        <v/>
      </c>
      <c r="D7" s="3">
        <f>COUNTIFS('All issues'!$E$2:$E$461,A7,'All issues'!$C$2:$C$461,"High")</f>
        <v/>
      </c>
    </row>
    <row r="8">
      <c r="A8" s="3" t="inlineStr">
        <is>
          <t>Tip</t>
        </is>
      </c>
      <c r="B8" s="3" t="inlineStr">
        <is>
          <t>Fixing these as one batch across all drugs is faster than drug by drug.</t>
        </is>
      </c>
      <c r="C8" s="3" t="inlineStr"/>
      <c r="D8" s="3"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0" customWidth="1" min="1" max="1"/>
  </cols>
  <sheetData>
    <row r="1">
      <c r="A1" s="11" t="inlineStr">
        <is>
          <t>Drug (hospital code)</t>
        </is>
      </c>
      <c r="B1" s="11" t="inlineStr">
        <is>
          <t>High</t>
        </is>
      </c>
      <c r="C1" s="11" t="inlineStr">
        <is>
          <t>Medium</t>
        </is>
      </c>
      <c r="D1" s="11" t="inlineStr">
        <is>
          <t>Low</t>
        </is>
      </c>
      <c r="E1" s="11" t="inlineStr">
        <is>
          <t>Total</t>
        </is>
      </c>
    </row>
    <row r="2">
      <c r="A2" s="4" t="inlineStr">
        <is>
          <t>Amikacin (AMI12)</t>
        </is>
      </c>
      <c r="B2" s="4">
        <f>COUNTIFS('All issues'!$B$2:$B$461,A2,'All issues'!$C$2:$C$461,"High")</f>
        <v/>
      </c>
      <c r="C2" s="4">
        <f>COUNTIFS('All issues'!$B$2:$B$461,A2,'All issues'!$C$2:$C$461,"Medium")</f>
        <v/>
      </c>
      <c r="D2" s="4">
        <f>COUNTIFS('All issues'!$B$2:$B$461,A2,'All issues'!$C$2:$C$461,"Low")</f>
        <v/>
      </c>
      <c r="E2" s="4">
        <f>SUM(B2:D2)</f>
        <v/>
      </c>
    </row>
    <row r="3">
      <c r="A3" s="4" t="inlineStr">
        <is>
          <t>AmoClav (Amoxicillin/clavulanate) (AMO04, AMO08)</t>
        </is>
      </c>
      <c r="B3" s="4">
        <f>COUNTIFS('All issues'!$B$2:$B$461,A3,'All issues'!$C$2:$C$461,"High")</f>
        <v/>
      </c>
      <c r="C3" s="4">
        <f>COUNTIFS('All issues'!$B$2:$B$461,A3,'All issues'!$C$2:$C$461,"Medium")</f>
        <v/>
      </c>
      <c r="D3" s="4">
        <f>COUNTIFS('All issues'!$B$2:$B$461,A3,'All issues'!$C$2:$C$461,"Low")</f>
        <v/>
      </c>
      <c r="E3" s="4">
        <f>SUM(B3:D3)</f>
        <v/>
      </c>
    </row>
    <row r="4">
      <c r="A4" s="4" t="inlineStr">
        <is>
          <t>Antifect (Cefepime) (ANT10)</t>
        </is>
      </c>
      <c r="B4" s="4">
        <f>COUNTIFS('All issues'!$B$2:$B$461,A4,'All issues'!$C$2:$C$461,"High")</f>
        <v/>
      </c>
      <c r="C4" s="4">
        <f>COUNTIFS('All issues'!$B$2:$B$461,A4,'All issues'!$C$2:$C$461,"Medium")</f>
        <v/>
      </c>
      <c r="D4" s="4">
        <f>COUNTIFS('All issues'!$B$2:$B$461,A4,'All issues'!$C$2:$C$461,"Low")</f>
        <v/>
      </c>
      <c r="E4" s="4">
        <f>SUM(B4:D4)</f>
        <v/>
      </c>
    </row>
    <row r="5">
      <c r="A5" s="4" t="inlineStr">
        <is>
          <t>Brosym (cefoperazone-sulbactam) (BRO04, BUR01)</t>
        </is>
      </c>
      <c r="B5" s="4">
        <f>COUNTIFS('All issues'!$B$2:$B$461,A5,'All issues'!$C$2:$C$461,"High")</f>
        <v/>
      </c>
      <c r="C5" s="4">
        <f>COUNTIFS('All issues'!$B$2:$B$461,A5,'All issues'!$C$2:$C$461,"Medium")</f>
        <v/>
      </c>
      <c r="D5" s="4">
        <f>COUNTIFS('All issues'!$B$2:$B$461,A5,'All issues'!$C$2:$C$461,"Low")</f>
        <v/>
      </c>
      <c r="E5" s="4">
        <f>SUM(B5:D5)</f>
        <v/>
      </c>
    </row>
    <row r="6">
      <c r="A6" s="4" t="inlineStr">
        <is>
          <t>Cefin (Ceftriaxone) (CEF10)</t>
        </is>
      </c>
      <c r="B6" s="4">
        <f>COUNTIFS('All issues'!$B$2:$B$461,A6,'All issues'!$C$2:$C$461,"High")</f>
        <v/>
      </c>
      <c r="C6" s="4">
        <f>COUNTIFS('All issues'!$B$2:$B$461,A6,'All issues'!$C$2:$C$461,"Medium")</f>
        <v/>
      </c>
      <c r="D6" s="4">
        <f>COUNTIFS('All issues'!$B$2:$B$461,A6,'All issues'!$C$2:$C$461,"Low")</f>
        <v/>
      </c>
      <c r="E6" s="4">
        <f>SUM(B6:D6)</f>
        <v/>
      </c>
    </row>
    <row r="7">
      <c r="A7" s="4" t="inlineStr">
        <is>
          <t>Cefmore (Cefoxitin) (CEF08)</t>
        </is>
      </c>
      <c r="B7" s="4">
        <f>COUNTIFS('All issues'!$B$2:$B$461,A7,'All issues'!$C$2:$C$461,"High")</f>
        <v/>
      </c>
      <c r="C7" s="4">
        <f>COUNTIFS('All issues'!$B$2:$B$461,A7,'All issues'!$C$2:$C$461,"Medium")</f>
        <v/>
      </c>
      <c r="D7" s="4">
        <f>COUNTIFS('All issues'!$B$2:$B$461,A7,'All issues'!$C$2:$C$461,"Low")</f>
        <v/>
      </c>
      <c r="E7" s="4">
        <f>SUM(B7:D7)</f>
        <v/>
      </c>
    </row>
    <row r="8">
      <c r="A8" s="4" t="inlineStr">
        <is>
          <t>Cetazone (Cefmetazole) (CET03)</t>
        </is>
      </c>
      <c r="B8" s="4">
        <f>COUNTIFS('All issues'!$B$2:$B$461,A8,'All issues'!$C$2:$C$461,"High")</f>
        <v/>
      </c>
      <c r="C8" s="4">
        <f>COUNTIFS('All issues'!$B$2:$B$461,A8,'All issues'!$C$2:$C$461,"Medium")</f>
        <v/>
      </c>
      <c r="D8" s="4">
        <f>COUNTIFS('All issues'!$B$2:$B$461,A8,'All issues'!$C$2:$C$461,"Low")</f>
        <v/>
      </c>
      <c r="E8" s="4">
        <f>SUM(B8:D8)</f>
        <v/>
      </c>
    </row>
    <row r="9">
      <c r="A9" s="4" t="inlineStr">
        <is>
          <t>Colistin (COL04)</t>
        </is>
      </c>
      <c r="B9" s="4">
        <f>COUNTIFS('All issues'!$B$2:$B$461,A9,'All issues'!$C$2:$C$461,"High")</f>
        <v/>
      </c>
      <c r="C9" s="4">
        <f>COUNTIFS('All issues'!$B$2:$B$461,A9,'All issues'!$C$2:$C$461,"Medium")</f>
        <v/>
      </c>
      <c r="D9" s="4">
        <f>COUNTIFS('All issues'!$B$2:$B$461,A9,'All issues'!$C$2:$C$461,"Low")</f>
        <v/>
      </c>
      <c r="E9" s="4">
        <f>SUM(B9:D9)</f>
        <v/>
      </c>
    </row>
    <row r="10">
      <c r="A10" s="4" t="inlineStr">
        <is>
          <t>Cravit (levofloxacin) (CRA03, LEV08)</t>
        </is>
      </c>
      <c r="B10" s="4">
        <f>COUNTIFS('All issues'!$B$2:$B$461,A10,'All issues'!$C$2:$C$461,"High")</f>
        <v/>
      </c>
      <c r="C10" s="4">
        <f>COUNTIFS('All issues'!$B$2:$B$461,A10,'All issues'!$C$2:$C$461,"Medium")</f>
        <v/>
      </c>
      <c r="D10" s="4">
        <f>COUNTIFS('All issues'!$B$2:$B$461,A10,'All issues'!$C$2:$C$461,"Low")</f>
        <v/>
      </c>
      <c r="E10" s="4">
        <f>SUM(B10:D10)</f>
        <v/>
      </c>
    </row>
    <row r="11">
      <c r="A11" s="4" t="inlineStr">
        <is>
          <t>Cresemba (Isavuconazonium) (CRE02, CRE03)</t>
        </is>
      </c>
      <c r="B11" s="4">
        <f>COUNTIFS('All issues'!$B$2:$B$461,A11,'All issues'!$C$2:$C$461,"High")</f>
        <v/>
      </c>
      <c r="C11" s="4">
        <f>COUNTIFS('All issues'!$B$2:$B$461,A11,'All issues'!$C$2:$C$461,"Medium")</f>
        <v/>
      </c>
      <c r="D11" s="4">
        <f>COUNTIFS('All issues'!$B$2:$B$461,A11,'All issues'!$C$2:$C$461,"Low")</f>
        <v/>
      </c>
      <c r="E11" s="4">
        <f>SUM(B11:D11)</f>
        <v/>
      </c>
    </row>
    <row r="12">
      <c r="A12" s="4" t="inlineStr">
        <is>
          <t>Cubicin (Daptomycin) (CUB01)</t>
        </is>
      </c>
      <c r="B12" s="4">
        <f>COUNTIFS('All issues'!$B$2:$B$461,A12,'All issues'!$C$2:$C$461,"High")</f>
        <v/>
      </c>
      <c r="C12" s="4">
        <f>COUNTIFS('All issues'!$B$2:$B$461,A12,'All issues'!$C$2:$C$461,"Medium")</f>
        <v/>
      </c>
      <c r="D12" s="4">
        <f>COUNTIFS('All issues'!$B$2:$B$461,A12,'All issues'!$C$2:$C$461,"Low")</f>
        <v/>
      </c>
      <c r="E12" s="4">
        <f>SUM(B12:D12)</f>
        <v/>
      </c>
    </row>
    <row r="13">
      <c r="A13" s="4" t="inlineStr">
        <is>
          <t>Diflucan (Fluconazole) (DIF02, FLU22)</t>
        </is>
      </c>
      <c r="B13" s="4">
        <f>COUNTIFS('All issues'!$B$2:$B$461,A13,'All issues'!$C$2:$C$461,"High")</f>
        <v/>
      </c>
      <c r="C13" s="4">
        <f>COUNTIFS('All issues'!$B$2:$B$461,A13,'All issues'!$C$2:$C$461,"Medium")</f>
        <v/>
      </c>
      <c r="D13" s="4">
        <f>COUNTIFS('All issues'!$B$2:$B$461,A13,'All issues'!$C$2:$C$461,"Low")</f>
        <v/>
      </c>
      <c r="E13" s="4">
        <f>SUM(B13:D13)</f>
        <v/>
      </c>
    </row>
    <row r="14">
      <c r="A14" s="4" t="inlineStr">
        <is>
          <t>Ertapenem (ERT01)</t>
        </is>
      </c>
      <c r="B14" s="4">
        <f>COUNTIFS('All issues'!$B$2:$B$461,A14,'All issues'!$C$2:$C$461,"High")</f>
        <v/>
      </c>
      <c r="C14" s="4">
        <f>COUNTIFS('All issues'!$B$2:$B$461,A14,'All issues'!$C$2:$C$461,"Medium")</f>
        <v/>
      </c>
      <c r="D14" s="4">
        <f>COUNTIFS('All issues'!$B$2:$B$461,A14,'All issues'!$C$2:$C$461,"Low")</f>
        <v/>
      </c>
      <c r="E14" s="4">
        <f>SUM(B14:D14)</f>
        <v/>
      </c>
    </row>
    <row r="15">
      <c r="A15" s="4" t="inlineStr">
        <is>
          <t>Flumarin (Flomoxef) (FLU05)</t>
        </is>
      </c>
      <c r="B15" s="4">
        <f>COUNTIFS('All issues'!$B$2:$B$461,A15,'All issues'!$C$2:$C$461,"High")</f>
        <v/>
      </c>
      <c r="C15" s="4">
        <f>COUNTIFS('All issues'!$B$2:$B$461,A15,'All issues'!$C$2:$C$461,"Medium")</f>
        <v/>
      </c>
      <c r="D15" s="4">
        <f>COUNTIFS('All issues'!$B$2:$B$461,A15,'All issues'!$C$2:$C$461,"Low")</f>
        <v/>
      </c>
      <c r="E15" s="4">
        <f>SUM(B15:D15)</f>
        <v/>
      </c>
    </row>
    <row r="16">
      <c r="A16" s="4" t="inlineStr">
        <is>
          <t>Imipenem/Cilastatin (CUL01)</t>
        </is>
      </c>
      <c r="B16" s="4">
        <f>COUNTIFS('All issues'!$B$2:$B$461,A16,'All issues'!$C$2:$C$461,"High")</f>
        <v/>
      </c>
      <c r="C16" s="4">
        <f>COUNTIFS('All issues'!$B$2:$B$461,A16,'All issues'!$C$2:$C$461,"Medium")</f>
        <v/>
      </c>
      <c r="D16" s="4">
        <f>COUNTIFS('All issues'!$B$2:$B$461,A16,'All issues'!$C$2:$C$461,"Low")</f>
        <v/>
      </c>
      <c r="E16" s="4">
        <f>SUM(B16:D16)</f>
        <v/>
      </c>
    </row>
    <row r="17">
      <c r="A17" s="4" t="inlineStr">
        <is>
          <t>Menocik (minocycline) (MEN04, MER01)</t>
        </is>
      </c>
      <c r="B17" s="4">
        <f>COUNTIFS('All issues'!$B$2:$B$461,A17,'All issues'!$C$2:$C$461,"High")</f>
        <v/>
      </c>
      <c r="C17" s="4">
        <f>COUNTIFS('All issues'!$B$2:$B$461,A17,'All issues'!$C$2:$C$461,"Medium")</f>
        <v/>
      </c>
      <c r="D17" s="4">
        <f>COUNTIFS('All issues'!$B$2:$B$461,A17,'All issues'!$C$2:$C$461,"Low")</f>
        <v/>
      </c>
      <c r="E17" s="4">
        <f>SUM(B17:D17)</f>
        <v/>
      </c>
    </row>
    <row r="18">
      <c r="A18" s="4" t="inlineStr">
        <is>
          <t>Meropenem (MER02)</t>
        </is>
      </c>
      <c r="B18" s="4">
        <f>COUNTIFS('All issues'!$B$2:$B$461,A18,'All issues'!$C$2:$C$461,"High")</f>
        <v/>
      </c>
      <c r="C18" s="4">
        <f>COUNTIFS('All issues'!$B$2:$B$461,A18,'All issues'!$C$2:$C$461,"Medium")</f>
        <v/>
      </c>
      <c r="D18" s="4">
        <f>COUNTIFS('All issues'!$B$2:$B$461,A18,'All issues'!$C$2:$C$461,"Low")</f>
        <v/>
      </c>
      <c r="E18" s="4">
        <f>SUM(B18:D18)</f>
        <v/>
      </c>
    </row>
    <row r="19">
      <c r="A19" s="4" t="inlineStr">
        <is>
          <t>Myfungin (Micafungin) (MYF02)</t>
        </is>
      </c>
      <c r="B19" s="4">
        <f>COUNTIFS('All issues'!$B$2:$B$461,A19,'All issues'!$C$2:$C$461,"High")</f>
        <v/>
      </c>
      <c r="C19" s="4">
        <f>COUNTIFS('All issues'!$B$2:$B$461,A19,'All issues'!$C$2:$C$461,"Medium")</f>
        <v/>
      </c>
      <c r="D19" s="4">
        <f>COUNTIFS('All issues'!$B$2:$B$461,A19,'All issues'!$C$2:$C$461,"Low")</f>
        <v/>
      </c>
      <c r="E19" s="4">
        <f>SUM(B19:D19)</f>
        <v/>
      </c>
    </row>
    <row r="20">
      <c r="A20" s="4" t="inlineStr">
        <is>
          <t>Pipe Tazo (Piperacillin/Tazobactam) (PIP01, TAP02)</t>
        </is>
      </c>
      <c r="B20" s="4">
        <f>COUNTIFS('All issues'!$B$2:$B$461,A20,'All issues'!$C$2:$C$461,"High")</f>
        <v/>
      </c>
      <c r="C20" s="4">
        <f>COUNTIFS('All issues'!$B$2:$B$461,A20,'All issues'!$C$2:$C$461,"Medium")</f>
        <v/>
      </c>
      <c r="D20" s="4">
        <f>COUNTIFS('All issues'!$B$2:$B$461,A20,'All issues'!$C$2:$C$461,"Low")</f>
        <v/>
      </c>
      <c r="E20" s="4">
        <f>SUM(B20:D20)</f>
        <v/>
      </c>
    </row>
    <row r="21">
      <c r="A21" s="4" t="inlineStr">
        <is>
          <t>Rapiacta (Peramivir) (RAP02)</t>
        </is>
      </c>
      <c r="B21" s="4">
        <f>COUNTIFS('All issues'!$B$2:$B$461,A21,'All issues'!$C$2:$C$461,"High")</f>
        <v/>
      </c>
      <c r="C21" s="4">
        <f>COUNTIFS('All issues'!$B$2:$B$461,A21,'All issues'!$C$2:$C$461,"Medium")</f>
        <v/>
      </c>
      <c r="D21" s="4">
        <f>COUNTIFS('All issues'!$B$2:$B$461,A21,'All issues'!$C$2:$C$461,"Low")</f>
        <v/>
      </c>
      <c r="E21" s="4">
        <f>SUM(B21:D21)</f>
        <v/>
      </c>
    </row>
    <row r="22">
      <c r="A22" s="4" t="inlineStr">
        <is>
          <t>Seforce (ciprofloxacin) (SEF02, CIN02)</t>
        </is>
      </c>
      <c r="B22" s="4">
        <f>COUNTIFS('All issues'!$B$2:$B$461,A22,'All issues'!$C$2:$C$461,"High")</f>
        <v/>
      </c>
      <c r="C22" s="4">
        <f>COUNTIFS('All issues'!$B$2:$B$461,A22,'All issues'!$C$2:$C$461,"Medium")</f>
        <v/>
      </c>
      <c r="D22" s="4">
        <f>COUNTIFS('All issues'!$B$2:$B$461,A22,'All issues'!$C$2:$C$461,"Low")</f>
        <v/>
      </c>
      <c r="E22" s="4">
        <f>SUM(B22:D22)</f>
        <v/>
      </c>
    </row>
    <row r="23">
      <c r="A23" s="4" t="inlineStr">
        <is>
          <t>Sulampi (Ampicillin/Sulbactam) (SUL05)</t>
        </is>
      </c>
      <c r="B23" s="4">
        <f>COUNTIFS('All issues'!$B$2:$B$461,A23,'All issues'!$C$2:$C$461,"High")</f>
        <v/>
      </c>
      <c r="C23" s="4">
        <f>COUNTIFS('All issues'!$B$2:$B$461,A23,'All issues'!$C$2:$C$461,"Medium")</f>
        <v/>
      </c>
      <c r="D23" s="4">
        <f>COUNTIFS('All issues'!$B$2:$B$461,A23,'All issues'!$C$2:$C$461,"Low")</f>
        <v/>
      </c>
      <c r="E23" s="4">
        <f>SUM(B23:D23)</f>
        <v/>
      </c>
    </row>
    <row r="24">
      <c r="A24" s="4" t="inlineStr">
        <is>
          <t>Taigexyn (Nemonoxacin) (TAI05, TAI06)</t>
        </is>
      </c>
      <c r="B24" s="4">
        <f>COUNTIFS('All issues'!$B$2:$B$461,A24,'All issues'!$C$2:$C$461,"High")</f>
        <v/>
      </c>
      <c r="C24" s="4">
        <f>COUNTIFS('All issues'!$B$2:$B$461,A24,'All issues'!$C$2:$C$461,"Medium")</f>
        <v/>
      </c>
      <c r="D24" s="4">
        <f>COUNTIFS('All issues'!$B$2:$B$461,A24,'All issues'!$C$2:$C$461,"Low")</f>
        <v/>
      </c>
      <c r="E24" s="4">
        <f>SUM(B24:D24)</f>
        <v/>
      </c>
    </row>
    <row r="25">
      <c r="A25" s="4" t="inlineStr">
        <is>
          <t>UFO (Fosfomycin) (UFO02)</t>
        </is>
      </c>
      <c r="B25" s="4">
        <f>COUNTIFS('All issues'!$B$2:$B$461,A25,'All issues'!$C$2:$C$461,"High")</f>
        <v/>
      </c>
      <c r="C25" s="4">
        <f>COUNTIFS('All issues'!$B$2:$B$461,A25,'All issues'!$C$2:$C$461,"Medium")</f>
        <v/>
      </c>
      <c r="D25" s="4">
        <f>COUNTIFS('All issues'!$B$2:$B$461,A25,'All issues'!$C$2:$C$461,"Low")</f>
        <v/>
      </c>
      <c r="E25" s="4">
        <f>SUM(B25:D25)</f>
        <v/>
      </c>
    </row>
    <row r="26">
      <c r="A26" s="4" t="inlineStr">
        <is>
          <t>Vancomycin (UVA01)</t>
        </is>
      </c>
      <c r="B26" s="4">
        <f>COUNTIFS('All issues'!$B$2:$B$461,A26,'All issues'!$C$2:$C$461,"High")</f>
        <v/>
      </c>
      <c r="C26" s="4">
        <f>COUNTIFS('All issues'!$B$2:$B$461,A26,'All issues'!$C$2:$C$461,"Medium")</f>
        <v/>
      </c>
      <c r="D26" s="4">
        <f>COUNTIFS('All issues'!$B$2:$B$461,A26,'All issues'!$C$2:$C$461,"Low")</f>
        <v/>
      </c>
      <c r="E26" s="4">
        <f>SUM(B26:D26)</f>
        <v/>
      </c>
    </row>
    <row r="27">
      <c r="A27" s="4" t="inlineStr">
        <is>
          <t>Vfend (Voriconazole) (VFE01, VFE02, VOR03)</t>
        </is>
      </c>
      <c r="B27" s="4">
        <f>COUNTIFS('All issues'!$B$2:$B$461,A27,'All issues'!$C$2:$C$461,"High")</f>
        <v/>
      </c>
      <c r="C27" s="4">
        <f>COUNTIFS('All issues'!$B$2:$B$461,A27,'All issues'!$C$2:$C$461,"Medium")</f>
        <v/>
      </c>
      <c r="D27" s="4">
        <f>COUNTIFS('All issues'!$B$2:$B$461,A27,'All issues'!$C$2:$C$461,"Low")</f>
        <v/>
      </c>
      <c r="E27" s="4">
        <f>SUM(B27:D27)</f>
        <v/>
      </c>
    </row>
    <row r="28">
      <c r="A28" s="4" t="inlineStr">
        <is>
          <t>Zavicefta (Ceftazidime-Avibactam) (ZAV04)</t>
        </is>
      </c>
      <c r="B28" s="4">
        <f>COUNTIFS('All issues'!$B$2:$B$461,A28,'All issues'!$C$2:$C$461,"High")</f>
        <v/>
      </c>
      <c r="C28" s="4">
        <f>COUNTIFS('All issues'!$B$2:$B$461,A28,'All issues'!$C$2:$C$461,"Medium")</f>
        <v/>
      </c>
      <c r="D28" s="4">
        <f>COUNTIFS('All issues'!$B$2:$B$461,A28,'All issues'!$C$2:$C$461,"Low")</f>
        <v/>
      </c>
      <c r="E28" s="4">
        <f>SUM(B28:D28)</f>
        <v/>
      </c>
    </row>
    <row r="29">
      <c r="A29" s="4" t="inlineStr">
        <is>
          <t>Zerbaxa (Ceftolozane-tazobactam) (ZER01)</t>
        </is>
      </c>
      <c r="B29" s="4">
        <f>COUNTIFS('All issues'!$B$2:$B$461,A29,'All issues'!$C$2:$C$461,"High")</f>
        <v/>
      </c>
      <c r="C29" s="4">
        <f>COUNTIFS('All issues'!$B$2:$B$461,A29,'All issues'!$C$2:$C$461,"Medium")</f>
        <v/>
      </c>
      <c r="D29" s="4">
        <f>COUNTIFS('All issues'!$B$2:$B$461,A29,'All issues'!$C$2:$C$461,"Low")</f>
        <v/>
      </c>
      <c r="E29" s="4">
        <f>SUM(B29:D29)</f>
        <v/>
      </c>
    </row>
    <row r="30">
      <c r="A30" s="4" t="inlineStr">
        <is>
          <t>Zinforo (Ceftaroline) (ZIN04)</t>
        </is>
      </c>
      <c r="B30" s="4">
        <f>COUNTIFS('All issues'!$B$2:$B$461,A30,'All issues'!$C$2:$C$461,"High")</f>
        <v/>
      </c>
      <c r="C30" s="4">
        <f>COUNTIFS('All issues'!$B$2:$B$461,A30,'All issues'!$C$2:$C$461,"Medium")</f>
        <v/>
      </c>
      <c r="D30" s="4">
        <f>COUNTIFS('All issues'!$B$2:$B$461,A30,'All issues'!$C$2:$C$461,"Low")</f>
        <v/>
      </c>
      <c r="E30" s="4">
        <f>SUM(B30:D30)</f>
        <v/>
      </c>
    </row>
    <row r="31">
      <c r="A31" s="4" t="inlineStr">
        <is>
          <t>Zovirax (Acyclovir) (ZOV01, ACY01)</t>
        </is>
      </c>
      <c r="B31" s="4">
        <f>COUNTIFS('All issues'!$B$2:$B$461,A31,'All issues'!$C$2:$C$461,"High")</f>
        <v/>
      </c>
      <c r="C31" s="4">
        <f>COUNTIFS('All issues'!$B$2:$B$461,A31,'All issues'!$C$2:$C$461,"Medium")</f>
        <v/>
      </c>
      <c r="D31" s="4">
        <f>COUNTIFS('All issues'!$B$2:$B$461,A31,'All issues'!$C$2:$C$461,"Low")</f>
        <v/>
      </c>
      <c r="E31" s="4">
        <f>SUM(B31:D31)</f>
        <v/>
      </c>
    </row>
    <row r="32">
      <c r="A32" s="4" t="inlineStr">
        <is>
          <t>Zyvox (Linezolid) (ZYV01, ZYV02)</t>
        </is>
      </c>
      <c r="B32" s="4">
        <f>COUNTIFS('All issues'!$B$2:$B$461,A32,'All issues'!$C$2:$C$461,"High")</f>
        <v/>
      </c>
      <c r="C32" s="4">
        <f>COUNTIFS('All issues'!$B$2:$B$461,A32,'All issues'!$C$2:$C$461,"Medium")</f>
        <v/>
      </c>
      <c r="D32" s="4">
        <f>COUNTIFS('All issues'!$B$2:$B$461,A32,'All issues'!$C$2:$C$461,"Low")</f>
        <v/>
      </c>
      <c r="E32" s="4">
        <f>SUM(B32:D32)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2026-10-05T15:06:46Z</dcterms:created>
  <dcterms:modified xsi:type="dcterms:W3CDTF">2026-10-05T15:06:46Z</dcterms:modified>
</cp:coreProperties>
</file>