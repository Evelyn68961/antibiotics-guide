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High priority" sheetId="2" state="visible" r:id="rId2"/>
    <sheet name="All issues" sheetId="3" state="visible" r:id="rId3"/>
    <sheet name="Recurring patterns" sheetId="4" state="visible" r:id="rId4"/>
    <sheet name="By drug"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b val="1"/>
      <sz val="14"/>
    </font>
    <font>
      <name val="Arial"/>
      <b val="1"/>
      <sz val="10"/>
    </font>
  </fonts>
  <fills count="6">
    <fill>
      <patternFill/>
    </fill>
    <fill>
      <patternFill patternType="gray125"/>
    </fill>
    <fill>
      <patternFill patternType="solid">
        <fgColor rgb="00F8CBAD"/>
      </patternFill>
    </fill>
    <fill>
      <patternFill patternType="solid">
        <fgColor rgb="001F4E78"/>
      </patternFill>
    </fill>
    <fill>
      <patternFill patternType="solid">
        <fgColor rgb="00FFE699"/>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left"/>
    </xf>
    <xf numFmtId="0" fontId="2" fillId="3" borderId="0" applyAlignment="1" pivotButton="0" quotePrefix="0" xfId="0">
      <alignment vertical="center" wrapText="1"/>
    </xf>
    <xf numFmtId="0" fontId="1" fillId="2"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2" fillId="3"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HighPriority" displayName="HighPriority" ref="A1:K417" headerRowCount="1">
  <autoFilter ref="A1:K417"/>
  <tableColumns count="11">
    <tableColumn id="1" name="ID"/>
    <tableColumn id="2" name="Drug (hospital code)"/>
    <tableColumn id="3" name="Severity"/>
    <tableColumn id="4" name="Category"/>
    <tableColumn id="5" name="Recurring pattern"/>
    <tableColumn id="6" name="Suggested action"/>
    <tableColumn id="7" name="Hospital database says"/>
    <tableColumn id="8" name="Official source says"/>
    <tableColumn id="9" name="Source"/>
    <tableColumn id="10" name="DI team status"/>
    <tableColumn id="11" name="DI team notes"/>
  </tableColumns>
  <tableStyleInfo name="TableStyleLight1" showRowStripes="0"/>
</table>
</file>

<file path=xl/tables/table2.xml><?xml version="1.0" encoding="utf-8"?>
<table xmlns="http://schemas.openxmlformats.org/spreadsheetml/2006/main" id="2" name="AllIssues" displayName="AllIssues" ref="A1:K1465" headerRowCount="1">
  <autoFilter ref="A1:K1465"/>
  <tableColumns count="11">
    <tableColumn id="1" name="ID"/>
    <tableColumn id="2" name="Drug (hospital code)"/>
    <tableColumn id="3" name="Severity"/>
    <tableColumn id="4" name="Category"/>
    <tableColumn id="5" name="Recurring pattern"/>
    <tableColumn id="6" name="Suggested action"/>
    <tableColumn id="7" name="Hospital database says"/>
    <tableColumn id="8" name="Official source says"/>
    <tableColumn id="9" name="Source"/>
    <tableColumn id="10" name="DI team status"/>
    <tableColumn id="11" name="DI team not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100" customWidth="1" min="2" max="2"/>
  </cols>
  <sheetData>
    <row r="1">
      <c r="A1" s="1" t="inlineStr">
        <is>
          <t>FJUH drug database: discrepancies with official labels</t>
        </is>
      </c>
    </row>
    <row r="3">
      <c r="A3" s="2" t="inlineStr">
        <is>
          <t>Prepared</t>
        </is>
      </c>
      <c r="B3" s="3" t="inlineStr">
        <is>
          <t>2026-10-05, while verifying the pharmacy antimicrobial reference (Notion) against official sources.</t>
        </is>
      </c>
    </row>
    <row r="4">
      <c r="A4" s="2" t="inlineStr">
        <is>
          <t>Scope</t>
        </is>
      </c>
      <c r="B4" s="3" t="inlineStr">
        <is>
          <t>1464 items found while checking 91 hospital antimicrobials on 2026-10-05 and 2026-10-06 (pharmacy.fjuh.fju.edu.tw).</t>
        </is>
      </c>
    </row>
    <row r="5">
      <c r="A5" s="2" t="inlineStr">
        <is>
          <t>Sources</t>
        </is>
      </c>
      <c r="B5" s="3" t="inlineStr">
        <is>
          <t>US FDA label (DailyMed), UK SmPC (medicines.org.uk), Taiwan package insert (TFDA / hospital-hosted PDFs), NIH LactMed, IDSA and other guidelines. Each row cites its source.</t>
        </is>
      </c>
    </row>
    <row r="6">
      <c r="A6" s="2" t="inlineStr">
        <is>
          <t>Severity</t>
        </is>
      </c>
      <c r="B6" s="3" t="inlineStr">
        <is>
          <t>High = could cause harm if followed (wrong or missing dose adjustment, missing contraindication or boxed warning). Medium = clinically relevant omission or outdated content. Low = wording, retired FDA letter categories, pharmacokinetic detail.</t>
        </is>
      </c>
    </row>
    <row r="7">
      <c r="A7" s="2" t="inlineStr">
        <is>
          <t>Caution</t>
        </is>
      </c>
      <c r="B7" s="3" t="inlineStr">
        <is>
          <t>Severity and suggested actions were drafted with AI assistance from the label comparison and have not yet been reviewed by a pharmacist. Please confirm each item against the cited source before changing the database.</t>
        </is>
      </c>
    </row>
    <row r="8">
      <c r="A8" s="2" t="inlineStr">
        <is>
          <t>How to use</t>
        </is>
      </c>
      <c r="B8" s="3" t="inlineStr">
        <is>
          <t>Start with the "High priority" tab. Track progress in the "DI team status" and "DI team notes" columns. "Recurring patterns" lists issues that repeat across drugs and can be fixed in one batch.</t>
        </is>
      </c>
    </row>
    <row r="10">
      <c r="A10" s="2" t="inlineStr">
        <is>
          <t>Counts</t>
        </is>
      </c>
    </row>
    <row r="11">
      <c r="A11" s="4" t="inlineStr">
        <is>
          <t>High</t>
        </is>
      </c>
      <c r="B11" s="5">
        <f>COUNTIF('All issues'!$C$2:$C$1465,"High")</f>
        <v/>
      </c>
    </row>
    <row r="12">
      <c r="A12" s="4" t="inlineStr">
        <is>
          <t>Medium</t>
        </is>
      </c>
      <c r="B12" s="5">
        <f>COUNTIF('All issues'!$C$2:$C$1465,"Medium")</f>
        <v/>
      </c>
    </row>
    <row r="13">
      <c r="A13" s="4" t="inlineStr">
        <is>
          <t>Low</t>
        </is>
      </c>
      <c r="B13" s="5">
        <f>COUNTIF('All issues'!$C$2:$C$1465,"Low")</f>
        <v/>
      </c>
    </row>
    <row r="14">
      <c r="A14" s="2" t="inlineStr">
        <is>
          <t>Total</t>
        </is>
      </c>
      <c r="B14" s="5">
        <f>SUM(B11:B13)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0" customWidth="1" min="3" max="3"/>
    <col width="22" customWidth="1" min="4" max="4"/>
    <col width="20" customWidth="1" min="5" max="5"/>
    <col width="40" customWidth="1" min="6" max="6"/>
    <col width="45" customWidth="1" min="7" max="7"/>
    <col width="45" customWidth="1" min="8" max="8"/>
    <col width="40" customWidth="1" min="9" max="9"/>
    <col width="14" customWidth="1" min="10" max="10"/>
    <col width="30" customWidth="1" min="11" max="11"/>
  </cols>
  <sheetData>
    <row r="1">
      <c r="A1" s="6" t="inlineStr">
        <is>
          <t>ID</t>
        </is>
      </c>
      <c r="B1" s="6" t="inlineStr">
        <is>
          <t>Drug (hospital code)</t>
        </is>
      </c>
      <c r="C1" s="6" t="inlineStr">
        <is>
          <t>Severity</t>
        </is>
      </c>
      <c r="D1" s="6" t="inlineStr">
        <is>
          <t>Category</t>
        </is>
      </c>
      <c r="E1" s="6" t="inlineStr">
        <is>
          <t>Recurring pattern</t>
        </is>
      </c>
      <c r="F1" s="6" t="inlineStr">
        <is>
          <t>Suggested action</t>
        </is>
      </c>
      <c r="G1" s="6" t="inlineStr">
        <is>
          <t>Hospital database says</t>
        </is>
      </c>
      <c r="H1" s="6" t="inlineStr">
        <is>
          <t>Official source says</t>
        </is>
      </c>
      <c r="I1" s="6" t="inlineStr">
        <is>
          <t>Source</t>
        </is>
      </c>
      <c r="J1" s="6" t="inlineStr">
        <is>
          <t>DI team status</t>
        </is>
      </c>
      <c r="K1" s="6" t="inlineStr">
        <is>
          <t>DI team notes</t>
        </is>
      </c>
    </row>
    <row r="2">
      <c r="A2" s="3" t="n">
        <v>1200</v>
      </c>
      <c r="B2" s="3" t="inlineStr">
        <is>
          <t>Akurit-4 / Akurit-3 (TB fixed-dose combinations) (AKU02, AKU01)</t>
        </is>
      </c>
      <c r="C2" s="7" t="inlineStr">
        <is>
          <t>High</t>
        </is>
      </c>
      <c r="D2" s="3" t="inlineStr">
        <is>
          <t>Contraindication/warning</t>
        </is>
      </c>
      <c r="E2" s="3" t="inlineStr"/>
      <c r="F2" s="3" t="inlineStr">
        <is>
          <t>Add Akurit-3 contraindications: severe hepatic impairment, acute liver disease, acute gout.</t>
        </is>
      </c>
      <c r="G2" s="3" t="inlineStr">
        <is>
          <t>Lists hypersensitivity, ART, previous INH hepatic injury, severe INH reactions and optic neuritis only</t>
        </is>
      </c>
      <c r="H2" s="3" t="inlineStr">
        <is>
          <t>The Akurit-3 insert also contraindicates severe hepatic impairment, acute liver disease of any cause and acute gout</t>
        </is>
      </c>
      <c r="I2" s="3" t="inlineStr">
        <is>
          <t>TW 仿單 Akurit-3 §4 禁忌 — https://mcp.fda.gov.tw/im_detail_1/%E8%A1%9B%E7%BD%B2%E8%97%A5%E8%BC%B8%E5%AD%97%E7%AC%AC025519%E8%99%9F</t>
        </is>
      </c>
      <c r="J2" s="3" t="inlineStr">
        <is>
          <t>Open</t>
        </is>
      </c>
      <c r="K2" s="3" t="inlineStr"/>
    </row>
    <row r="3">
      <c r="A3" s="3" t="n">
        <v>1203</v>
      </c>
      <c r="B3" s="3" t="inlineStr">
        <is>
          <t>Akurit-4 / Akurit-3 (TB fixed-dose combinations) (AKU02, AKU01)</t>
        </is>
      </c>
      <c r="C3" s="7" t="inlineStr">
        <is>
          <t>High</t>
        </is>
      </c>
      <c r="D3" s="3" t="inlineStr">
        <is>
          <t>Dosing – adult</t>
        </is>
      </c>
      <c r="E3" s="3" t="inlineStr"/>
      <c r="F3" s="3" t="inlineStr">
        <is>
          <t>Add caveat to &gt;70 kg 5-tablet dose: 'may consider', follow TW CDC guideline, INH 300/RIF 600 mg caps.</t>
        </is>
      </c>
      <c r="G3" s="3" t="inlineStr">
        <is>
          <t>Body weight &gt;70 kg: 5 tab PO QD</t>
        </is>
      </c>
      <c r="H3" s="3" t="inlineStr">
        <is>
          <t>The insert says ≥71 kg 5 tablets 「可考慮」 and to follow the TW CDC 結核病診治指引, which caps INH at 300 mg and RIF at 600 mg. Five tablets give RIF 750 and INH 375 mg, over that cap, and the hospital page drops the caveat.</t>
        </is>
      </c>
      <c r="I3" s="3" t="inlineStr">
        <is>
          <t>TW 仿單 Akurit-4/Akurit-3 §3.1 — https://mcp.fda.gov.tw/im_detail_1/%E8%A1%9B%E7%BD%B2%E8%97%A5%E8%BC%B8%E5%AD%97%E7%AC%AC025518%E8%99%9F</t>
        </is>
      </c>
      <c r="J3" s="3" t="inlineStr">
        <is>
          <t>Open</t>
        </is>
      </c>
      <c r="K3" s="3" t="inlineStr"/>
    </row>
    <row r="4">
      <c r="A4" s="3" t="n">
        <v>1211</v>
      </c>
      <c r="B4" s="3" t="inlineStr">
        <is>
          <t>Akurit-4 / Akurit-3 (TB fixed-dose combinations) (AKU02, AKU01)</t>
        </is>
      </c>
      <c r="C4" s="7" t="inlineStr">
        <is>
          <t>High</t>
        </is>
      </c>
      <c r="D4" s="3" t="inlineStr">
        <is>
          <t>Dosing – adult</t>
        </is>
      </c>
      <c r="E4" s="3" t="inlineStr"/>
      <c r="F4" s="3" t="inlineStr">
        <is>
          <t>Add caveat to 5-tablet &gt;70 kg dose: exceeds INH 300/RIF 600 mg max; follow TW CDC guideline.</t>
        </is>
      </c>
      <c r="G4" s="3" t="inlineStr">
        <is>
          <t>Body weight &gt;70 kg: 5 tab PO QD, with no caveat.</t>
        </is>
      </c>
      <c r="H4" s="3" t="inlineStr">
        <is>
          <t>The 仿單 says ≥71 kg 5 tablets 「可考慮」, but refers dosing to the 疾管署結核病診治指引 and states the daily maximum of INH 300 mg and RIF 600 mg. 5 tablets delivers RIF 750 mg and INH 375 mg.</t>
        </is>
      </c>
      <c r="I4" s="3" t="inlineStr">
        <is>
          <t>Akurit-4/Akurit-3 仿單 §3.1 https://mcp.fda.gov.tw/im_detail_1/%E8%A1%9B%E7%BD%B2%E8%97%A5%E8%BC%B8%E5%AD%97%E7%AC%AC025518%E8%99%9F</t>
        </is>
      </c>
      <c r="J4" s="3" t="inlineStr">
        <is>
          <t>Open</t>
        </is>
      </c>
      <c r="K4" s="3" t="inlineStr"/>
    </row>
    <row r="5">
      <c r="A5" s="3" t="n">
        <v>1204</v>
      </c>
      <c r="B5" s="3" t="inlineStr">
        <is>
          <t>Akurit-4 / Akurit-3 (TB fixed-dose combinations) (AKU02, AKU01)</t>
        </is>
      </c>
      <c r="C5" s="7" t="inlineStr">
        <is>
          <t>High</t>
        </is>
      </c>
      <c r="D5" s="3" t="inlineStr">
        <is>
          <t>Dosing – renal/dialysis</t>
        </is>
      </c>
      <c r="E5" s="3" t="inlineStr"/>
      <c r="F5" s="3" t="inlineStr">
        <is>
          <t>Fill renal/hepatic fields: FDC unsuitable at CrCl&lt;30/HD (EMB adjustment); contraindicated in acute liver disease.</t>
        </is>
      </c>
      <c r="G5" s="3" t="inlineStr">
        <is>
          <t>AKU01: renal field blank, and the adjacent hepatic field reads 'There are no dosage adjustments provided in the manufacturer's labeling; use with caution.' AKU02: both renal and hepatic fields are blank.</t>
        </is>
      </c>
      <c r="H5" s="3" t="inlineStr">
        <is>
          <t>Both inserts state that ethambutol must be reduced by serum level in renal impairment, so the fixed tablet is unsuitable at CrCl &lt;30 or on HD. They also contraindicate acute liver disease, and Akurit-3 contraindicates severe hepatic impairment.</t>
        </is>
      </c>
      <c r="I5" s="3" t="inlineStr">
        <is>
          <t>TW 仿單 Akurit-3 §5.1 Ethambutol and §4 — https://mcp.fda.gov.tw/im_detail_1/%E8%A1%9B%E7%BD%B2%E8%97%A5%E8%BC%B8%E5%AD%97%E7%AC%AC025519%E8%99%9F; US ethambutol label PRECAUTIONS</t>
        </is>
      </c>
      <c r="J5" s="3" t="inlineStr">
        <is>
          <t>Open</t>
        </is>
      </c>
      <c r="K5" s="3" t="inlineStr"/>
    </row>
    <row r="6">
      <c r="A6" s="3" t="n">
        <v>1212</v>
      </c>
      <c r="B6" s="3" t="inlineStr">
        <is>
          <t>Akurit-4 / Akurit-3 (TB fixed-dose combinations) (AKU02, AKU01)</t>
        </is>
      </c>
      <c r="C6" s="7" t="inlineStr">
        <is>
          <t>High</t>
        </is>
      </c>
      <c r="D6" s="3" t="inlineStr">
        <is>
          <t>Dosing – renal/dialysis</t>
        </is>
      </c>
      <c r="E6" s="3" t="inlineStr"/>
      <c r="F6" s="3" t="inlineStr">
        <is>
          <t>State FDC unsuitable for CrCl&lt;30/HD; use single agents thrice weekly; add severe hepatic impairment contraindication.</t>
        </is>
      </c>
      <c r="G6" s="3" t="inlineStr">
        <is>
          <t>AKU01: 'There are no dosage adjustments provided in the manufacturer's labeling; use with caution.' AKU02: renal field empty.</t>
        </is>
      </c>
      <c r="H6" s="3" t="inlineStr">
        <is>
          <t>Both inserts §5.1 say ethambutol must be reduced according to serum levels in renal impairment. The FDC cannot be adjusted, so CrCl &lt;30 or HD needs single agents (UK EMB SmPC §4.2: 15–25 mg/kg 3×/week; ATS 2016: PZA/EMB thrice weekly after HD). The Akurit-3 insert also contraindicates use in severe hepatic impairment.</t>
        </is>
      </c>
      <c r="I6" s="3" t="inlineStr">
        <is>
          <t>Akurit-3 仿單 §4, §5.1 https://mcp.fda.gov.tw/im_detail_1/%E8%A1%9B%E7%BD%B2%E8%97%A5%E8%BC%B8%E5%AD%97%E7%AC%AC025519%E8%99%9F ; UK Ethambutol SmPC §4.2 https://www.medicines.org.uk/emc/product/14174/smpc</t>
        </is>
      </c>
      <c r="J6" s="3" t="inlineStr">
        <is>
          <t>Open</t>
        </is>
      </c>
      <c r="K6" s="3" t="inlineStr"/>
    </row>
    <row r="7">
      <c r="A7" s="3" t="n">
        <v>1199</v>
      </c>
      <c r="B7" s="3" t="inlineStr">
        <is>
          <t>Akurit-4 / Akurit-3 (TB fixed-dose combinations) (AKU02, AKU01)</t>
        </is>
      </c>
      <c r="C7" s="7" t="inlineStr">
        <is>
          <t>High</t>
        </is>
      </c>
      <c r="D7" s="3" t="inlineStr">
        <is>
          <t>Drug interaction</t>
        </is>
      </c>
      <c r="E7" s="3" t="inlineStr">
        <is>
          <t>Interaction list incomplete</t>
        </is>
      </c>
      <c r="F7" s="3" t="inlineStr">
        <is>
          <t>Add contraindicated fosamprenavir, cabotegravir, fostemsavir, lenacapavir, praziquantel, lurasidone; cite ARV label source for rilpivirine/EVG.</t>
        </is>
      </c>
      <c r="G7" s="3" t="inlineStr">
        <is>
          <t>Concomitant atazanavir, darunavir, saquinavir, tipranavir, rilpivirine or elvitegravir/cobicistat</t>
        </is>
      </c>
      <c r="H7" s="3" t="inlineStr">
        <is>
          <t>The US rifampin label contraindicates atazanavir, darunavir, fosamprenavir, saquinavir, tipranavir, ritonavir-boosted saquinavir, cabotegravir, fostemsavir, lenacapavir (Sunlenca), praziquantel and lurasidone. UK SmPC adds sofosbuvir, daclatasvir, telaprevir and jaundice. The hospital list leaves out fosamprenavir, cabotegravir, fostemsavir, lenacapavir, praziquantel and lurasidone. Rilpivirine and EVG/c are not in the rifampin label, although their own labels contraindicate rifampin.</t>
        </is>
      </c>
      <c r="I7" s="3" t="inlineStr">
        <is>
          <t>US rifampin label CONTRAINDICATIONS — https://dailymed.nlm.nih.gov/dailymed/drugInfo.cfm?setid=50f706f9-5003-4e15-bece-85b6213b1f5c; UK Rifater SmPC 4.3 — https://www.medicines.org.uk/emc/product/1596/smpc</t>
        </is>
      </c>
      <c r="J7" s="3" t="inlineStr">
        <is>
          <t>Open</t>
        </is>
      </c>
      <c r="K7" s="3" t="inlineStr"/>
    </row>
    <row r="8">
      <c r="A8" s="3" t="n">
        <v>1208</v>
      </c>
      <c r="B8" s="3" t="inlineStr">
        <is>
          <t>Akurit-4 / Akurit-3 (TB fixed-dose combinations) (AKU02, AKU01)</t>
        </is>
      </c>
      <c r="C8" s="7" t="inlineStr">
        <is>
          <t>High</t>
        </is>
      </c>
      <c r="D8" s="3" t="inlineStr">
        <is>
          <t>Drug interaction</t>
        </is>
      </c>
      <c r="E8" s="3" t="inlineStr">
        <is>
          <t>Interaction list incomplete</t>
        </is>
      </c>
      <c r="F8" s="3" t="inlineStr">
        <is>
          <t>Expand rifampin contraindicated list with fosamprenavir, cabotegravir, fostemsavir, lenacapavir, praziquantel, lurasidone, sofosbuvir etc.</t>
        </is>
      </c>
      <c r="G8" s="3" t="inlineStr">
        <is>
          <t>Lists concomitant atazanavir, darunavir, saquinavir, tipranavir, rilpivirine or elvitegravir/cobicistat.</t>
        </is>
      </c>
      <c r="H8" s="3" t="inlineStr">
        <is>
          <t>The list is incomplete compared with the rifampin labels. The US label also contraindicates fosamprenavir, cabotegravir, fostemsavir, lenacapavir, praziquantel and lurasidone, plus saquinavir/ritonavir for hepatotoxicity. The UK Rifater SmPC adds sofosbuvir, daclatasvir and telaprevir. Rilpivirine and elvitegravir/cobicistat are not in the rifampin label contraindications (they come from the ARV labels).</t>
        </is>
      </c>
      <c r="I8" s="3" t="inlineStr">
        <is>
          <t>US rifampin label, Contraindications https://dailymed.nlm.nih.gov/dailymed/drugInfo.cfm?setid=50f706f9-5003-4e15-bece-85b6213b1f5c ; UK Rifater SmPC §4.3 https://www.medicines.org.uk/emc/product/1596/smpc</t>
        </is>
      </c>
      <c r="J8" s="3" t="inlineStr">
        <is>
          <t>Open</t>
        </is>
      </c>
      <c r="K8" s="3" t="inlineStr"/>
    </row>
    <row r="9">
      <c r="A9" s="3" t="n">
        <v>223</v>
      </c>
      <c r="B9" s="3" t="inlineStr">
        <is>
          <t>Amikacin (AMI12)</t>
        </is>
      </c>
      <c r="C9" s="7" t="inlineStr">
        <is>
          <t>High</t>
        </is>
      </c>
      <c r="D9" s="3" t="inlineStr">
        <is>
          <t>Dosing – adult</t>
        </is>
      </c>
      <c r="E9" s="3" t="inlineStr"/>
      <c r="F9" s="3" t="inlineStr">
        <is>
          <t>State label max 15 mg/kg/day (≤1.5 g/day); mark higher/intrathecal regimens off-label with citations</t>
        </is>
      </c>
      <c r="G9" s="3" t="inlineStr">
        <is>
          <t>Bloodstream infection IV 15–30 mg/kg once daily; CF 30–35 mg/kg once daily; intraventricular/intrathecal 5–50 mg/day; other off-label regimens</t>
        </is>
      </c>
      <c r="H9" s="3" t="inlineStr">
        <is>
          <t>US: total daily dose ≤15 mg/kg/day in 2–3 doses; heavy patients ≤1.5 g/day. UK: 15 mg/kg/day (once daily only if CrCl ≥50), ≤1.5 g/day. TW (stocked product): 7.5–15 mg/kg/day ÷2, ≤1.5 g/day. No label gives an intrathecal dose; the UK SmPC mentions only 0.25% irrigation of the cerebral ventricles.</t>
        </is>
      </c>
      <c r="I9" s="3" t="inlineStr">
        <is>
          <t>US D&amp;A; UK SmPC 4.2; Taiwan insert 3.1 – https://mcp.fda.gov.tw/im_detail_1/%E8%A1%9B%E7%BD%B2%E8%97%A5%E8%A3%BD%E5%AD%97%E7%AC%AC024198%E8%99%9F</t>
        </is>
      </c>
      <c r="J9" s="3" t="inlineStr">
        <is>
          <t>Open</t>
        </is>
      </c>
      <c r="K9" s="3" t="inlineStr"/>
    </row>
    <row r="10">
      <c r="A10" s="3" t="n">
        <v>229</v>
      </c>
      <c r="B10" s="3" t="inlineStr">
        <is>
          <t>Amikacin (AMI12)</t>
        </is>
      </c>
      <c r="C10" s="7" t="inlineStr">
        <is>
          <t>High</t>
        </is>
      </c>
      <c r="D10" s="3" t="inlineStr">
        <is>
          <t>Dosing – adult</t>
        </is>
      </c>
      <c r="E10" s="3" t="inlineStr"/>
      <c r="F10" s="3" t="inlineStr">
        <is>
          <t>Cap at label 15 mg/kg/day; mark 15–35 mg/kg regimens off-label with citations</t>
        </is>
      </c>
      <c r="G10" s="3" t="inlineStr">
        <is>
          <t>Bloodstream infection, and sepsis/septic shock: IV 15 to 30 mg/kg once daily. HAP/VAP and plague: 15–20 mg/kg once daily. CF: 30–35 mg/kg once daily.</t>
        </is>
      </c>
      <c r="H10" s="3" t="inlineStr">
        <is>
          <t>US: total daily dose must not exceed 15 mg/kg/day, and heavier patients ≤1.5 g/day. UK: 15 mg/kg/day, ≤1.5 g/day. TW insert: 7.5–15 mg/kg/day ÷ bid; life-threatening or Pseudomonas up to 500 mg q8h, ≤1.5 g/day. Doses above this are off-label and need a guideline or PubMed source (e.g. Taccone 2010, PMID 20370907, for ≥25 mg/kg in septic shock).</t>
        </is>
      </c>
      <c r="I10" s="3" t="inlineStr">
        <is>
          <t>US label DOSAGE AND ADMINISTRATION; UK SmPC 4.2; TW insert 3.1, https://mcp.fda.gov.tw/im_detail_1/%E8%A1%9B%E7%BD%B2%E8%97%A5%E8%A3%BD%E5%AD%97%E7%AC%AC024198%E8%99%9F</t>
        </is>
      </c>
      <c r="J10" s="3" t="inlineStr">
        <is>
          <t>Open</t>
        </is>
      </c>
      <c r="K10" s="3" t="inlineStr"/>
    </row>
    <row r="11">
      <c r="A11" s="3" t="n">
        <v>231</v>
      </c>
      <c r="B11" s="3" t="inlineStr">
        <is>
          <t>Amikacin (AMI12)</t>
        </is>
      </c>
      <c r="C11" s="7" t="inlineStr">
        <is>
          <t>High</t>
        </is>
      </c>
      <c r="D11" s="3" t="inlineStr">
        <is>
          <t>Dosing – adult</t>
        </is>
      </c>
      <c r="E11" s="3" t="inlineStr"/>
      <c r="F11" s="3" t="inlineStr">
        <is>
          <t>Add limits: high-dose 500 mg q8h max 1.5 g/day, ≤10 days, total course ≤15 g (TW/UK); reassess beyond 10 days</t>
        </is>
      </c>
      <c r="G11" s="3" t="inlineStr">
        <is>
          <t>No maximum daily dose, treatment duration, or total-course limit stated.</t>
        </is>
      </c>
      <c r="H11" s="3" t="inlineStr">
        <is>
          <t>TW insert 3.1 and UK SmPC 4.2: escalated regimen (500 mg q8h) ≤1.5 g/day, ≤10 days, total ≤15 g. US: usual 7–10 days; reassess if &gt;10 days; safety &gt;14 days not established.</t>
        </is>
      </c>
      <c r="I11" s="3" t="inlineStr">
        <is>
          <t>TW insert 3.1; UK SmPC 4.2; US label DOSAGE AND ADMINISTRATION and WARNINGS box</t>
        </is>
      </c>
      <c r="J11" s="3" t="inlineStr">
        <is>
          <t>Open</t>
        </is>
      </c>
      <c r="K11" s="3" t="inlineStr"/>
    </row>
    <row r="12">
      <c r="A12" s="3" t="n">
        <v>224</v>
      </c>
      <c r="B12" s="3" t="inlineStr">
        <is>
          <t>Amikacin (AMI12)</t>
        </is>
      </c>
      <c r="C12" s="7" t="inlineStr">
        <is>
          <t>High</t>
        </is>
      </c>
      <c r="D12" s="3" t="inlineStr">
        <is>
          <t>Dosing – renal/dialysis</t>
        </is>
      </c>
      <c r="E12" s="3" t="inlineStr">
        <is>
          <t>Renal table outdated</t>
        </is>
      </c>
      <c r="F12" s="3" t="inlineStr">
        <is>
          <t>Replace unsourced GFR/CRRT table with label method or cite source; reconcile CRRT with Notion</t>
        </is>
      </c>
      <c r="G12" s="3" t="inlineStr">
        <is>
          <t>GFR 30–50: 5–7.5 mg/kg q12–18h; GFR 10–29: q18–24h; GFR &lt;10: q48–72h; HD/PD 5 mg/kg then redose by level; CRRT 7.5 mg/kg q12h</t>
        </is>
      </c>
      <c r="H12" s="3" t="inlineStr">
        <is>
          <t>No label has GFR tiers or CRRT dosing. US: 7.5 mg/kg every (SCr × 9) h, or 7.5 mg/kg LD then reduced q12h dose in proportion to CrCl; neither method during dialysis. UK: same methods, and no once-daily total dose if CrCl &lt;50. TW insert: no renal table. The hospital CRRT dose (7.5 mg/kg q12h) also disagrees with the Notion CRRT entry (LD 10 mg/kg then TDM). Both need a guideline or PubMed source.</t>
        </is>
      </c>
      <c r="I12" s="3" t="inlineStr">
        <is>
          <t>US D&amp;A renal sections – https://dailymed.nlm.nih.gov/dailymed/drugInfo.cfm?setid=f260ff2a-76a0-4672-9516-91c344b67890; UK SmPC 4.2</t>
        </is>
      </c>
      <c r="J12" s="3" t="inlineStr">
        <is>
          <t>Open</t>
        </is>
      </c>
      <c r="K12" s="3" t="inlineStr"/>
    </row>
    <row r="13">
      <c r="A13" s="3" t="n">
        <v>230</v>
      </c>
      <c r="B13" s="3" t="inlineStr">
        <is>
          <t>Amikacin (AMI12)</t>
        </is>
      </c>
      <c r="C13" s="7" t="inlineStr">
        <is>
          <t>High</t>
        </is>
      </c>
      <c r="D13" s="3" t="inlineStr">
        <is>
          <t>Dosing – renal/dialysis</t>
        </is>
      </c>
      <c r="E13" s="3" t="inlineStr">
        <is>
          <t>Renal table outdated</t>
        </is>
      </c>
      <c r="F13" s="3" t="inlineStr">
        <is>
          <t>Replace pediatric-unit GFR table with adult label renal method; CRRT per evidence with TDM</t>
        </is>
      </c>
      <c r="G13" s="3" t="inlineStr">
        <is>
          <t>GFR 30–50 mL/min/1.73 m²: 5–7.5 mg/kg q12–18h; GFR 10–29: q18–24h; GFR &lt;10: q48–72h; IHD 5 mg/kg, redose by level; CRRT 7.5 mg/kg q12h. This sits right after the paediatric section, and the units (per 1.73 m²) suggest a paediatric table shown as the general renal adjustment.</t>
        </is>
      </c>
      <c r="H13" s="3" t="inlineStr">
        <is>
          <t>No label gives GFR tiers or CRRT dosing. US label (fallback, since the TW insert has none): 7.5 mg/kg every SCr×9 h, or a 7.5 mg/kg loading dose then reduced q12h doses in proportion to CrCl; neither method during dialysis. UK SmPC: no once-daily dosing if CrCl &lt;50. CRRT evidence (Roger 2016, PMID 27270279) supports 25 mg/kg about q48h with TDM, not 7.5 mg/kg q12h.</t>
        </is>
      </c>
      <c r="I13" s="3" t="inlineStr">
        <is>
          <t>US label Impaired Renal Function sections; UK SmPC 4.2; Roger C 2016, https://pubmed.ncbi.nlm.nih.gov/27270279/</t>
        </is>
      </c>
      <c r="J13" s="3" t="inlineStr">
        <is>
          <t>Open</t>
        </is>
      </c>
      <c r="K13" s="3" t="inlineStr"/>
    </row>
    <row r="14">
      <c r="A14" s="3" t="n">
        <v>235</v>
      </c>
      <c r="B14" s="3" t="inlineStr">
        <is>
          <t>AmoClav (Amoxicillin/clavulanate) (AMO04, AMO08)</t>
        </is>
      </c>
      <c r="C14" s="7" t="inlineStr">
        <is>
          <t>High</t>
        </is>
      </c>
      <c r="D14" s="3" t="inlineStr">
        <is>
          <t>Dosing – adult</t>
        </is>
      </c>
      <c r="E14" s="3" t="inlineStr"/>
      <c r="F14" s="3" t="inlineStr">
        <is>
          <t>Remove q6h option: 1.2 g q8h only (max 600 mg clavulanate/day); use other IV amoxicillin if more needed</t>
        </is>
      </c>
      <c r="G14" s="3" t="inlineStr">
        <is>
          <t>1.2 g every 8 hours; in severe infections, administer every 6 hours</t>
        </is>
      </c>
      <c r="H14" s="3" t="inlineStr">
        <is>
          <t>1000 mg/200 mg every 8 hours only. This product delivers at most 3000 mg amoxicillin + 600 mg clavulanate a day; if more amoxicillin is needed, use an alternative IV formulation. q6h would give 800 mg/day clavulanate.</t>
        </is>
      </c>
      <c r="I14" s="3" t="inlineStr">
        <is>
          <t>UK SmPC 4.2 — https://www.medicines.org.uk/emc/product/7211/smpc</t>
        </is>
      </c>
      <c r="J14" s="3" t="inlineStr">
        <is>
          <t>Open</t>
        </is>
      </c>
      <c r="K14" s="3" t="inlineStr"/>
    </row>
    <row r="15">
      <c r="A15" s="3" t="n">
        <v>236</v>
      </c>
      <c r="B15" s="3" t="inlineStr">
        <is>
          <t>AmoClav (Amoxicillin/clavulanate) (AMO04, AMO08)</t>
        </is>
      </c>
      <c r="C15" s="7" t="inlineStr">
        <is>
          <t>High</t>
        </is>
      </c>
      <c r="D15" s="3" t="inlineStr">
        <is>
          <t>Dosing – adult</t>
        </is>
      </c>
      <c r="E15" s="3" t="inlineStr"/>
      <c r="F15" s="3" t="inlineStr">
        <is>
          <t>Fix prophylaxis: &lt;1 h single 1.2–2.2 g at induction; &gt;1 h up to 3 doses total in 24 h</t>
        </is>
      </c>
      <c r="G15" s="3" t="inlineStr">
        <is>
          <t>1.2 g at induction of anesthesia for procedures 1 hour, may administer up to 2-3 additional doses in 24 hours (the &lt; or &gt; sign is missing)</t>
        </is>
      </c>
      <c r="H15" s="3" t="inlineStr">
        <is>
          <t>Procedures &lt;1 h: 1000/200 to 2000/200 mg at induction. Procedures &gt;1 h: same at induction, with up to 3 doses of 1000/200 mg in 24 hours (3 in total, not 2–3 additional).</t>
        </is>
      </c>
      <c r="I15" s="3" t="inlineStr">
        <is>
          <t>UK SmPC 4.2 — https://www.medicines.org.uk/emc/product/7211/smpc</t>
        </is>
      </c>
      <c r="J15" s="3" t="inlineStr">
        <is>
          <t>Open</t>
        </is>
      </c>
      <c r="K15" s="3" t="inlineStr"/>
    </row>
    <row r="16">
      <c r="A16" s="3" t="n">
        <v>246</v>
      </c>
      <c r="B16" s="3" t="inlineStr">
        <is>
          <t>AmoClav (Amoxicillin/clavulanate) (AMO04, AMO08)</t>
        </is>
      </c>
      <c r="C16" s="7" t="inlineStr">
        <is>
          <t>High</t>
        </is>
      </c>
      <c r="D16" s="3" t="inlineStr">
        <is>
          <t>Dosing – adult</t>
        </is>
      </c>
      <c r="E16" s="3" t="inlineStr"/>
      <c r="F16" s="3" t="inlineStr">
        <is>
          <t>Remove q6h option: 1.2 g q8h only (max 600 mg clavulanate/day)</t>
        </is>
      </c>
      <c r="G16" s="3" t="inlineStr">
        <is>
          <t>1.2 g every 8 hours; in severe infections, administer every 6 hours</t>
        </is>
      </c>
      <c r="H16" s="3" t="inlineStr">
        <is>
          <t>1000/200 mg every 8 hours only. The vial is designed for at most 3000 mg amoxicillin + 600 mg clavulanate a day (q6h gives 800 mg clavulanate). If more amoxicillin is needed, use an alternative IV formulation.</t>
        </is>
      </c>
      <c r="I16" s="3" t="inlineStr">
        <is>
          <t>UK SmPC §4.2, https://www.medicines.org.uk/emc/product/7211/smpc</t>
        </is>
      </c>
      <c r="J16" s="3" t="inlineStr">
        <is>
          <t>Open</t>
        </is>
      </c>
      <c r="K16" s="3" t="inlineStr"/>
    </row>
    <row r="17">
      <c r="A17" s="3" t="n">
        <v>247</v>
      </c>
      <c r="B17" s="3" t="inlineStr">
        <is>
          <t>AmoClav (Amoxicillin/clavulanate) (AMO04, AMO08)</t>
        </is>
      </c>
      <c r="C17" s="7" t="inlineStr">
        <is>
          <t>High</t>
        </is>
      </c>
      <c r="D17" s="3" t="inlineStr">
        <is>
          <t>Dosing – adult</t>
        </is>
      </c>
      <c r="E17" s="3" t="inlineStr"/>
      <c r="F17" s="3" t="inlineStr">
        <is>
          <t>Restore '&lt;'/'&gt;' and state max 3 doses total in 24 h for procedures &gt;1 h</t>
        </is>
      </c>
      <c r="G17" s="3" t="inlineStr">
        <is>
          <t>1.2 g at induction of anesthesia for procedures [sign missing] 1 hour, may administer up to 2-3 additional doses in 24 hours</t>
        </is>
      </c>
      <c r="H17" s="3" t="inlineStr">
        <is>
          <t>Procedures &lt;1 h: 1000/200–2000/200 mg at induction. Procedures &gt;1 h: same, with up to 3 doses of 1000/200 mg in 24 h in total. The '&lt;'/'&gt;' sign is lost in the hospital text, and '2-3 additional doses' could exceed 3 doses in total.</t>
        </is>
      </c>
      <c r="I17" s="3" t="inlineStr">
        <is>
          <t>UK SmPC §4.2, https://www.medicines.org.uk/emc/product/7211/smpc</t>
        </is>
      </c>
      <c r="J17" s="3" t="inlineStr">
        <is>
          <t>Open</t>
        </is>
      </c>
      <c r="K17" s="3" t="inlineStr"/>
    </row>
    <row r="18">
      <c r="A18" s="3" t="n">
        <v>237</v>
      </c>
      <c r="B18" s="3" t="inlineStr">
        <is>
          <t>AmoClav (Amoxicillin/clavulanate) (AMO04, AMO08)</t>
        </is>
      </c>
      <c r="C18" s="7" t="inlineStr">
        <is>
          <t>High</t>
        </is>
      </c>
      <c r="D18" s="3" t="inlineStr">
        <is>
          <t>Dosing – pediatric</t>
        </is>
      </c>
      <c r="E18" s="3" t="inlineStr"/>
      <c r="F18" s="3" t="inlineStr">
        <is>
          <t>Pediatric &lt;40 kg: ≥3 mo 30 mg/kg q8h; &lt;3 mo or &lt;4 kg 30 mg/kg q12h infusion; remove q6h and titration</t>
        </is>
      </c>
      <c r="G18" s="3" t="inlineStr">
        <is>
          <t>3 months to 12 years: 30 mg/kg every 8 hours; in severe infections, administer every 6 hours. 30 mg/kg every 12 hours; then titrate to every 8 hours (no age/weight condition).</t>
        </is>
      </c>
      <c r="H18" s="3" t="inlineStr">
        <is>
          <t>Children &lt;40 kg (weight-based, not 'to 12 years'): ≥3 months 25/5 mg/kg (30 mg/kg combined) q8h. Children &lt;3 months or &lt;4 kg: 25/5 mg/kg q12h, infusion only. There is no q6h option and no 'titrate to q8h' step. The pediatric q6h-in-severe-infection line was not in the source brief; I found it on the live page.</t>
        </is>
      </c>
      <c r="I18" s="3" t="inlineStr">
        <is>
          <t>UK SmPC 4.2 Paediatric population — https://www.medicines.org.uk/emc/product/7211/smpc</t>
        </is>
      </c>
      <c r="J18" s="3" t="inlineStr">
        <is>
          <t>Open</t>
        </is>
      </c>
      <c r="K18" s="3" t="inlineStr"/>
    </row>
    <row r="19">
      <c r="A19" s="3" t="n">
        <v>248</v>
      </c>
      <c r="B19" s="3" t="inlineStr">
        <is>
          <t>AmoClav (Amoxicillin/clavulanate) (AMO04, AMO08)</t>
        </is>
      </c>
      <c r="C19" s="7" t="inlineStr">
        <is>
          <t>High</t>
        </is>
      </c>
      <c r="D19" s="3" t="inlineStr">
        <is>
          <t>Dosing – pediatric</t>
        </is>
      </c>
      <c r="E19" s="3" t="inlineStr"/>
      <c r="F19" s="3" t="inlineStr">
        <is>
          <t>Weight-based &lt;40 kg dosing; no q6h; q12h only for &lt;3 mo or &lt;4 kg by infusion</t>
        </is>
      </c>
      <c r="G19" s="3" t="inlineStr">
        <is>
          <t>3 months to 12 years: 30 mg/kg every 8 hours; in severe infections every 6 hours / 30 mg/kg every 12 hours; then titrate to every 8 hours</t>
        </is>
      </c>
      <c r="H19" s="3" t="inlineStr">
        <is>
          <t>Children &lt;40 kg: ≥3 months, 25/5 mg/kg (=30 mg/kg combined) q8h; &lt;3 months or &lt;4 kg, 25/5 mg/kg q12h by infusion only. No q6h regimen. The q12h line in the hospital entry has no age or weight condition, and the limit is weight-based (&lt;40 kg), not 12 years.</t>
        </is>
      </c>
      <c r="I19" s="3" t="inlineStr">
        <is>
          <t>UK SmPC §4.2 Paediatric population and Method of administration, https://www.medicines.org.uk/emc/product/7211/smpc</t>
        </is>
      </c>
      <c r="J19" s="3" t="inlineStr">
        <is>
          <t>Open</t>
        </is>
      </c>
      <c r="K19" s="3" t="inlineStr"/>
    </row>
    <row r="20">
      <c r="A20" s="3" t="n">
        <v>238</v>
      </c>
      <c r="B20" s="3" t="inlineStr">
        <is>
          <t>AmoClav (Amoxicillin/clavulanate) (AMO04, AMO08)</t>
        </is>
      </c>
      <c r="C20" s="7" t="inlineStr">
        <is>
          <t>High</t>
        </is>
      </c>
      <c r="D20" s="3" t="inlineStr">
        <is>
          <t>Dosing – renal/dialysis</t>
        </is>
      </c>
      <c r="E20" s="3" t="inlineStr">
        <is>
          <t>Renal table outdated</t>
        </is>
      </c>
      <c r="F20" s="3" t="inlineStr">
        <is>
          <t>HD: 1.2 g once, then 600 mg q24h plus 600 mg after dialysis; remove q12h option; use combined units</t>
        </is>
      </c>
      <c r="G20" s="3" t="inlineStr">
        <is>
          <t>1 g followed by 500 mg every 12 to 24 hours; if utilizing a 24-hour interval, administer dose after dialysis or give an additional 500 mg after dialysis (units switch from 1.2 g product to amoxicillin-only mg)</t>
        </is>
      </c>
      <c r="H20" s="3" t="inlineStr">
        <is>
          <t>1000/200 mg (1.2 g) initially, then 500/100 mg (600 mg) every 24 h, plus 500/100 mg at the end of dialysis. No q12h option.</t>
        </is>
      </c>
      <c r="I20" s="3" t="inlineStr">
        <is>
          <t>UK SmPC 4.2 Renal impairment — https://www.medicines.org.uk/emc/product/7211/smpc</t>
        </is>
      </c>
      <c r="J20" s="3" t="inlineStr">
        <is>
          <t>Open</t>
        </is>
      </c>
      <c r="K20" s="3" t="inlineStr"/>
    </row>
    <row r="21">
      <c r="A21" s="3" t="n">
        <v>239</v>
      </c>
      <c r="B21" s="3" t="inlineStr">
        <is>
          <t>AmoClav (Amoxicillin/clavulanate) (AMO04, AMO08)</t>
        </is>
      </c>
      <c r="C21" s="7" t="inlineStr">
        <is>
          <t>High</t>
        </is>
      </c>
      <c r="D21" s="3" t="inlineStr">
        <is>
          <t>Dosing – renal/dialysis</t>
        </is>
      </c>
      <c r="E21" s="3" t="inlineStr">
        <is>
          <t>Renal table outdated</t>
        </is>
      </c>
      <c r="F21" s="3" t="inlineStr">
        <is>
          <t>Remove unsupported PD q12h regimen; no label PD dose (CrCl &lt;10 maintenance is 600 mg q24h)</t>
        </is>
      </c>
      <c r="G21" s="3" t="inlineStr">
        <is>
          <t>1 g followed by 500 mg every 12 hours</t>
        </is>
      </c>
      <c r="H21" s="3" t="inlineStr">
        <is>
          <t>No peritoneal dialysis dose in the UK SmPC or US label. For CrCl &lt;10 the SmPC gives 600 mg q24h maintenance, so a q12h PD regimen is unsupported.</t>
        </is>
      </c>
      <c r="I21" s="3" t="inlineStr">
        <is>
          <t>UK SmPC 4.2 — https://www.medicines.org.uk/emc/product/7211/smpc; US label 2.6 — https://dailymed.nlm.nih.gov/dailymed/drugInfo.cfm?setid=80bef3fd-4f6f-4190-8865-9ac46c8947a3</t>
        </is>
      </c>
      <c r="J21" s="3" t="inlineStr">
        <is>
          <t>Open</t>
        </is>
      </c>
      <c r="K21" s="3" t="inlineStr"/>
    </row>
    <row r="22">
      <c r="A22" s="3" t="n">
        <v>240</v>
      </c>
      <c r="B22" s="3" t="inlineStr">
        <is>
          <t>AmoClav (Amoxicillin/clavulanate) (AMO04, AMO08)</t>
        </is>
      </c>
      <c r="C22" s="7" t="inlineStr">
        <is>
          <t>High</t>
        </is>
      </c>
      <c r="D22" s="3" t="inlineStr">
        <is>
          <t>Dosing – renal/dialysis</t>
        </is>
      </c>
      <c r="E22" s="3" t="inlineStr"/>
      <c r="F22" s="3" t="inlineStr">
        <is>
          <t>Escape '&lt;' in HTML so CrCl &lt;10 band (1.2 g then 600 mg q24h) displays</t>
        </is>
      </c>
      <c r="G22" s="3" t="inlineStr">
        <is>
          <t>Rendered page shows only '3. CrCl' followed by '4. Hemodialysis'. The unescaped '&lt;' cuts the text off; it reads in full only in the raw source ('CrCl &lt;10 mL/min: 1.2 g followed by 600 mg every 24 hours').</t>
        </is>
      </c>
      <c r="H22" s="3" t="inlineStr">
        <is>
          <t>The dose itself matches the SmPC (1.2 g, then 600 mg q24h). The defect is HTML escaping: the CrCl &lt;10 line is invisible to users.</t>
        </is>
      </c>
      <c r="I22" s="3" t="inlineStr">
        <is>
          <t>UK SmPC 4.2 — https://www.medicines.org.uk/emc/product/7211/smpc</t>
        </is>
      </c>
      <c r="J22" s="3" t="inlineStr">
        <is>
          <t>Open</t>
        </is>
      </c>
      <c r="K22" s="3" t="inlineStr"/>
    </row>
    <row r="23">
      <c r="A23" s="3" t="n">
        <v>249</v>
      </c>
      <c r="B23" s="3" t="inlineStr">
        <is>
          <t>AmoClav (Amoxicillin/clavulanate) (AMO04, AMO08)</t>
        </is>
      </c>
      <c r="C23" s="7" t="inlineStr">
        <is>
          <t>High</t>
        </is>
      </c>
      <c r="D23" s="3" t="inlineStr">
        <is>
          <t>Dosing – renal/dialysis</t>
        </is>
      </c>
      <c r="E23" s="3" t="inlineStr">
        <is>
          <t>Renal table outdated</t>
        </is>
      </c>
      <c r="F23" s="3" t="inlineStr">
        <is>
          <t>HD: 1.2 g once, then 600 mg q24h plus 600 mg after dialysis; no q12h</t>
        </is>
      </c>
      <c r="G23" s="3" t="inlineStr">
        <is>
          <t>1 g followed by 500 mg every 12 to 24 hours; if 24-hour interval, dose after dialysis or extra 500 mg after dialysis</t>
        </is>
      </c>
      <c r="H23" s="3" t="inlineStr">
        <is>
          <t>1000/200 mg once, then 500/100 mg every 24 h, plus 500/100 mg at the end of dialysis. Units should be 1.2 g/600 mg to match the combined-strength convention used elsewhere. The SmPC gives no q12h option for HD.</t>
        </is>
      </c>
      <c r="I23" s="3" t="inlineStr">
        <is>
          <t>UK SmPC §4.2 Renal impairment, https://www.medicines.org.uk/emc/product/7211/smpc</t>
        </is>
      </c>
      <c r="J23" s="3" t="inlineStr">
        <is>
          <t>Open</t>
        </is>
      </c>
      <c r="K23" s="3" t="inlineStr"/>
    </row>
    <row r="24">
      <c r="A24" s="3" t="n">
        <v>250</v>
      </c>
      <c r="B24" s="3" t="inlineStr">
        <is>
          <t>AmoClav (Amoxicillin/clavulanate) (AMO04, AMO08)</t>
        </is>
      </c>
      <c r="C24" s="7" t="inlineStr">
        <is>
          <t>High</t>
        </is>
      </c>
      <c r="D24" s="3" t="inlineStr">
        <is>
          <t>Dosing – renal/dialysis</t>
        </is>
      </c>
      <c r="E24" s="3" t="inlineStr">
        <is>
          <t>Renal table outdated</t>
        </is>
      </c>
      <c r="F24" s="3" t="inlineStr">
        <is>
          <t>Remove PD 500 mg q12h regimen; no label support</t>
        </is>
      </c>
      <c r="G24" s="3" t="inlineStr">
        <is>
          <t>1 g followed by 500 mg every 12 hours</t>
        </is>
      </c>
      <c r="H24" s="3" t="inlineStr">
        <is>
          <t>No PD regimen in the UK SmPC or the US label</t>
        </is>
      </c>
      <c r="I24" s="3" t="inlineStr">
        <is>
          <t>UK SmPC §4.2, https://www.medicines.org.uk/emc/product/7211/smpc</t>
        </is>
      </c>
      <c r="J24" s="3" t="inlineStr">
        <is>
          <t>Open</t>
        </is>
      </c>
      <c r="K24" s="3" t="inlineStr"/>
    </row>
    <row r="25">
      <c r="A25" s="3" t="n">
        <v>251</v>
      </c>
      <c r="B25" s="3" t="inlineStr">
        <is>
          <t>AmoClav (Amoxicillin/clavulanate) (AMO04, AMO08)</t>
        </is>
      </c>
      <c r="C25" s="7" t="inlineStr">
        <is>
          <t>High</t>
        </is>
      </c>
      <c r="D25" s="3" t="inlineStr">
        <is>
          <t>Dosing – renal/dialysis</t>
        </is>
      </c>
      <c r="E25" s="3" t="inlineStr"/>
      <c r="F25" s="3" t="inlineStr">
        <is>
          <t>Escape '&lt;' as &amp;lt; so CrCl &lt;10 line renders</t>
        </is>
      </c>
      <c r="G25" s="3" t="inlineStr">
        <is>
          <t>Rendered page shows '3. CrCl' with the text cut off. The raw HTML has 'CrCl &lt;10 mL/min: 1.2 g followed by 600 mg every 24 hours'; the unescaped '&lt;' breaks rendering.</t>
        </is>
      </c>
      <c r="H25" s="3" t="inlineStr">
        <is>
          <t>CrCl &lt;10: 1000/200 mg once, then 500/100 mg q24h (the content is correct once shown; the HTML needs '&amp;lt;')</t>
        </is>
      </c>
      <c r="I25" s="3" t="inlineStr">
        <is>
          <t>UK SmPC §4.2, https://www.medicines.org.uk/emc/product/7211/smpc</t>
        </is>
      </c>
      <c r="J25" s="3" t="inlineStr">
        <is>
          <t>Open</t>
        </is>
      </c>
      <c r="K25" s="3" t="inlineStr"/>
    </row>
    <row r="26">
      <c r="A26" s="3" t="n">
        <v>581</v>
      </c>
      <c r="B26" s="3" t="inlineStr">
        <is>
          <t>Amoxicillin (AMO02)</t>
        </is>
      </c>
      <c r="C26" s="7" t="inlineStr">
        <is>
          <t>High</t>
        </is>
      </c>
      <c r="D26" s="3" t="inlineStr">
        <is>
          <t>Dosing – renal/dialysis</t>
        </is>
      </c>
      <c r="E26" s="3" t="inlineStr">
        <is>
          <t>Renal table outdated</t>
        </is>
      </c>
      <c r="F26" s="3" t="inlineStr">
        <is>
          <t>Restore GFR &lt;10 label; set 250-500 mg q24h (US), max 500 mg/day (UK); remove q12h</t>
        </is>
      </c>
      <c r="G26" s="3" t="inlineStr">
        <is>
          <t>The row after '10-30' has no GFR label: '250 to 500 mg every 12 to 24 hours / 500 mg every 12 to 24 hours / 500 mg every 12 hours'.</t>
        </is>
      </c>
      <c r="H26" s="3" t="inlineStr">
        <is>
          <t>Presumably this row is GFR &lt;10, and the US label gives 250–500 mg q24h there, not q12–24h. The UK SmPC gives a maximum of 500 mg/day. Neither label supports the 'every 12 hours' column.</t>
        </is>
      </c>
      <c r="I26" s="3" t="inlineStr">
        <is>
          <t>US FDA label §2.5 Table 2 — https://dailymed.nlm.nih.gov/dailymed/drugInfo.cfm?setid=9b3ab9ea-caee-4186-9068-43ca527c098d; UK SmPC §4.2 — https://www.medicines.org.uk/emc/product/10637/smpc</t>
        </is>
      </c>
      <c r="J26" s="3" t="inlineStr">
        <is>
          <t>Open</t>
        </is>
      </c>
      <c r="K26" s="3" t="inlineStr"/>
    </row>
    <row r="27">
      <c r="A27" s="3" t="n">
        <v>582</v>
      </c>
      <c r="B27" s="3" t="inlineStr">
        <is>
          <t>Amoxicillin (AMO02)</t>
        </is>
      </c>
      <c r="C27" s="7" t="inlineStr">
        <is>
          <t>High</t>
        </is>
      </c>
      <c r="D27" s="3" t="inlineStr">
        <is>
          <t>Dosing – renal/dialysis</t>
        </is>
      </c>
      <c r="E27" s="3" t="inlineStr">
        <is>
          <t>Renal table outdated</t>
        </is>
      </c>
      <c r="F27" s="3" t="inlineStr">
        <is>
          <t>GFR 10-30: change 1 g q12h to 250-500 mg q12h (max 500 mg bid)</t>
        </is>
      </c>
      <c r="G27" s="3" t="inlineStr">
        <is>
          <t>1 g every 12 hours</t>
        </is>
      </c>
      <c r="H27" s="3" t="inlineStr">
        <is>
          <t>US: 250–500 mg every 12 hours. UK: maximum 500 mg twice daily. 1 g q12h is twice the labelled maximum.</t>
        </is>
      </c>
      <c r="I27" s="3" t="inlineStr">
        <is>
          <t>US FDA label §2.5 Table 2 — https://dailymed.nlm.nih.gov/dailymed/drugInfo.cfm?setid=9b3ab9ea-caee-4186-9068-43ca527c098d; UK SmPC §4.2 Renal impairment — https://www.medicines.org.uk/emc/product/10637/smpc</t>
        </is>
      </c>
      <c r="J27" s="3" t="inlineStr">
        <is>
          <t>Open</t>
        </is>
      </c>
      <c r="K27" s="3" t="inlineStr"/>
    </row>
    <row r="28">
      <c r="A28" s="3" t="n">
        <v>583</v>
      </c>
      <c r="B28" s="3" t="inlineStr">
        <is>
          <t>Amoxicillin (AMO02)</t>
        </is>
      </c>
      <c r="C28" s="7" t="inlineStr">
        <is>
          <t>High</t>
        </is>
      </c>
      <c r="D28" s="3" t="inlineStr">
        <is>
          <t>Dosing – renal/dialysis</t>
        </is>
      </c>
      <c r="E28" s="3" t="inlineStr">
        <is>
          <t>Renal table outdated</t>
        </is>
      </c>
      <c r="F28" s="3" t="inlineStr">
        <is>
          <t>HD: 250-500 mg q24h plus supplemental dose during/after HD; remove q12h options</t>
        </is>
      </c>
      <c r="G28" s="3" t="inlineStr">
        <is>
          <t>250 to 500 mg every 12 to 24 hours / 500 mg every 12 to 24 hours / 500 mg every 12 hours</t>
        </is>
      </c>
      <c r="H28" s="3" t="inlineStr">
        <is>
          <t>US: 250–500 mg every 24 h, plus an extra dose during and at the end of dialysis. UK: 500 mg every 24 h, plus 500 mg before and 500 mg after HD. Neither label has a q12h option, and the hospital row omits the supplemental dose. The source brief did not mention this discrepancy.</t>
        </is>
      </c>
      <c r="I28" s="3" t="inlineStr">
        <is>
          <t>US FDA label §2.5 — https://dailymed.nlm.nih.gov/dailymed/drugInfo.cfm?setid=9b3ab9ea-caee-4186-9068-43ca527c098d; UK SmPC §4.2 Haemodialysis — https://www.medicines.org.uk/emc/product/10637/smpc</t>
        </is>
      </c>
      <c r="J28" s="3" t="inlineStr">
        <is>
          <t>Open</t>
        </is>
      </c>
      <c r="K28" s="3" t="inlineStr"/>
    </row>
    <row r="29">
      <c r="A29" s="3" t="n">
        <v>584</v>
      </c>
      <c r="B29" s="3" t="inlineStr">
        <is>
          <t>Amoxicillin (AMO02)</t>
        </is>
      </c>
      <c r="C29" s="7" t="inlineStr">
        <is>
          <t>High</t>
        </is>
      </c>
      <c r="D29" s="3" t="inlineStr">
        <is>
          <t>Dosing – renal/dialysis</t>
        </is>
      </c>
      <c r="E29" s="3" t="inlineStr">
        <is>
          <t>Renal table outdated</t>
        </is>
      </c>
      <c r="F29" s="3" t="inlineStr">
        <is>
          <t>PD: cap at 500 mg/day (UK SmPC); remove 500 mg q12h</t>
        </is>
      </c>
      <c r="G29" s="3" t="inlineStr">
        <is>
          <t>250 to 500 mg every 12 hours / 500 mg every 12 hours / 500 mg every 12 hours</t>
        </is>
      </c>
      <c r="H29" s="3" t="inlineStr">
        <is>
          <t>UK: maximum 500 mg/day. The US label has no PD dose, so the PD row conflicts with the UK SmPC only; 500 mg q12h is 1 g/day.</t>
        </is>
      </c>
      <c r="I29" s="3" t="inlineStr">
        <is>
          <t>UK SmPC §4.2 'In patients receiving peritoneal dialysis Amoxicillin maximum 500 mg/day' — https://www.medicines.org.uk/emc/product/10637/smpc</t>
        </is>
      </c>
      <c r="J29" s="3" t="inlineStr">
        <is>
          <t>Open</t>
        </is>
      </c>
      <c r="K29" s="3" t="inlineStr"/>
    </row>
    <row r="30">
      <c r="A30" s="3" t="n">
        <v>591</v>
      </c>
      <c r="B30" s="3" t="inlineStr">
        <is>
          <t>Amoxicillin (AMO02)</t>
        </is>
      </c>
      <c r="C30" s="7" t="inlineStr">
        <is>
          <t>High</t>
        </is>
      </c>
      <c r="D30" s="3" t="inlineStr">
        <is>
          <t>Dosing – renal/dialysis</t>
        </is>
      </c>
      <c r="E30" s="3" t="inlineStr">
        <is>
          <t>Renal table outdated</t>
        </is>
      </c>
      <c r="F30" s="3" t="inlineStr">
        <is>
          <t>Fix missing '&lt;10' row label (HTML escape); set 250-500 mg q24h, max 500 mg/day</t>
        </is>
      </c>
      <c r="G30" s="3" t="inlineStr">
        <is>
          <t>Row with no GFR label: '250 to 500 mg every 12 to 24 hours / 500 mg every 12 to 24 hours / 500 mg every 12 hours' (presumably GFR &lt;10; label probably lost to unescaped '&lt;' in HTML)</t>
        </is>
      </c>
      <c r="H30" s="3" t="inlineStr">
        <is>
          <t>GFR &lt;10: 250–500 mg q24h (US); max 500 mg/day (UK). q12h and q12–24h both exceed the label maximum.</t>
        </is>
      </c>
      <c r="I30" s="3" t="inlineStr">
        <is>
          <t>US label §2.5 Table 2 — https://dailymed.nlm.nih.gov/dailymed/drugInfo.cfm?setid=9b3ab9ea-caee-4186-9068-43ca527c098d; UK SmPC §4.2 — https://www.medicines.org.uk/emc/product/10637/smpc</t>
        </is>
      </c>
      <c r="J30" s="3" t="inlineStr">
        <is>
          <t>Open</t>
        </is>
      </c>
      <c r="K30" s="3" t="inlineStr"/>
    </row>
    <row r="31">
      <c r="A31" s="3" t="n">
        <v>592</v>
      </c>
      <c r="B31" s="3" t="inlineStr">
        <is>
          <t>Amoxicillin (AMO02)</t>
        </is>
      </c>
      <c r="C31" s="7" t="inlineStr">
        <is>
          <t>High</t>
        </is>
      </c>
      <c r="D31" s="3" t="inlineStr">
        <is>
          <t>Dosing – renal/dialysis</t>
        </is>
      </c>
      <c r="E31" s="3" t="inlineStr">
        <is>
          <t>Renal table outdated</t>
        </is>
      </c>
      <c r="F31" s="3" t="inlineStr">
        <is>
          <t>GFR 10-30: change 1 g q12h to 250-500 mg q12h</t>
        </is>
      </c>
      <c r="G31" s="3" t="inlineStr">
        <is>
          <t>1 g every 12 hours</t>
        </is>
      </c>
      <c r="H31" s="3" t="inlineStr">
        <is>
          <t>US: 250–500 mg q12h; UK: maximum 500 mg twice daily</t>
        </is>
      </c>
      <c r="I31" s="3" t="inlineStr">
        <is>
          <t>US label §2.5 Table 2; UK SmPC §4.2 renal table</t>
        </is>
      </c>
      <c r="J31" s="3" t="inlineStr">
        <is>
          <t>Open</t>
        </is>
      </c>
      <c r="K31" s="3" t="inlineStr"/>
    </row>
    <row r="32">
      <c r="A32" s="3" t="n">
        <v>593</v>
      </c>
      <c r="B32" s="3" t="inlineStr">
        <is>
          <t>Amoxicillin (AMO02)</t>
        </is>
      </c>
      <c r="C32" s="7" t="inlineStr">
        <is>
          <t>High</t>
        </is>
      </c>
      <c r="D32" s="3" t="inlineStr">
        <is>
          <t>Dosing – renal/dialysis</t>
        </is>
      </c>
      <c r="E32" s="3" t="inlineStr">
        <is>
          <t>Renal table outdated</t>
        </is>
      </c>
      <c r="F32" s="3" t="inlineStr">
        <is>
          <t>HD: 250-500 mg q24h plus supplemental dose with HD; remove q12h</t>
        </is>
      </c>
      <c r="G32" s="3" t="inlineStr">
        <is>
          <t>250–500 mg q12–24h / 500 mg q12–24h / 500 mg q12h; no supplemental dose</t>
        </is>
      </c>
      <c r="H32" s="3" t="inlineStr">
        <is>
          <t>US: 250–500 mg q24h + extra dose during and at end of HD. UK: 500 mg q24h + 500 mg before and 500 mg after HD. No q12h option.</t>
        </is>
      </c>
      <c r="I32" s="3" t="inlineStr">
        <is>
          <t>US label §2.5 Table 2; UK SmPC §4.2 haemodialysis</t>
        </is>
      </c>
      <c r="J32" s="3" t="inlineStr">
        <is>
          <t>Open</t>
        </is>
      </c>
      <c r="K32" s="3" t="inlineStr"/>
    </row>
    <row r="33">
      <c r="A33" s="3" t="n">
        <v>594</v>
      </c>
      <c r="B33" s="3" t="inlineStr">
        <is>
          <t>Amoxicillin (AMO02)</t>
        </is>
      </c>
      <c r="C33" s="7" t="inlineStr">
        <is>
          <t>High</t>
        </is>
      </c>
      <c r="D33" s="3" t="inlineStr">
        <is>
          <t>Dosing – renal/dialysis</t>
        </is>
      </c>
      <c r="E33" s="3" t="inlineStr">
        <is>
          <t>Renal table outdated</t>
        </is>
      </c>
      <c r="F33" s="3" t="inlineStr">
        <is>
          <t>PD: max 500 mg/day (UK SmPC); remove q12h regimens</t>
        </is>
      </c>
      <c r="G33" s="3" t="inlineStr">
        <is>
          <t>250–500 mg q12h / 500 mg q12h / 500 mg q12h (up to 1 g/day)</t>
        </is>
      </c>
      <c r="H33" s="3" t="inlineStr">
        <is>
          <t>UK: maximum 500 mg/day. No US PD dose.</t>
        </is>
      </c>
      <c r="I33" s="3" t="inlineStr">
        <is>
          <t>UK SmPC §4.2 peritoneal dialysis — https://www.medicines.org.uk/emc/product/10637/smpc</t>
        </is>
      </c>
      <c r="J33" s="3" t="inlineStr">
        <is>
          <t>Open</t>
        </is>
      </c>
      <c r="K33" s="3" t="inlineStr"/>
    </row>
    <row r="34">
      <c r="A34" s="3" t="n">
        <v>576</v>
      </c>
      <c r="B34" s="3" t="inlineStr">
        <is>
          <t>Ampolin (Ampicillin) (AMP01)</t>
        </is>
      </c>
      <c r="C34" s="7" t="inlineStr">
        <is>
          <t>High</t>
        </is>
      </c>
      <c r="D34" s="3" t="inlineStr">
        <is>
          <t>Dosing – adult</t>
        </is>
      </c>
      <c r="E34" s="3" t="inlineStr"/>
      <c r="F34" s="3" t="inlineStr">
        <is>
          <t>Add label doses; label 2 g q4h and 300-400 mg/kg/day as guideline with citation; 400 mg/kg/day exceeds labels</t>
        </is>
      </c>
      <c r="G34" s="3" t="inlineStr">
        <is>
          <t>Adults 2 g q4h (enterococcal/Listeria bacteremia, endocarditis, meningitis); 1–2 g q4–6h for enterococcal cUTI; children 50–200 mg/kg/day (max 8 g/day), 300–400 mg/kg/day (max 12 g/day) for meningitis/endocarditis. No citation, and no label doses shown.</t>
        </is>
      </c>
      <c r="H34" s="3" t="inlineStr">
        <is>
          <t>The stocked product's insert gives 250–500 mg q6h (or 2–4×/day IM), gonococcal urethritis 500 mg q12h, meningitis 8–14 g/day adults and 100–200 mg/kg/day children. US: 250–500 mg q6h; meningitis/septicemia 150–200 mg/kg/day q3–4h. UK: 500 mg 4–6×/day; meningitis 2 g q6h. The 2 g q4h and 300–400 mg/kg/day regimens are guideline (IDSA/AHA/ESC) doses, not label doses, and should be labelled and cited as such. 400 mg/kg/day exceeds every label.</t>
        </is>
      </c>
      <c r="I34" s="3" t="inlineStr">
        <is>
          <t>Ampolin 仿單 用法用量 https://mcp.fda.gov.tw/insert/pdfcasefile/i_f87fe441-fe10-4930-90d7-250bb0fcbf57; DailyMed DOSAGE AND ADMINISTRATION https://dailymed.nlm.nih.gov/dailymed/drugInfo.cfm?setid=64a04e8c-8f78-46b3-8f45-56ef225a4f74; UK SmPC 4.2 https://www.medicines.org.uk/emc/product/12892/smpc</t>
        </is>
      </c>
      <c r="J34" s="3" t="inlineStr">
        <is>
          <t>Open</t>
        </is>
      </c>
      <c r="K34" s="3" t="inlineStr"/>
    </row>
    <row r="35">
      <c r="A35" s="3" t="n">
        <v>568</v>
      </c>
      <c r="B35" s="3" t="inlineStr">
        <is>
          <t>Ampolin (Ampicillin) (AMP01)</t>
        </is>
      </c>
      <c r="C35" s="7" t="inlineStr">
        <is>
          <t>High</t>
        </is>
      </c>
      <c r="D35" s="3" t="inlineStr">
        <is>
          <t>Dosing – pediatric</t>
        </is>
      </c>
      <c r="E35" s="3" t="inlineStr"/>
      <c r="F35" s="3" t="inlineStr">
        <is>
          <t>Clarify cIAI max 2,000 mg as per dose; note no label cIAI pediatric dose</t>
        </is>
      </c>
      <c r="G35" s="3" t="inlineStr">
        <is>
          <t>200 mg/kg/day divided every 6 hours; maximum 2,000 mg</t>
        </is>
      </c>
      <c r="H35" s="3" t="inlineStr">
        <is>
          <t>No label gives a paediatric cIAI dose. 'Maximum 2,000 mg' does not say whether it is per dose or per day; read as per day it caps a 200 mg/kg/day regimen at 10 kg body weight. It looks like a per-dose cap written ambiguously. The label paediatric doses are 25-50 mg/kg/day (RTI/soft tissue), 50 mg/kg/day (GI/GU) and 150-200 mg/kg/day (meningitis/septicemia).</t>
        </is>
      </c>
      <c r="I35" s="3" t="inlineStr">
        <is>
          <t>DailyMed ampicillin DOSAGE AND ADMINISTRATION https://dailymed.nlm.nih.gov/dailymed/drugInfo.cfm?setid=3b683547-48ac-48ca-8fd4-6866fd17be34</t>
        </is>
      </c>
      <c r="J35" s="3" t="inlineStr">
        <is>
          <t>Open</t>
        </is>
      </c>
      <c r="K35" s="3" t="inlineStr"/>
    </row>
    <row r="36">
      <c r="A36" s="3" t="n">
        <v>569</v>
      </c>
      <c r="B36" s="3" t="inlineStr">
        <is>
          <t>Ampolin (Ampicillin) (AMP01)</t>
        </is>
      </c>
      <c r="C36" s="7" t="inlineStr">
        <is>
          <t>High</t>
        </is>
      </c>
      <c r="D36" s="3" t="inlineStr">
        <is>
          <t>Dosing – pediatric</t>
        </is>
      </c>
      <c r="E36" s="3" t="inlineStr"/>
      <c r="F36" s="3" t="inlineStr">
        <is>
          <t>Replace pediatric doses with label ranges; add US neonatal GA/PNA table; flag &gt;200 mg/kg/day as off-label</t>
        </is>
      </c>
      <c r="G36" s="3" t="inlineStr">
        <is>
          <t>50-200 mg/kg/day q6h (max 8 g/day); 300-400 mg/kg/day (max 12 g/day) for meningitis; IE 200-300 mg/kg/day</t>
        </is>
      </c>
      <c r="H36" s="3" t="inlineStr">
        <is>
          <t>These figures and maximums are not in the TW insert (meningitis 100-200 mg/kg/day; general 25-60 mg/kg/day) or the US label (150-200 mg/kg/day; neonatal table by GA/PNA). The neonatal dosing table in the US label is missing from the hospital page.</t>
        </is>
      </c>
      <c r="I36" s="3" t="inlineStr">
        <is>
          <t>Taiwan insert https://mcp.fda.gov.tw/insert/pdfcasefile/i_f87fe441-fe10-4930-90d7-250bb0fcbf57; DailyMed ampicillin TABLE 1 https://dailymed.nlm.nih.gov/dailymed/drugInfo.cfm?setid=3b683547-48ac-48ca-8fd4-6866fd17be34</t>
        </is>
      </c>
      <c r="J36" s="3" t="inlineStr">
        <is>
          <t>Open</t>
        </is>
      </c>
      <c r="K36" s="3" t="inlineStr"/>
    </row>
    <row r="37">
      <c r="A37" s="3" t="n">
        <v>575</v>
      </c>
      <c r="B37" s="3" t="inlineStr">
        <is>
          <t>Ampolin (Ampicillin) (AMP01)</t>
        </is>
      </c>
      <c r="C37" s="7" t="inlineStr">
        <is>
          <t>High</t>
        </is>
      </c>
      <c r="D37" s="3" t="inlineStr">
        <is>
          <t>Dosing – pediatric</t>
        </is>
      </c>
      <c r="E37" s="3" t="inlineStr"/>
      <c r="F37" s="3" t="inlineStr">
        <is>
          <t>Specify cIAI cap as 2,000 mg/dose; note not label-derived</t>
        </is>
      </c>
      <c r="G37" s="3" t="inlineStr">
        <is>
          <t>200 mg/kg/day divided every 6 hours; maximum 2,000 mg</t>
        </is>
      </c>
      <c r="H37" s="3" t="inlineStr">
        <is>
          <t>No label gives a pediatric cIAI dose or this cap. As written, 'maximum 2,000 mg' reads as a daily cap, which would contradict 200 mg/kg/day for any child over 10 kg. It is presumably a per-dose cap and should say '/dose'.</t>
        </is>
      </c>
      <c r="I37" s="3" t="inlineStr">
        <is>
          <t>DailyMed ampicillin DOSAGE AND ADMINISTRATION (no cIAI dose) https://dailymed.nlm.nih.gov/dailymed/drugInfo.cfm?setid=3b683547-48ac-48ca-8fd4-6866fd17be34; Ampolin 仿單 https://mcp.fda.gov.tw/insert/pdfcasefile/i_f87fe441-fe10-4930-90d7-250bb0fcbf57</t>
        </is>
      </c>
      <c r="J37" s="3" t="inlineStr">
        <is>
          <t>Open</t>
        </is>
      </c>
      <c r="K37" s="3" t="inlineStr"/>
    </row>
    <row r="38">
      <c r="A38" s="3" t="n">
        <v>570</v>
      </c>
      <c r="B38" s="3" t="inlineStr">
        <is>
          <t>Ampolin (Ampicillin) (AMP01)</t>
        </is>
      </c>
      <c r="C38" s="7" t="inlineStr">
        <is>
          <t>High</t>
        </is>
      </c>
      <c r="D38" s="3" t="inlineStr">
        <is>
          <t>Dosing – renal/dialysis</t>
        </is>
      </c>
      <c r="E38" s="3" t="inlineStr">
        <is>
          <t>Renal table outdated</t>
        </is>
      </c>
      <c r="F38" s="3" t="inlineStr">
        <is>
          <t>Cite renal intervals source; add post-HD supplemental dose (UK SmPC)</t>
        </is>
      </c>
      <c r="G38" s="3" t="inlineStr">
        <is>
          <t>CrCl 10-50: interval q6-12h; CrCl &lt;10: interval q12-16h</t>
        </is>
      </c>
      <c r="H38" s="3" t="inlineStr">
        <is>
          <t>The TW insert and US labels have no CrCl table. The UK SmPC says only that for CrCl &lt;10 the dose should be reduced or the interval extended, with an extra dose after dialysis. The hospital's intervals cite no source, and the page says nothing about dosing after HD.</t>
        </is>
      </c>
      <c r="I38" s="3" t="inlineStr">
        <is>
          <t>UK SmPC 4.2 https://www.medicines.org.uk/emc/product/12892/smpc; DailyMed ampicillin OVERDOSAGE https://dailymed.nlm.nih.gov/dailymed/drugInfo.cfm?setid=3b683547-48ac-48ca-8fd4-6866fd17be34</t>
        </is>
      </c>
      <c r="J38" s="3" t="inlineStr">
        <is>
          <t>Open</t>
        </is>
      </c>
      <c r="K38" s="3" t="inlineStr"/>
    </row>
    <row r="39">
      <c r="A39" s="3" t="n">
        <v>577</v>
      </c>
      <c r="B39" s="3" t="inlineStr">
        <is>
          <t>Ampolin (Ampicillin) (AMP01)</t>
        </is>
      </c>
      <c r="C39" s="7" t="inlineStr">
        <is>
          <t>High</t>
        </is>
      </c>
      <c r="D39" s="3" t="inlineStr">
        <is>
          <t>Dosing – renal/dialysis</t>
        </is>
      </c>
      <c r="E39" s="3" t="inlineStr">
        <is>
          <t>Renal table outdated</t>
        </is>
      </c>
      <c r="F39" s="3" t="inlineStr">
        <is>
          <t>Revise renal intervals (q12h CrCl 7-30, q24h post-HD in ESRD per Blum 1989); add HD/PD/CRRT guidance with sources</t>
        </is>
      </c>
      <c r="G39" s="3" t="inlineStr">
        <is>
          <t>CrCl 10–50: q6–12h; CrCl &lt;10: q12–16h (uncited)</t>
        </is>
      </c>
      <c r="H39" s="3" t="inlineStr">
        <is>
          <t>No label has a CrCl table: the TW insert has no renal section, the US label has none, and the UK SmPC only says CrCl &lt;10 → reduce dose or extend interval plus a post-dialysis dose. The available PK study (Blum 1989, ampicillin 2 g) supports q12h at CrCl 7–30 and q24h after HD for ESRD, longer than the hospital's q12–16h. The hospital page also gives no HD, PD or CRRT guidance. The label says ampicillin is removed by HD, not PD.</t>
        </is>
      </c>
      <c r="I39" s="3" t="inlineStr">
        <is>
          <t>UK SmPC 4.2 Renal Impairment https://www.medicines.org.uk/emc/product/12892/smpc; DailyMed OVERDOSAGE https://dailymed.nlm.nih.gov/dailymed/drugInfo.cfm?setid=3b683547-48ac-48ca-8fd4-6866fd17be34; Blum RA 1989 PMID 2817847 https://pubmed.ncbi.nlm.nih.gov/2817847/</t>
        </is>
      </c>
      <c r="J39" s="3" t="inlineStr">
        <is>
          <t>Open</t>
        </is>
      </c>
      <c r="K39" s="3" t="inlineStr"/>
    </row>
    <row r="40">
      <c r="A40" s="3" t="n">
        <v>269</v>
      </c>
      <c r="B40" s="3" t="inlineStr">
        <is>
          <t>Antifect (Cefepime) (ANT10)</t>
        </is>
      </c>
      <c r="C40" s="7" t="inlineStr">
        <is>
          <t>High</t>
        </is>
      </c>
      <c r="D40" s="3" t="inlineStr">
        <is>
          <t>Administration/compatibility</t>
        </is>
      </c>
      <c r="E40" s="3" t="inlineStr"/>
      <c r="F40" s="3" t="inlineStr">
        <is>
          <t>Infusion fluids: NS, D5W/D10W, D5NS, M/6 lactate, LR with D5; SWFI for reconstitution only, not plain LR</t>
        </is>
      </c>
      <c r="G40" s="3" t="inlineStr">
        <is>
          <t>稀釋溶液：NS、D5W、SWFI、LR (仿單)</t>
        </is>
      </c>
      <c r="H40" s="3" t="inlineStr">
        <is>
          <t>TW insert/FDA infusion fluids: 0.9% NaCl, 5% and 10% dextrose, M/6 sodium lactate, D5NS, lactated Ringer's WITH 5% dextrose (not plain LR). Sterile water is listed only for reconstitution, not as an infusion diluent.</t>
        </is>
      </c>
      <c r="I40" s="3" t="inlineStr">
        <is>
          <t>Taiwan Antifect insert §3.2 相容性及安定性 — https://mcp.fda.gov.tw/im_detail_1/%E8%A1%9B%E7%BD%B2%E8%97%A5%E8%A3%BD%E5%AD%97%E7%AC%AC047983%E8%99%9F ; US FDA label §2.4, §2.6</t>
        </is>
      </c>
      <c r="J40" s="3" t="inlineStr">
        <is>
          <t>Open</t>
        </is>
      </c>
      <c r="K40" s="3" t="inlineStr"/>
    </row>
    <row r="41">
      <c r="A41" s="3" t="n">
        <v>258</v>
      </c>
      <c r="B41" s="3" t="inlineStr">
        <is>
          <t>Antifect (Cefepime) (ANT10)</t>
        </is>
      </c>
      <c r="C41" s="7" t="inlineStr">
        <is>
          <t>High</t>
        </is>
      </c>
      <c r="D41" s="3" t="inlineStr">
        <is>
          <t>Dosing – renal/dialysis</t>
        </is>
      </c>
      <c r="E41" s="3" t="inlineStr">
        <is>
          <t>Renal table outdated</t>
        </is>
      </c>
      <c r="F41" s="3" t="inlineStr">
        <is>
          <t>Replace regimen columns with label: 500 mg q12h, 1 g q12h, 2 g q12h, 2 g q8h; delete 1 g q6h</t>
        </is>
      </c>
      <c r="G41" s="3" t="inlineStr">
        <is>
          <t>Usual recommended doses at CrCl &gt;60 are 1g Q12H, 2g Q12H, 1g Q6H and 2g Q8H.</t>
        </is>
      </c>
      <c r="H41" s="3" t="inlineStr">
        <is>
          <t>No label has a 1 g q6h regimen. FDA Table 2 regimens are 500 mg q12h, 1 g q12h, 2 g q12h and 2 g q8h. Taiwan 表5 regimens are 2 g q8h, 2 g q12h, 1 g q12h and 0.5 g q12h.</t>
        </is>
      </c>
      <c r="I41" s="3" t="inlineStr">
        <is>
          <t>US FDA label 2.3 Table 2 — https://dailymed.nlm.nih.gov/dailymed/drugInfo.cfm?setid=de477f37-40f6-4295-ae72-a2ee36a8922e; Taiwan Antifect insert 3.3 表5 — https://mcp.fda.gov.tw/im_detail_1/%E8%A1%9B%E7%BD%B2%E8%97%A5%E8%A3%BD%E5%AD%97%E7%AC%AC047983%E8%99%9F</t>
        </is>
      </c>
      <c r="J41" s="3" t="inlineStr">
        <is>
          <t>Open</t>
        </is>
      </c>
      <c r="K41" s="3" t="inlineStr"/>
    </row>
    <row r="42">
      <c r="A42" s="3" t="n">
        <v>259</v>
      </c>
      <c r="B42" s="3" t="inlineStr">
        <is>
          <t>Antifect (Cefepime) (ANT10)</t>
        </is>
      </c>
      <c r="C42" s="7" t="inlineStr">
        <is>
          <t>High</t>
        </is>
      </c>
      <c r="D42" s="3" t="inlineStr">
        <is>
          <t>Dosing – renal/dialysis</t>
        </is>
      </c>
      <c r="E42" s="3" t="inlineStr">
        <is>
          <t>Renal table outdated</t>
        </is>
      </c>
      <c r="F42" s="3" t="inlineStr">
        <is>
          <t>CrCl 30–60: 2 g q12h→2 g q24h; 2 g q8h→2 g q12h; remove 1 g q8h row</t>
        </is>
      </c>
      <c r="G42" s="3" t="inlineStr">
        <is>
          <t>1g Q24H / 1g Q12H / 1g Q8H / 2g Q12H (for the 1g q12h / 2g q12h / 1g q6h / 2g q8h regimens)</t>
        </is>
      </c>
      <c r="H42" s="3" t="inlineStr">
        <is>
          <t>FDA 30-60: 1 g q12h → 1 g q24h; 2 g q12h → 2 g q24h (not 1 g q12h); 2 g q8h → 2 g q12h. The label has no 1 g q6h regimen, so '1g Q8H' has no label basis. Taiwan uses a 30-50 band with the same values.</t>
        </is>
      </c>
      <c r="I42" s="3" t="inlineStr">
        <is>
          <t>US FDA label 2.3 Table 2; Taiwan Antifect insert 表5</t>
        </is>
      </c>
      <c r="J42" s="3" t="inlineStr">
        <is>
          <t>Open</t>
        </is>
      </c>
      <c r="K42" s="3" t="inlineStr"/>
    </row>
    <row r="43">
      <c r="A43" s="3" t="n">
        <v>260</v>
      </c>
      <c r="B43" s="3" t="inlineStr">
        <is>
          <t>Antifect (Cefepime) (ANT10)</t>
        </is>
      </c>
      <c r="C43" s="7" t="inlineStr">
        <is>
          <t>High</t>
        </is>
      </c>
      <c r="D43" s="3" t="inlineStr">
        <is>
          <t>Dosing – renal/dialysis</t>
        </is>
      </c>
      <c r="E43" s="3" t="inlineStr">
        <is>
          <t>Renal table outdated</t>
        </is>
      </c>
      <c r="F43" s="3" t="inlineStr">
        <is>
          <t>CrCl 11–29 for 2 g q8h: 2 g q24h only; label last row CrCl &lt;11 (≤10 TW)</t>
        </is>
      </c>
      <c r="G43" s="3" t="inlineStr">
        <is>
          <t>11-29: 500mg Q24H / 1g Q24H / 1g Q12H / '1g Q12H or 2g Q24H'. The last row (250mg / 500mg / 1g / 1g Q24H) has no CrCl label.</t>
        </is>
      </c>
      <c r="H43" s="3" t="inlineStr">
        <is>
          <t>FDA and Taiwan, for the 2 g q8h regimen at CrCl 11-29: 2 g q24h only. 1 g q12h is not a label option. The last row should be labelled CrCl &lt;11 (FDA) or ≤10 (Taiwan).</t>
        </is>
      </c>
      <c r="I43" s="3" t="inlineStr">
        <is>
          <t>US FDA label 2.3 Table 2; Taiwan Antifect insert 表5</t>
        </is>
      </c>
      <c r="J43" s="3" t="inlineStr">
        <is>
          <t>Open</t>
        </is>
      </c>
      <c r="K43" s="3" t="inlineStr"/>
    </row>
    <row r="44">
      <c r="A44" s="3" t="n">
        <v>261</v>
      </c>
      <c r="B44" s="3" t="inlineStr">
        <is>
          <t>Antifect (Cefepime) (ANT10)</t>
        </is>
      </c>
      <c r="C44" s="7" t="inlineStr">
        <is>
          <t>High</t>
        </is>
      </c>
      <c r="D44" s="3" t="inlineStr">
        <is>
          <t>Dosing – renal/dialysis</t>
        </is>
      </c>
      <c r="E44" s="3" t="inlineStr">
        <is>
          <t>Renal table outdated</t>
        </is>
      </c>
      <c r="F44" s="3" t="inlineStr">
        <is>
          <t>Add HD (1 g day 1, then 500 mg q24h after HD; FN 1 g q24h) and CAPD (usual dose q48h)</t>
        </is>
      </c>
      <c r="G44" s="3" t="inlineStr">
        <is>
          <t>Gives no HD or CAPD rows and uses FDA-style bands (&gt;60 / 30-60 / 11-29).</t>
        </is>
      </c>
      <c r="H44" s="3" t="inlineStr">
        <is>
          <t>All labels give HD (1 g on day 1, then 0.5 g q24h after dialysis; FDA/SmPC: 1 g q24h for FN) and CAPD (usual dose q48h). The stocked Antifect product's Taiwan insert uses &gt;50 / 30-50 / 11-29 / ≤10.</t>
        </is>
      </c>
      <c r="I44" s="3" t="inlineStr">
        <is>
          <t>Taiwan Antifect insert 3.3 表5 and 透析患者; US FDA label 2.3</t>
        </is>
      </c>
      <c r="J44" s="3" t="inlineStr">
        <is>
          <t>Open</t>
        </is>
      </c>
      <c r="K44" s="3" t="inlineStr"/>
    </row>
    <row r="45">
      <c r="A45" s="3" t="n">
        <v>265</v>
      </c>
      <c r="B45" s="3" t="inlineStr">
        <is>
          <t>Antifect (Cefepime) (ANT10)</t>
        </is>
      </c>
      <c r="C45" s="7" t="inlineStr">
        <is>
          <t>High</t>
        </is>
      </c>
      <c r="D45" s="3" t="inlineStr">
        <is>
          <t>Dosing – renal/dialysis</t>
        </is>
      </c>
      <c r="E45" s="3" t="inlineStr">
        <is>
          <t>Renal table outdated</t>
        </is>
      </c>
      <c r="F45" s="3" t="inlineStr">
        <is>
          <t>Replace whole renal table with FDA Table 2/TW 表5 incl. HD and CAPD rows; remove 1 g q6h</t>
        </is>
      </c>
      <c r="G45" s="3" t="inlineStr">
        <is>
          <t>CrCl &gt;60 'usual' regimens: 1g Q12H | 2g Q12H | 1g Q6H | 2g Q8H. 30-60: 1g Q24H | 1g Q12H | 1g Q8H | 2g Q12H. 11-29: 500mg Q24H | 1g Q24H | 1g Q12H | 1g Q12H or 2g Q24H. An unlabeled fourth row: 250mg Q24H | 500mg Q24H | 1g Q24H | 1g Q24H. No HD or CAPD rows.</t>
        </is>
      </c>
      <c r="H45" s="3" t="inlineStr">
        <is>
          <t>FDA Table 2 usual regimens are 500 mg q12h | 1 g q12h | 2 g q12h | 2 g q8h; there is no 1 g q6h. 30-60: 500 mg q24h | 1 g q24h | 2 g q24h | 2 g q12h. 11-29: 500 mg q24h | 500 mg q24h | 1 g q24h | 2 g q24h. &lt;11: 250 mg | 250 mg | 500 mg | 1 g q24h. CAPD: usual dose q48h. HD: 1 g day 1 then 500 mg q24h (FN 1 g q24h), after dialysis. The stocked Antifect insert (表5) gives the same doses with bands &gt;50 / 30-50 / 11-29 / ≤10, plus HD 1 g → 0.5 g q24h and CAPD q48h.</t>
        </is>
      </c>
      <c r="I45" s="3" t="inlineStr">
        <is>
          <t>US FDA label §2.3 Table 2 — https://dailymed.nlm.nih.gov/dailymed/drugInfo.cfm?setid=de477f37-40f6-4295-ae72-a2ee36a8922e ; Taiwan Antifect insert §3.3 表5 — https://mcp.fda.gov.tw/im_detail_1/%E8%A1%9B%E7%BD%B2%E8%97%A5%E8%A3%BD%E5%AD%97%E7%AC%AC047983%E8%99%9F</t>
        </is>
      </c>
      <c r="J45" s="3" t="inlineStr">
        <is>
          <t>Open</t>
        </is>
      </c>
      <c r="K45" s="3" t="inlineStr"/>
    </row>
    <row r="46">
      <c r="A46" s="3" t="n">
        <v>1367</v>
      </c>
      <c r="B46" s="3" t="inlineStr">
        <is>
          <t>Baraclude / Envir (Entecavir) (BAR03, ENV01, ENV02)</t>
        </is>
      </c>
      <c r="C46" s="7" t="inlineStr">
        <is>
          <t>High</t>
        </is>
      </c>
      <c r="D46" s="3" t="inlineStr">
        <is>
          <t>Contraindication/warning</t>
        </is>
      </c>
      <c r="E46" s="3" t="inlineStr">
        <is>
          <t>Missing boxed warning</t>
        </is>
      </c>
      <c r="F46" s="3" t="inlineStr">
        <is>
          <t>Add boxed warnings: HBV flare on stopping, HIV resistance in co-infection, lactic acidosis/hepatomegaly.</t>
        </is>
      </c>
      <c r="G46" s="3" t="inlineStr">
        <is>
          <t>Only 'Headache, fatigue, dizziness, nausea'. The boxed warnings (post-treatment flare, HIV/HBV co-infection, lactic acidosis/hepatomegaly) are not shown. ENV01 lists lactic acidosis, hepatomegaly with steatosis and recurrent hepatitis.</t>
        </is>
      </c>
      <c r="H46" s="3" t="inlineStr">
        <is>
          <t>The US and TW inserts carry a boxed warning (特殊警語) for severe acute HBV exacerbation after stopping, HIV NRTI resistance in untreated HIV/HBV co-infection, and lactic acidosis with severe hepatomegaly with steatosis. These should appear on all three pages.</t>
        </is>
      </c>
      <c r="I46" s="3" t="inlineStr">
        <is>
          <t>US FDA label boxed warning; TW Baraclude 特殊警語 https://mcp.fda.gov.tw/im_detail_1/%E8%A1%9B%E7%BD%B2%E8%97%A5%E8%BC%B8%E5%AD%97%E7%AC%AC024469%E8%99%9F</t>
        </is>
      </c>
      <c r="J46" s="3" t="inlineStr">
        <is>
          <t>Open</t>
        </is>
      </c>
      <c r="K46" s="3" t="inlineStr"/>
    </row>
    <row r="47">
      <c r="A47" s="3" t="n">
        <v>1361</v>
      </c>
      <c r="B47" s="3" t="inlineStr">
        <is>
          <t>Baraclude / Envir (Entecavir) (BAR03, ENV01, ENV02)</t>
        </is>
      </c>
      <c r="C47" s="7" t="inlineStr">
        <is>
          <t>High</t>
        </is>
      </c>
      <c r="D47" s="3" t="inlineStr">
        <is>
          <t>Dosing – renal/dialysis</t>
        </is>
      </c>
      <c r="E47" s="3" t="inlineStr"/>
      <c r="F47" s="3" t="inlineStr">
        <is>
          <t>Replace '10% daily' with tablet-feasible 0.5/1 mg every 7 days after HD; note solution not stocked.</t>
        </is>
      </c>
      <c r="G47" s="3" t="inlineStr">
        <is>
          <t>'Hemodialysis, Peritoneal dialysis: Not significantly dialyzed; Administer 10% of usual indication-specific dose daily'; 'CRRT, PIRRT: Drug clearance is dependent on the effluent flow rate…' (no dose)</t>
        </is>
      </c>
      <c r="H47" s="3" t="inlineStr">
        <is>
          <t>The label puts HD/CAPD in the &lt;10 band: 0.05 mg (or 0.1 mg) QD, which needs the oral solution the hospital does not stock, or 0.5 mg (1 mg) every 7 days, given after HD on dialysis days. A 4-h HD session removes ~13% of a dose. The '10% daily' option cannot be given with the hospital's tablets, and the page does not say so. No label gives a CRRT dose.</t>
        </is>
      </c>
      <c r="I47" s="3" t="inlineStr">
        <is>
          <t>US FDA label §2.4, §10; TW Baraclude §11</t>
        </is>
      </c>
      <c r="J47" s="3" t="inlineStr">
        <is>
          <t>Open</t>
        </is>
      </c>
      <c r="K47" s="3" t="inlineStr"/>
    </row>
    <row r="48">
      <c r="A48" s="3" t="n">
        <v>1371</v>
      </c>
      <c r="B48" s="3" t="inlineStr">
        <is>
          <t>Baraclude / Envir (Entecavir) (BAR03, ENV01, ENV02)</t>
        </is>
      </c>
      <c r="C48" s="7" t="inlineStr">
        <is>
          <t>High</t>
        </is>
      </c>
      <c r="D48" s="3" t="inlineStr">
        <is>
          <t>Dosing – renal/dialysis</t>
        </is>
      </c>
      <c r="E48" s="3" t="inlineStr"/>
      <c r="F48" s="3" t="inlineStr">
        <is>
          <t>Add dose after HD on dialysis days; give label options 0.05/0.1 mg QD or 0.5/1 mg weekly.</t>
        </is>
      </c>
      <c r="G48" s="3" t="inlineStr">
        <is>
          <t>'Hemodialysis, Peritoneal dialysis: Not significantly dialyzed; Administer 10% of usual dose daily'. No instruction to dose after HD.</t>
        </is>
      </c>
      <c r="H48" s="3" t="inlineStr">
        <is>
          <t>A 4-h HD session removes ~13% of a dose (CAPD ~0.3%/7 days). On HD days give the dose after HD (US/TW footnote b). The label options are 0.05/0.1 mg QD (oral solution) or 0.5/1 mg every 7 days.</t>
        </is>
      </c>
      <c r="I48" s="3" t="inlineStr">
        <is>
          <t>US FDA label §2.4 Table 2 footnote b, §12.3 https://dailymed.nlm.nih.gov/dailymed/drugInfo.cfm?setid=d59e9ea4-09ea-47bd-af2f-39f7a2e2aceb</t>
        </is>
      </c>
      <c r="J48" s="3" t="inlineStr">
        <is>
          <t>Open</t>
        </is>
      </c>
      <c r="K48" s="3" t="inlineStr"/>
    </row>
    <row r="49">
      <c r="A49" s="3" t="n">
        <v>620</v>
      </c>
      <c r="B49" s="3" t="inlineStr">
        <is>
          <t>Bicillin (Penicillin G benzathine) (PEN11, BIC02)</t>
        </is>
      </c>
      <c r="C49" s="7" t="inlineStr">
        <is>
          <t>High</t>
        </is>
      </c>
      <c r="D49" s="3" t="inlineStr">
        <is>
          <t>Dosing – adult</t>
        </is>
      </c>
      <c r="E49" s="3" t="inlineStr"/>
      <c r="F49" s="3" t="inlineStr">
        <is>
          <t>Complete truncated syphilis line: 2.4 MU IM single dose</t>
        </is>
      </c>
      <c r="G49" s="3" t="inlineStr">
        <is>
          <t>Syphilis: 1. Primary, Secondary, Early Latent (   [the line is cut off and no dose is shown]</t>
        </is>
      </c>
      <c r="H49" s="3" t="inlineStr">
        <is>
          <t>Primary, secondary and early latent syphilis: 2.4 MU IM as a single dose.</t>
        </is>
      </c>
      <c r="I49" s="3" t="inlineStr">
        <is>
          <t>TW 仿單 §3.1 ('第一期、第二期及潛伏期—2,400,000單位（1劑）'); UK SmPC §4.2 – https://www.medicines.org.uk/emc/product/11043/smpc</t>
        </is>
      </c>
      <c r="J49" s="3" t="inlineStr">
        <is>
          <t>Open</t>
        </is>
      </c>
      <c r="K49" s="3" t="inlineStr"/>
    </row>
    <row r="50">
      <c r="A50" s="3" t="n">
        <v>628</v>
      </c>
      <c r="B50" s="3" t="inlineStr">
        <is>
          <t>Bicillin (Penicillin G benzathine) (PEN11, BIC02)</t>
        </is>
      </c>
      <c r="C50" s="7" t="inlineStr">
        <is>
          <t>High</t>
        </is>
      </c>
      <c r="D50" s="3" t="inlineStr">
        <is>
          <t>Dosing – adult</t>
        </is>
      </c>
      <c r="E50" s="3" t="inlineStr"/>
      <c r="F50" s="3" t="inlineStr">
        <is>
          <t>Complete truncated syphilis dose: 2.4 MU IM single dose</t>
        </is>
      </c>
      <c r="G50" s="3" t="inlineStr">
        <is>
          <t>'Syphilis: 1. Primary, Secondary, Early Latent (' (text cut off; no dose shown)</t>
        </is>
      </c>
      <c r="H50" s="3" t="inlineStr">
        <is>
          <t>Primary, secondary and latent syphilis: 2,400,000 U IM as one dose.</t>
        </is>
      </c>
      <c r="I50" s="3" t="inlineStr">
        <is>
          <t>Taiwan insert 3.1 https://mcp.fda.gov.tw/im_detail_1/%E8%A1%9B%E9%83%A8%E8%97%A5%E8%BC%B8%E5%AD%97%E7%AC%AC026966%E8%99%9F</t>
        </is>
      </c>
      <c r="J50" s="3" t="inlineStr">
        <is>
          <t>Open</t>
        </is>
      </c>
      <c r="K50" s="3" t="inlineStr"/>
    </row>
    <row r="51">
      <c r="A51" s="3" t="n">
        <v>619</v>
      </c>
      <c r="B51" s="3" t="inlineStr">
        <is>
          <t>Bicillin (Penicillin G benzathine) (PEN11, BIC02)</t>
        </is>
      </c>
      <c r="C51" s="7" t="inlineStr">
        <is>
          <t>High</t>
        </is>
      </c>
      <c r="D51" s="3" t="inlineStr">
        <is>
          <t>Dosing – pediatric</t>
        </is>
      </c>
      <c r="E51" s="3" t="inlineStr">
        <is>
          <t>Missing boxed warning</t>
        </is>
      </c>
      <c r="F51" s="3" t="inlineStr">
        <is>
          <t>Replace aqueous PCN G regimen with IM-only benzathine doses; add NOT FOR IV boxed warning</t>
        </is>
      </c>
      <c r="G51" s="3" t="inlineStr">
        <is>
          <t>General dosing, susceptible infection (non-CNS): Infants, Children, and Adolescents: IM, IV: 100,000 to 300,000 units/kg/day in divided doses every 4 to 6 hours; maximum daily dose: 24 million units/day.</t>
        </is>
      </c>
      <c r="H51" s="3" t="inlineStr">
        <is>
          <t>That is the aqueous (crystalline) penicillin G regimen. Benzathine penicillin G is deep IM only, with a boxed warning: 'NOT FOR INTRAVENOUS USE… cardiorespiratory arrest and death'. Pediatric doses are single IM doses: strep URI 0.6 MU for ≤27 kg and 1.2 MU for &gt;27 kg (TW), or congenital syphilis 50,000 U/kg (US). SAFETY ERROR: the field must be corrected.</t>
        </is>
      </c>
      <c r="I51" s="3" t="inlineStr">
        <is>
          <t>TW 仿單 特殊警語 and §3.1 – https://mcp.fda.gov.tw/im_detail_1/%E8%A1%9B%E9%83%A8%E8%97%A5%E8%BC%B8%E5%AD%97%E7%AC%AC026966%E8%99%9F ; US label boxed WARNING and DOSAGE AND ADMINISTRATION – https://dailymed.nlm.nih.gov/dailymed/drugInfo.cfm?setid=012d46f1-d0a0-4676-a879-cd320297ab16</t>
        </is>
      </c>
      <c r="J51" s="3" t="inlineStr">
        <is>
          <t>Open</t>
        </is>
      </c>
      <c r="K51" s="3" t="inlineStr"/>
    </row>
    <row r="52">
      <c r="A52" s="3" t="n">
        <v>627</v>
      </c>
      <c r="B52" s="3" t="inlineStr">
        <is>
          <t>Bicillin (Penicillin G benzathine) (PEN11, BIC02)</t>
        </is>
      </c>
      <c r="C52" s="7" t="inlineStr">
        <is>
          <t>High</t>
        </is>
      </c>
      <c r="D52" s="3" t="inlineStr">
        <is>
          <t>Dosing – pediatric</t>
        </is>
      </c>
      <c r="E52" s="3" t="inlineStr">
        <is>
          <t>Missing boxed warning</t>
        </is>
      </c>
      <c r="F52" s="3" t="inlineStr">
        <is>
          <t>Remove IV aqueous regimen; use IM single doses (0.6/1.2 MU; 50,000 U/kg); add boxed warning</t>
        </is>
      </c>
      <c r="G52" s="3" t="inlineStr">
        <is>
          <t>'Infants, Children, and Adolescents: IM, IV: 100,000 to 300,000 units/kg/day in divided doses every 4 to 6 hours; maximum daily dose: 24 million units/day'</t>
        </is>
      </c>
      <c r="H52" s="3" t="inlineStr">
        <is>
          <t>Penicillin G benzathine is for deep IM injection only. Boxed warning: 'NOT FOR INTRAVENOUS USE … cardiorespiratory arrest and death.' Pediatric doses are single IM injections: ≤27 kg 0.6 MU, &gt;27 kg 1.2 MU (Taiwan insert), or 50,000 U/kg for syphilis. The hospital text is the aqueous penicillin G regimen. SAFETY ERROR.</t>
        </is>
      </c>
      <c r="I52" s="3" t="inlineStr">
        <is>
          <t>Taiwan insert 特殊警語 and 3.1 https://mcp.fda.gov.tw/im_detail_1/%E8%A1%9B%E9%83%A8%E8%97%A5%E8%BC%B8%E5%AD%97%E7%AC%AC026966%E8%99%9F; DailyMed boxed WARNING https://dailymed.nlm.nih.gov/dailymed/drugInfo.cfm?setid=012d46f1-d0a0-4676-a879-cd320297ab16</t>
        </is>
      </c>
      <c r="J52" s="3" t="inlineStr">
        <is>
          <t>Open</t>
        </is>
      </c>
      <c r="K52" s="3" t="inlineStr"/>
    </row>
    <row r="53">
      <c r="A53" s="3" t="n">
        <v>1218</v>
      </c>
      <c r="B53" s="3" t="inlineStr">
        <is>
          <t>Biktarvy (Bictegravir/Emtricitabine/TAF) (BIK01, BIK02)</t>
        </is>
      </c>
      <c r="C53" s="7" t="inlineStr">
        <is>
          <t>High</t>
        </is>
      </c>
      <c r="D53" s="3" t="inlineStr">
        <is>
          <t>Contraindication/warning</t>
        </is>
      </c>
      <c r="E53" s="3" t="inlineStr">
        <is>
          <t>Missing boxed warning</t>
        </is>
      </c>
      <c r="F53" s="3" t="inlineStr">
        <is>
          <t>Add boxed warning for post-treatment HBV exacerbation and HBV testing before initiation.</t>
        </is>
      </c>
      <c r="G53" s="3" t="inlineStr">
        <is>
          <t>No mention anywhere of the boxed warning (post-treatment acute HBV exacerbation) or of HBV testing before starting; the 注意事項 field is empty.</t>
        </is>
      </c>
      <c r="H53" s="3" t="inlineStr">
        <is>
          <t>Both the Taiwan insert (特殊警語) and the US label carry the boxed warning 'post-treatment acute exacerbation of hepatitis B' and require HBV testing before or at initiation.</t>
        </is>
      </c>
      <c r="I53" s="3" t="inlineStr">
        <is>
          <t>Taiwan insert 特殊警語 and §3.1.1 https://mcp.fda.gov.tw/im_detail_1/%E8%A1%9B%E9%83%A8%E8%97%A5%E8%BC%B8%E5%AD%97%E7%AC%AC027570%E8%99%9F; US FDA label Boxed Warning, §2.1 https://dailymed.nlm.nih.gov/dailymed/drugInfo.cfm?setid=664cb8f0-1f65-441b-b0d9-ba3d798be309</t>
        </is>
      </c>
      <c r="J53" s="3" t="inlineStr">
        <is>
          <t>Open</t>
        </is>
      </c>
      <c r="K53" s="3" t="inlineStr"/>
    </row>
    <row r="54">
      <c r="A54" s="3" t="n">
        <v>1214</v>
      </c>
      <c r="B54" s="3" t="inlineStr">
        <is>
          <t>Biktarvy (Bictegravir/Emtricitabine/TAF) (BIK01, BIK02)</t>
        </is>
      </c>
      <c r="C54" s="7" t="inlineStr">
        <is>
          <t>High</t>
        </is>
      </c>
      <c r="D54" s="3" t="inlineStr">
        <is>
          <t>Dosing – hepatic</t>
        </is>
      </c>
      <c r="E54" s="3" t="inlineStr"/>
      <c r="F54" s="3" t="inlineStr">
        <is>
          <t>Fix swapped Child-Pugh classes: A/B no adjustment; C not recommended.</t>
        </is>
      </c>
      <c r="G54" s="3" t="inlineStr">
        <is>
          <t>1. Mild to moderate impairment (Child-Pugh class C): Not recommended (has not been studied); 2. Severe impairment (Child-Pugh class A, B): No dosage adjustments necessary</t>
        </is>
      </c>
      <c r="H54" s="3" t="inlineStr">
        <is>
          <t>Child-Pugh A (mild) and B (moderate): no dose adjustment. Child-Pugh C (severe): not recommended (not studied). The hospital has the Child-Pugh classes swapped, which could stop the drug in mild/moderate disease or allow it in severe disease.</t>
        </is>
      </c>
      <c r="I54" s="3" t="inlineStr">
        <is>
          <t>Taiwan insert §6.6 / §3.3.3 https://mcp.fda.gov.tw/im_detail_1/%E8%A1%9B%E9%83%A8%E8%97%A5%E8%BC%B8%E5%AD%97%E7%AC%AC027570%E8%99%9F; US FDA label §8.7 https://dailymed.nlm.nih.gov/dailymed/drugInfo.cfm?setid=664cb8f0-1f65-441b-b0d9-ba3d798be309</t>
        </is>
      </c>
      <c r="J54" s="3" t="inlineStr">
        <is>
          <t>Open</t>
        </is>
      </c>
      <c r="K54" s="3" t="inlineStr"/>
    </row>
    <row r="55">
      <c r="A55" s="3" t="n">
        <v>1222</v>
      </c>
      <c r="B55" s="3" t="inlineStr">
        <is>
          <t>Biktarvy (Bictegravir/Emtricitabine/TAF) (BIK01, BIK02)</t>
        </is>
      </c>
      <c r="C55" s="7" t="inlineStr">
        <is>
          <t>High</t>
        </is>
      </c>
      <c r="D55" s="3" t="inlineStr">
        <is>
          <t>Dosing – hepatic</t>
        </is>
      </c>
      <c r="E55" s="3" t="inlineStr"/>
      <c r="F55" s="3" t="inlineStr">
        <is>
          <t>Correct swapped Child-Pugh classes: A/B no adjustment, C not recommended.</t>
        </is>
      </c>
      <c r="G55" s="3" t="inlineStr">
        <is>
          <t>1. Mild to moderate impairment (Child-Pugh class C): Not recommended (has not been studied) 2. Severe impairment (Child-Pugh class A, B): No dosage adjustments necessary</t>
        </is>
      </c>
      <c r="H55" s="3" t="inlineStr">
        <is>
          <t>Mild (Child-Pugh A) or moderate (Child-Pugh B): no dose adjustment. Severe (Child-Pugh C): not recommended (not studied).</t>
        </is>
      </c>
      <c r="I55" s="3" t="inlineStr">
        <is>
          <t>Taiwan 仿單 v4 §6.6 / US label §8.7 / UK SmPC 4.2: https://mcp.fda.gov.tw/im_detail_1/%E8%A1%9B%E9%83%A8%E8%97%A5%E8%BC%B8%E5%AD%97%E7%AC%AC027570%E8%99%9F</t>
        </is>
      </c>
      <c r="J55" s="3" t="inlineStr">
        <is>
          <t>Open</t>
        </is>
      </c>
      <c r="K55" s="3" t="inlineStr"/>
    </row>
    <row r="56">
      <c r="A56" s="3" t="n">
        <v>659</v>
      </c>
      <c r="B56" s="3" t="inlineStr">
        <is>
          <t>Bobimixyn (Polymyxin B) (BOB01)</t>
        </is>
      </c>
      <c r="C56" s="7" t="inlineStr">
        <is>
          <t>High</t>
        </is>
      </c>
      <c r="D56" s="3" t="inlineStr">
        <is>
          <t>Contraindication/warning</t>
        </is>
      </c>
      <c r="E56" s="3" t="inlineStr"/>
      <c r="F56" s="3" t="inlineStr">
        <is>
          <t>Add myasthenia gravis contraindication (TW insert §4)</t>
        </is>
      </c>
      <c r="G56" s="3" t="inlineStr">
        <is>
          <t>Hypersensitivity to polymyxin B or any component of the formulation</t>
        </is>
      </c>
      <c r="H56" s="3" t="inlineStr">
        <is>
          <t>The Taiwan insert also contraindicates use in patients with myasthenia gravis ('曾對多黏菌素類抗生素產生嚴重過敏反應者與重症肌無力病人，不得使用本藥品').</t>
        </is>
      </c>
      <c r="I56" s="3" t="inlineStr">
        <is>
          <t>TW insert 4 禁忌 — https://mcp.fda.gov.tw/im_detail_1/%E8%A1%9B%E9%83%A8%E8%97%A5%E8%A3%BD%E5%AD%97%E7%AC%AC061557%E8%99%9F</t>
        </is>
      </c>
      <c r="J56" s="3" t="inlineStr">
        <is>
          <t>Open</t>
        </is>
      </c>
      <c r="K56" s="3" t="inlineStr"/>
    </row>
    <row r="57">
      <c r="A57" s="3" t="n">
        <v>670</v>
      </c>
      <c r="B57" s="3" t="inlineStr">
        <is>
          <t>Bobimixyn (Polymyxin B) (BOB01)</t>
        </is>
      </c>
      <c r="C57" s="7" t="inlineStr">
        <is>
          <t>High</t>
        </is>
      </c>
      <c r="D57" s="3" t="inlineStr">
        <is>
          <t>Contraindication/warning</t>
        </is>
      </c>
      <c r="E57" s="3" t="inlineStr"/>
      <c r="F57" s="3" t="inlineStr">
        <is>
          <t>Add myasthenia gravis contraindication (TW §4)</t>
        </is>
      </c>
      <c r="G57" s="3" t="inlineStr">
        <is>
          <t>Hypersensitivity to polymyxin B or any component only</t>
        </is>
      </c>
      <c r="H57" s="3" t="inlineStr">
        <is>
          <t>TW §4 also contraindicates myasthenia gravis (重症肌無力病人，不得使用本藥品).</t>
        </is>
      </c>
      <c r="I57" s="3" t="inlineStr">
        <is>
          <t>Taiwan insert §4 禁忌</t>
        </is>
      </c>
      <c r="J57" s="3" t="inlineStr">
        <is>
          <t>Open</t>
        </is>
      </c>
      <c r="K57" s="3" t="inlineStr"/>
    </row>
    <row r="58">
      <c r="A58" s="3" t="n">
        <v>658</v>
      </c>
      <c r="B58" s="3" t="inlineStr">
        <is>
          <t>Bobimixyn (Polymyxin B) (BOB01)</t>
        </is>
      </c>
      <c r="C58" s="7" t="inlineStr">
        <is>
          <t>High</t>
        </is>
      </c>
      <c r="D58" s="3" t="inlineStr">
        <is>
          <t>Dosing – adult</t>
        </is>
      </c>
      <c r="E58" s="3" t="inlineStr"/>
      <c r="F58" s="3" t="inlineStr">
        <is>
          <t>Mark loading/30,000 U/kg/day regimen as consensus off-label; state label max 25,000 U/kg/day</t>
        </is>
      </c>
      <c r="G58" s="3" t="inlineStr">
        <is>
          <t>LD 20,000–25,000 units/kg, then 12,500–15,000 units/kg q12h; 'pharmacokinetic data do not support routine dose capping'</t>
        </is>
      </c>
      <c r="H58" s="3" t="inlineStr">
        <is>
          <t>The Taiwan insert and US label both give 15,000–25,000 units/kg/day q12h with a maximum of 25,000 units/kg/day. The hospital's maintenance dose (25,000–30,000 units/kg/day) plus the loading dose goes above the label maximum. These are consensus values (R15/R16) and are not marked as off-label.</t>
        </is>
      </c>
      <c r="I58" s="3" t="inlineStr">
        <is>
          <t>TW insert 3.1; US label Adults and children; Tsuji 2019 R15/R16</t>
        </is>
      </c>
      <c r="J58" s="3" t="inlineStr">
        <is>
          <t>Open</t>
        </is>
      </c>
      <c r="K58" s="3" t="inlineStr"/>
    </row>
    <row r="59">
      <c r="A59" s="3" t="n">
        <v>667</v>
      </c>
      <c r="B59" s="3" t="inlineStr">
        <is>
          <t>Bobimixyn (Polymyxin B) (BOB01)</t>
        </is>
      </c>
      <c r="C59" s="7" t="inlineStr">
        <is>
          <t>High</t>
        </is>
      </c>
      <c r="D59" s="3" t="inlineStr">
        <is>
          <t>Dosing – adult</t>
        </is>
      </c>
      <c r="E59" s="3" t="inlineStr"/>
      <c r="F59" s="3" t="inlineStr">
        <is>
          <t>Label dose 15,000-25,000 U/kg/day (max 25,000); mark consensus loading/higher doses as off-label</t>
        </is>
      </c>
      <c r="G59" s="3" t="inlineStr">
        <is>
          <t>LD 20,000–25,000 units/kg, then 12,500–15,000 units/kg q12h (25,000–30,000 units/kg/day); no routine dose cap</t>
        </is>
      </c>
      <c r="H59" s="3" t="inlineStr">
        <is>
          <t>TW §3.1 and US label: 15,000–25,000 units/kg/day q12h, 'maximum 25,000 units/kg/day'. Neither label has a loading dose. The hospital regimen is the 2019 consensus (R15–R16) and is above the label maximum, but the hospital page does not say it is off-label.</t>
        </is>
      </c>
      <c r="I59" s="3" t="inlineStr">
        <is>
          <t>Taiwan insert §3.1 (URL above); US label Dosage https://dailymed.nlm.nih.gov/dailymed/drugInfo.cfm?setid=b56f18c0-ef5e-4ed9-a5af-f79f3cd189b6</t>
        </is>
      </c>
      <c r="J59" s="3" t="inlineStr">
        <is>
          <t>Open</t>
        </is>
      </c>
      <c r="K59" s="3" t="inlineStr"/>
    </row>
    <row r="60">
      <c r="A60" s="3" t="n">
        <v>660</v>
      </c>
      <c r="B60" s="3" t="inlineStr">
        <is>
          <t>Bobimixyn (Polymyxin B) (BOB01)</t>
        </is>
      </c>
      <c r="C60" s="7" t="inlineStr">
        <is>
          <t>High</t>
        </is>
      </c>
      <c r="D60" s="3" t="inlineStr">
        <is>
          <t>Dosing – pediatric</t>
        </is>
      </c>
      <c r="E60" s="3" t="inlineStr"/>
      <c r="F60" s="3" t="inlineStr">
        <is>
          <t>Replace pediatric regimen with US label 15,000-25,000 U/kg/day; note TW adults only</t>
        </is>
      </c>
      <c r="G60" s="3" t="inlineStr">
        <is>
          <t>Pediatric IV regimen: LD 25,000 units/kg; maintenance 25,000–30,000 units/kg/day divided q12h</t>
        </is>
      </c>
      <c r="H60" s="3" t="inlineStr">
        <is>
          <t>The Taiwan insert indication covers adults only, and section 6.4 has no paediatric information. The US label gives 15,000–25,000 units/kg/day IV (maximum 25,000) for children and up to 40,000 units/kg/day for infants, with no loading dose. The hospital regimen is not from either label.</t>
        </is>
      </c>
      <c r="I60" s="3" t="inlineStr">
        <is>
          <t>TW insert 2, 6.4; US label Adults and children / Infants</t>
        </is>
      </c>
      <c r="J60" s="3" t="inlineStr">
        <is>
          <t>Open</t>
        </is>
      </c>
      <c r="K60" s="3" t="inlineStr"/>
    </row>
    <row r="61">
      <c r="A61" s="3" t="n">
        <v>671</v>
      </c>
      <c r="B61" s="3" t="inlineStr">
        <is>
          <t>Bobimixyn (Polymyxin B) (BOB01)</t>
        </is>
      </c>
      <c r="C61" s="7" t="inlineStr">
        <is>
          <t>High</t>
        </is>
      </c>
      <c r="D61" s="3" t="inlineStr">
        <is>
          <t>Dosing – pediatric</t>
        </is>
      </c>
      <c r="E61" s="3" t="inlineStr"/>
      <c r="F61" s="3" t="inlineStr">
        <is>
          <t>Mark adult-only (TW); align peds to US 15,000–25,000 U/kg/day (infants ≤40,000), remove loading dose</t>
        </is>
      </c>
      <c r="G61" s="3" t="inlineStr">
        <is>
          <t>Infants/children/adolescents: LD 25,000 units/kg; 25,000–30,000 units/kg/day ÷ q12h (range 15,000–40,000)</t>
        </is>
      </c>
      <c r="H61" s="3" t="inlineStr">
        <is>
          <t>TW insert: the indication is for adults only (§2), with no pediatric information (§6.4). The US label gives 15,000–25,000 units/kg/day (max 25,000) for children and up to 40,000 units/kg/day for infants, with no loading dose. The hospital's 25,000–30,000 units/kg/day for children is above the US maximum.</t>
        </is>
      </c>
      <c r="I61" s="3" t="inlineStr">
        <is>
          <t>Taiwan insert §2, §6.4; US label Dosage (Adults and children; Infants)</t>
        </is>
      </c>
      <c r="J61" s="3" t="inlineStr">
        <is>
          <t>Open</t>
        </is>
      </c>
      <c r="K61" s="3" t="inlineStr"/>
    </row>
    <row r="62">
      <c r="A62" s="3" t="n">
        <v>656</v>
      </c>
      <c r="B62" s="3" t="inlineStr">
        <is>
          <t>Bobimixyn (Polymyxin B) (BOB01)</t>
        </is>
      </c>
      <c r="C62" s="7" t="inlineStr">
        <is>
          <t>High</t>
        </is>
      </c>
      <c r="D62" s="3" t="inlineStr">
        <is>
          <t>Dosing – renal/dialysis</t>
        </is>
      </c>
      <c r="E62" s="3" t="inlineStr"/>
      <c r="F62" s="3" t="inlineStr">
        <is>
          <t>Replace 'no adjustment' with label: adjust dose by renal function, monitor closely (TW 3.3/6.7, US)</t>
        </is>
      </c>
      <c r="G62" s="3" t="inlineStr">
        <is>
          <t>No dosage adjustment is necessary for any degree of kidney dysfunction</t>
        </is>
      </c>
      <c r="H62" s="3" t="inlineStr">
        <is>
          <t>The Taiwan insert for this product gives no adjustment only for CrCl 60–89. For CrCl 15–59 and ESRD it says to choose the dose carefully by renal function within 15,000–25,000 units/kg/day (3.3), and section 6.7 says the dose needs adjusting with more frequent renal monitoring. The US label says to reduce from 15,000 units/kg downward. The hospital's wording follows the 2019 consensus (R17), not the label.</t>
        </is>
      </c>
      <c r="I62" s="3" t="inlineStr">
        <is>
          <t>TW insert 3.3, 6.7 — https://mcp.fda.gov.tw/im_detail_1/%E8%A1%9B%E9%83%A8%E8%97%A5%E8%A3%BD%E5%AD%97%E7%AC%AC061557%E8%99%9F; US label (Adults and children) — https://dailymed.nlm.nih.gov/dailymed/drugInfo.cfm?setid=b56f18c0-ef5e-4ed9-a5af-f79f3cd189b6</t>
        </is>
      </c>
      <c r="J62" s="3" t="inlineStr">
        <is>
          <t>Open</t>
        </is>
      </c>
      <c r="K62" s="3" t="inlineStr"/>
    </row>
    <row r="63">
      <c r="A63" s="3" t="n">
        <v>668</v>
      </c>
      <c r="B63" s="3" t="inlineStr">
        <is>
          <t>Bobimixyn (Polymyxin B) (BOB01)</t>
        </is>
      </c>
      <c r="C63" s="7" t="inlineStr">
        <is>
          <t>High</t>
        </is>
      </c>
      <c r="D63" s="3" t="inlineStr">
        <is>
          <t>Dosing – renal/dialysis</t>
        </is>
      </c>
      <c r="E63" s="3" t="inlineStr"/>
      <c r="F63" s="3" t="inlineStr">
        <is>
          <t>Replace 'no adjustment' with label renal dose-adjustment and monitoring advice</t>
        </is>
      </c>
      <c r="G63" s="3" t="inlineStr">
        <is>
          <t>No dosage adjustment for any degree of kidney dysfunction</t>
        </is>
      </c>
      <c r="H63" s="3" t="inlineStr">
        <is>
          <t>TW §3.3: CLcr 15–59 and ESRD keep 15,000–25,000 units/kg/day but '宜考量病患腎功能謹慎選擇劑量'. TW §6.7 says the dose needs adjusting and renal function needs closer monitoring. US label: reduce from 15,000 units/kg downward. Only the 2019 consensus (R17) says no adjustment.</t>
        </is>
      </c>
      <c r="I63" s="3" t="inlineStr">
        <is>
          <t>Taiwan insert §3.3, §6.7; US label Boxed WARNING/Dosage</t>
        </is>
      </c>
      <c r="J63" s="3" t="inlineStr">
        <is>
          <t>Open</t>
        </is>
      </c>
      <c r="K63" s="3" t="inlineStr"/>
    </row>
    <row r="64">
      <c r="A64" s="3" t="n">
        <v>271</v>
      </c>
      <c r="B64" s="3" t="inlineStr">
        <is>
          <t>Brosym (cefoperazone-sulbactam) (BRO04, BUR01)</t>
        </is>
      </c>
      <c r="C64" s="7" t="inlineStr">
        <is>
          <t>High</t>
        </is>
      </c>
      <c r="D64" s="3" t="inlineStr">
        <is>
          <t>Administration/compatibility</t>
        </is>
      </c>
      <c r="E64" s="3" t="inlineStr"/>
      <c r="F64" s="3" t="inlineStr">
        <is>
          <t>Remove IM; IV push ≥3 min or IV infusion only per TW insert</t>
        </is>
      </c>
      <c r="G64" s="3" t="inlineStr">
        <is>
          <t>(IV, IM) The total adult daily dose is 1g/1g to 2g/2g…</t>
        </is>
      </c>
      <c r="H64" s="3" t="inlineStr">
        <is>
          <t>IV push (≥3 min) or IV infusion only: '只限靜脈注射，不可皮下及肌肉注射'</t>
        </is>
      </c>
      <c r="I64" s="3" t="inlineStr">
        <is>
          <t>Brosym TW insert §3.1 &amp; §15(3) — https://mcp.fda.gov.tw/im_detail_1/%E8%A1%9B%E9%83%A8%E8%97%A5%E8%A3%BD%E5%AD%97%E7%AC%AC058156%E8%99%9F</t>
        </is>
      </c>
      <c r="J64" s="3" t="inlineStr">
        <is>
          <t>Open</t>
        </is>
      </c>
      <c r="K64" s="3" t="inlineStr"/>
    </row>
    <row r="65">
      <c r="A65" s="3" t="n">
        <v>278</v>
      </c>
      <c r="B65" s="3" t="inlineStr">
        <is>
          <t>Brosym (cefoperazone-sulbactam) (BRO04, BUR01)</t>
        </is>
      </c>
      <c r="C65" s="7" t="inlineStr">
        <is>
          <t>High</t>
        </is>
      </c>
      <c r="D65" s="3" t="inlineStr">
        <is>
          <t>Administration/compatibility</t>
        </is>
      </c>
      <c r="E65" s="3" t="inlineStr"/>
      <c r="F65" s="3" t="inlineStr">
        <is>
          <t>Remove IM route; IV only (push ≥3 min or infusion)</t>
        </is>
      </c>
      <c r="G65" s="3" t="inlineStr">
        <is>
          <t>Usual dose: (IV, IM)</t>
        </is>
      </c>
      <c r="H65" s="3" t="inlineStr">
        <is>
          <t>IV push (≥3 min) or IV infusion only; '只限靜脈注射，不可皮下及肌肉注射'</t>
        </is>
      </c>
      <c r="I65" s="3" t="inlineStr">
        <is>
          <t>TFDA insert Brosym §3.1, §15 其他 (3)</t>
        </is>
      </c>
      <c r="J65" s="3" t="inlineStr">
        <is>
          <t>Open</t>
        </is>
      </c>
      <c r="K65" s="3" t="inlineStr"/>
    </row>
    <row r="66">
      <c r="A66" s="3" t="n">
        <v>275</v>
      </c>
      <c r="B66" s="3" t="inlineStr">
        <is>
          <t>Brosym (cefoperazone-sulbactam) (BRO04, BUR01)</t>
        </is>
      </c>
      <c r="C66" s="7" t="inlineStr">
        <is>
          <t>High</t>
        </is>
      </c>
      <c r="D66" s="3" t="inlineStr">
        <is>
          <t>Drug interaction</t>
        </is>
      </c>
      <c r="E66" s="3" t="inlineStr">
        <is>
          <t>Interaction list incomplete</t>
        </is>
      </c>
      <c r="F66" s="3" t="inlineStr">
        <is>
          <t>Add disulfiram-like reaction: avoid alcohol during and ≥1 week after therapy</t>
        </is>
      </c>
      <c r="G66" s="3" t="inlineStr">
        <is>
          <t>Neither page mentions alcohol or a disulfiram-like reaction (grep for 酒/alcohol/disulfiram found 0 hits on either page).</t>
        </is>
      </c>
      <c r="H66" s="3" t="inlineStr">
        <is>
          <t>A disulfiram-like reaction with alcohol (N-MTT) is possible. No alcohol during treatment and for at least 1 week afterwards.</t>
        </is>
      </c>
      <c r="I66" s="3" t="inlineStr">
        <is>
          <t>Brosym TW insert §7 交互作用 — https://mcp.fda.gov.tw/im_detail_1/%E8%A1%9B%E9%83%A8%E8%97%A5%E8%A3%BD%E5%AD%97%E7%AC%AC058156%E8%99%9F</t>
        </is>
      </c>
      <c r="J66" s="3" t="inlineStr">
        <is>
          <t>Open</t>
        </is>
      </c>
      <c r="K66" s="3" t="inlineStr"/>
    </row>
    <row r="67">
      <c r="A67" s="3" t="n">
        <v>282</v>
      </c>
      <c r="B67" s="3" t="inlineStr">
        <is>
          <t>Brosym (cefoperazone-sulbactam) (BRO04, BUR01)</t>
        </is>
      </c>
      <c r="C67" s="7" t="inlineStr">
        <is>
          <t>High</t>
        </is>
      </c>
      <c r="D67" s="3" t="inlineStr">
        <is>
          <t>Drug interaction</t>
        </is>
      </c>
      <c r="E67" s="3" t="inlineStr">
        <is>
          <t>Interaction list incomplete</t>
        </is>
      </c>
      <c r="F67" s="3" t="inlineStr">
        <is>
          <t>Add disulfiram-like alcohol reaction (avoid ≥1 week after) and furosemide nephrotoxicity</t>
        </is>
      </c>
      <c r="G67" s="3" t="inlineStr">
        <is>
          <t>No mention of alcohol or the disulfiram-like reaction (text search for alcohol, disulfiram and 酒 found nothing on either page)</t>
        </is>
      </c>
      <c r="H67" s="3" t="inlineStr">
        <is>
          <t>TW 仿單 §7: disulfiram-like reaction (N-MTT); no alcohol during treatment and for at least 1 week after. Furosemide may increase nephrotoxicity.</t>
        </is>
      </c>
      <c r="I67" s="3" t="inlineStr">
        <is>
          <t>TFDA insert Brosym §7 交互作用; Burotam PDF §7 https://mcp.fda.gov.tw/insert/pdfcasefile/i_ae59ce8f-6bf8-4727-adf2-f5f34e067be1</t>
        </is>
      </c>
      <c r="J67" s="3" t="inlineStr">
        <is>
          <t>Open</t>
        </is>
      </c>
      <c r="K67" s="3" t="inlineStr"/>
    </row>
    <row r="68">
      <c r="A68" s="3" t="n">
        <v>270</v>
      </c>
      <c r="B68" s="3" t="inlineStr">
        <is>
          <t>Brosym (cefoperazone-sulbactam) (BRO04, BUR01)</t>
        </is>
      </c>
      <c r="C68" s="7" t="inlineStr">
        <is>
          <t>High</t>
        </is>
      </c>
      <c r="D68" s="3" t="inlineStr">
        <is>
          <t>Pharmacokinetics/other</t>
        </is>
      </c>
      <c r="E68" s="3" t="inlineStr"/>
      <c r="F68" s="3" t="inlineStr">
        <is>
          <t>Correct 2 g vial strength: cefoperazone 1 g + sulbactam 1 g</t>
        </is>
      </c>
      <c r="G68" s="3" t="inlineStr">
        <is>
          <t>powder for reconstitution: cefoperazone sodium 0.5 g and sulbactam sodium 0.5 g (on the 2 g/vial product pages)</t>
        </is>
      </c>
      <c r="H68" s="3" t="inlineStr">
        <is>
          <t>The 2 g vial contains cefoperazone sodium 1000 mg and sulbactam sodium 1000 mg. The 0.5 g/0.5 g strength is the 1 g vial.</t>
        </is>
      </c>
      <c r="I68" s="3" t="inlineStr">
        <is>
          <t>Brosym TW insert §1.1 — https://mcp.fda.gov.tw/im_detail_1/%E8%A1%9B%E9%83%A8%E8%97%A5%E8%A3%BD%E5%AD%97%E7%AC%AC058156%E8%99%9F; Burotam TW insert §1.1 — https://mcp.fda.gov.tw/im_detail_1/%E8%A1%9B%E9%83%A8%E8%97%A5%E8%A3%BD%E5%AD%97%E7%AC%AC061039%E8%99%9F</t>
        </is>
      </c>
      <c r="J68" s="3" t="inlineStr">
        <is>
          <t>Open</t>
        </is>
      </c>
      <c r="K68" s="3" t="inlineStr"/>
    </row>
    <row r="69">
      <c r="A69" s="3" t="n">
        <v>277</v>
      </c>
      <c r="B69" s="3" t="inlineStr">
        <is>
          <t>Brosym (cefoperazone-sulbactam) (BRO04, BUR01)</t>
        </is>
      </c>
      <c r="C69" s="7" t="inlineStr">
        <is>
          <t>High</t>
        </is>
      </c>
      <c r="D69" s="3" t="inlineStr">
        <is>
          <t>Pharmacokinetics/other</t>
        </is>
      </c>
      <c r="E69" s="3" t="inlineStr"/>
      <c r="F69" s="3" t="inlineStr">
        <is>
          <t>Correct 2 g vial strength to cefoperazone 1 g + sulbactam 1 g</t>
        </is>
      </c>
      <c r="G69" s="3" t="inlineStr">
        <is>
          <t>powder for reconstitution: cefoperazone sodium 0.5 g and sulbactam sodium 0.5 g (product listed as 2 g/Vial)</t>
        </is>
      </c>
      <c r="H69" s="3" t="inlineStr">
        <is>
          <t>2 g vial = cefoperazone sodium 1000 mg + sulbactam sodium 1000 mg; 0.5 g/0.5 g is the 1 g vial</t>
        </is>
      </c>
      <c r="I69" s="3" t="inlineStr">
        <is>
          <t>TFDA insert Brosym §1.1 https://mcp.fda.gov.tw/im_detail_1/%E8%A1%9B%E9%83%A8%E8%97%A5%E8%A3%BD%E5%AD%97%E7%AC%AC058156%E8%99%9F ; Burotam §1.1 https://mcp.fda.gov.tw/im_detail_1/%E8%A1%9B%E9%83%A8%E8%97%A5%E8%A3%BD%E5%AD%97%E7%AC%AC061039%E8%99%9F</t>
        </is>
      </c>
      <c r="J69" s="3" t="inlineStr">
        <is>
          <t>Open</t>
        </is>
      </c>
      <c r="K69" s="3" t="inlineStr"/>
    </row>
    <row r="70">
      <c r="A70" s="3" t="n">
        <v>466</v>
      </c>
      <c r="B70" s="3" t="inlineStr">
        <is>
          <t>Cefa (Cefazolin) (CEF01)</t>
        </is>
      </c>
      <c r="C70" s="7" t="inlineStr">
        <is>
          <t>High</t>
        </is>
      </c>
      <c r="D70" s="3" t="inlineStr">
        <is>
          <t>Dosing – pediatric</t>
        </is>
      </c>
      <c r="E70" s="3" t="inlineStr"/>
      <c r="F70" s="3" t="inlineStr">
        <is>
          <t>Label max 100 mg/kg/day; cite guideline source for 150 mg/kg/day or remove</t>
        </is>
      </c>
      <c r="G70" s="3" t="inlineStr">
        <is>
          <t>25–100 mg/kg/day q8h; up to 150 mg/kg/day for serious infection</t>
        </is>
      </c>
      <c r="H70" s="3" t="inlineStr">
        <is>
          <t>Label maximum is 100 mg/kg/day in 3–4 doses (US) or 2–4 doses (UK); TW gives 20–50 mg/kg/day. 150 mg/kg/day is off-label and needs a guideline source.</t>
        </is>
      </c>
      <c r="I70" s="3" t="inlineStr">
        <is>
          <t>US FDA label Pediatric Dosage – https://dailymed.nlm.nih.gov/dailymed/drugInfo.cfm?setid=922fb1a1-ad4c-4a12-8d5d-00fe13af18e8; UK SmPC §4.2 – https://www.medicines.org.uk/emc/product/102464/smpc</t>
        </is>
      </c>
      <c r="J70" s="3" t="inlineStr">
        <is>
          <t>Open</t>
        </is>
      </c>
      <c r="K70" s="3" t="inlineStr"/>
    </row>
    <row r="71">
      <c r="A71" s="3" t="n">
        <v>473</v>
      </c>
      <c r="B71" s="3" t="inlineStr">
        <is>
          <t>Cefa (Cefazolin) (CEF01)</t>
        </is>
      </c>
      <c r="C71" s="7" t="inlineStr">
        <is>
          <t>High</t>
        </is>
      </c>
      <c r="D71" s="3" t="inlineStr">
        <is>
          <t>Dosing – pediatric</t>
        </is>
      </c>
      <c r="E71" s="3" t="inlineStr"/>
      <c r="F71" s="3" t="inlineStr">
        <is>
          <t>Peds: 25–50 mg/kg/day, max 100 mg/kg/day; add neonatal restriction and pediatric renal table</t>
        </is>
      </c>
      <c r="G71" s="3" t="inlineStr">
        <is>
          <t>25-100 mg/kg/day divided q8h; serious infection up to 150 mg/kg/day q6-8h, not to exceed 12 g/day; usual max 2 g/dose</t>
        </is>
      </c>
      <c r="H71" s="3" t="inlineStr">
        <is>
          <t>Labels: 25-50 mg/kg/day in 3-4 doses (UK 2-4), up to 100 mg/kg/day for severe infection. No label supports 150 mg/kg/day. The neonatal (&lt;1 month) restriction and the pediatric renal table are missing.</t>
        </is>
      </c>
      <c r="I71" s="3" t="inlineStr">
        <is>
          <t>US PLR §2.2 Table 2, §2.4 Table 5, §8.4; UK SmPC §4.2; TW 仿單 §5.1 小兒使用</t>
        </is>
      </c>
      <c r="J71" s="3" t="inlineStr">
        <is>
          <t>Open</t>
        </is>
      </c>
      <c r="K71" s="3" t="inlineStr"/>
    </row>
    <row r="72">
      <c r="A72" s="3" t="n">
        <v>462</v>
      </c>
      <c r="B72" s="3" t="inlineStr">
        <is>
          <t>Cefa (Cefazolin) (CEF01)</t>
        </is>
      </c>
      <c r="C72" s="7" t="inlineStr">
        <is>
          <t>High</t>
        </is>
      </c>
      <c r="D72" s="3" t="inlineStr">
        <is>
          <t>Dosing – renal/dialysis</t>
        </is>
      </c>
      <c r="E72" s="3" t="inlineStr">
        <is>
          <t>Renal table outdated</t>
        </is>
      </c>
      <c r="F72" s="3" t="inlineStr">
        <is>
          <t>CrCl &lt;10: give loading dose, then half usual dose q18–24h (US/UK)</t>
        </is>
      </c>
      <c r="G72" s="3" t="inlineStr">
        <is>
          <t>0.5–1 g q24h</t>
        </is>
      </c>
      <c r="H72" s="3" t="inlineStr">
        <is>
          <t>Half the usual dose every 18–24 h, after a loading dose (US and UK). With a 1 g usual dose, 1 g q24h is not a half dose; the hospital gives a fixed q24h interval instead of q18–24h, and no loading dose is mentioned anywhere in the renal field.</t>
        </is>
      </c>
      <c r="I72" s="3" t="inlineStr">
        <is>
          <t>US FDA label DOSAGE AND ADMINISTRATION renal adjustment – https://dailymed.nlm.nih.gov/dailymed/drugInfo.cfm?setid=922fb1a1-ad4c-4a12-8d5d-00fe13af18e8; UK SmPC §4.2 – https://www.medicines.org.uk/emc/product/102464/smpc</t>
        </is>
      </c>
      <c r="J72" s="3" t="inlineStr">
        <is>
          <t>Open</t>
        </is>
      </c>
      <c r="K72" s="3" t="inlineStr"/>
    </row>
    <row r="73">
      <c r="A73" s="3" t="n">
        <v>464</v>
      </c>
      <c r="B73" s="3" t="inlineStr">
        <is>
          <t>Cefa (Cefazolin) (CEF01)</t>
        </is>
      </c>
      <c r="C73" s="7" t="inlineStr">
        <is>
          <t>High</t>
        </is>
      </c>
      <c r="D73" s="3" t="inlineStr">
        <is>
          <t>Dosing – renal/dialysis</t>
        </is>
      </c>
      <c r="E73" s="3" t="inlineStr">
        <is>
          <t>Renal table outdated</t>
        </is>
      </c>
      <c r="F73" s="3" t="inlineStr">
        <is>
          <t>Express renal table as fractions of usual dose so 2 g q8h regimens scale (e.g. 1 g q12h at CrCl 11–34)</t>
        </is>
      </c>
      <c r="G73" s="3" t="inlineStr">
        <is>
          <t>Renal table based on 1 g doses (CrCl &gt;55: 1 g q6–8h), while most treatment regimens use 2 g IV q8h</t>
        </is>
      </c>
      <c r="H73" s="3" t="inlineStr">
        <is>
          <t>The labels express renal dosing as a fraction of the usual dose (full, then ½ dose), so the table should scale from whatever dose is used. A patient on 2 g q8h with CrCl 11–34 would need 1 g q12h by label; the hospital table gives 0.5–1 g q12h. The tables do not line up.</t>
        </is>
      </c>
      <c r="I73" s="3" t="inlineStr">
        <is>
          <t>US FDA label renal adjustment – https://dailymed.nlm.nih.gov/dailymed/drugInfo.cfm?setid=922fb1a1-ad4c-4a12-8d5d-00fe13af18e8</t>
        </is>
      </c>
      <c r="J73" s="3" t="inlineStr">
        <is>
          <t>Open</t>
        </is>
      </c>
      <c r="K73" s="3" t="inlineStr"/>
    </row>
    <row r="74">
      <c r="A74" s="3" t="n">
        <v>470</v>
      </c>
      <c r="B74" s="3" t="inlineStr">
        <is>
          <t>Cefa (Cefazolin) (CEF01)</t>
        </is>
      </c>
      <c r="C74" s="7" t="inlineStr">
        <is>
          <t>High</t>
        </is>
      </c>
      <c r="D74" s="3" t="inlineStr">
        <is>
          <t>Dosing – renal/dialysis</t>
        </is>
      </c>
      <c r="E74" s="3" t="inlineStr">
        <is>
          <t>Renal table outdated</t>
        </is>
      </c>
      <c r="F74" s="3" t="inlineStr">
        <is>
          <t>State loading dose; base reductions on usual dose (incl. 2 g q8h), not fixed 1 g</t>
        </is>
      </c>
      <c r="G74" s="3" t="inlineStr">
        <is>
          <t>ClCr &gt;55: 1 g Q6-8H, and all reduced bands are expressed from a 1 g base</t>
        </is>
      </c>
      <c r="H74" s="3" t="inlineStr">
        <is>
          <t>CrCl ≥55: full usual dose (US Table 1 up to 1-1.5 g q6h; guideline MSSA 2 g q8h). Reductions are fractions of the usual dose, given after a loading dose. The fixed 1 g base conflicts with the 2 g q8h the same page uses for treatment, and there is no loading-dose statement.</t>
        </is>
      </c>
      <c r="I74" s="3" t="inlineStr">
        <is>
          <t>US FDA PLR label §2.1 Table 1, §2.4 Table 4 – https://dailymed.nlm.nih.gov/dailymed/drugInfo.cfm?setid=1367568c-7d27-479f-a4c5-58e99942f686; UK SmPC §4.2 – https://www.medicines.org.uk/emc/product/102464/smpc</t>
        </is>
      </c>
      <c r="J74" s="3" t="inlineStr">
        <is>
          <t>Open</t>
        </is>
      </c>
      <c r="K74" s="3" t="inlineStr"/>
    </row>
    <row r="75">
      <c r="A75" s="3" t="n">
        <v>472</v>
      </c>
      <c r="B75" s="3" t="inlineStr">
        <is>
          <t>Cefa (Cefazolin) (CEF01)</t>
        </is>
      </c>
      <c r="C75" s="7" t="inlineStr">
        <is>
          <t>High</t>
        </is>
      </c>
      <c r="D75" s="3" t="inlineStr">
        <is>
          <t>Dosing – renal/dialysis</t>
        </is>
      </c>
      <c r="E75" s="3" t="inlineStr">
        <is>
          <t>Renal table outdated</t>
        </is>
      </c>
      <c r="F75" s="3" t="inlineStr">
        <is>
          <t>Fix truncated CrCl ≤10 band: loading dose then half dose q18–24h; add HD/PD/CRRT guidance</t>
        </is>
      </c>
      <c r="G75" s="3" t="inlineStr">
        <is>
          <t>0.5-1 gm Q24H (page text is truncated after 'ClCr')</t>
        </is>
      </c>
      <c r="H75" s="3" t="inlineStr">
        <is>
          <t>Half of the usual dose every 18-24 h, after a loading dose. There is also no HD, PD or CRRT guidance.</t>
        </is>
      </c>
      <c r="I75" s="3" t="inlineStr">
        <is>
          <t>US PLR Table 4; UK SmPC §4.2</t>
        </is>
      </c>
      <c r="J75" s="3" t="inlineStr">
        <is>
          <t>Open</t>
        </is>
      </c>
      <c r="K75" s="3" t="inlineStr"/>
    </row>
    <row r="76">
      <c r="A76" s="3" t="n">
        <v>293</v>
      </c>
      <c r="B76" s="3" t="inlineStr">
        <is>
          <t>Cefin (Ceftriaxone) (CEF10)</t>
        </is>
      </c>
      <c r="C76" s="7" t="inlineStr">
        <is>
          <t>High</t>
        </is>
      </c>
      <c r="D76" s="3" t="inlineStr">
        <is>
          <t>Administration/compatibility</t>
        </is>
      </c>
      <c r="E76" s="3" t="inlineStr"/>
      <c r="F76" s="3" t="inlineStr">
        <is>
          <t>Verify against full 仿單; if IV-only product, remove IM route for CEF10</t>
        </is>
      </c>
      <c r="G76" s="3" t="inlineStr">
        <is>
          <t>IV, IVF and IM are all listed for CEF10 (Cefin 2 g).</t>
        </is>
      </c>
      <c r="H76" s="3" t="inlineStr">
        <is>
          <t>The stocked product is registered as 舒復靜脈注射劑, 'Cefin for IV injection'. The 仿單 使用方法 section, as transcribed, describes only IV injection over 2–4 min and IV infusion over at least 30 min. IM use with a lidocaine diluent is described in the FDA and UK labels for other products. This needs checking against the full 仿單 PDF, because the transcription is partial.</t>
        </is>
      </c>
      <c r="I76" s="3" t="inlineStr">
        <is>
          <t>Cefin 仿單 title and 2.2 使用方法 https://mcp.fda.gov.tw/insert/pdfcasefile/i_e5d33886-d20a-423d-9bc2-14ea9861a989</t>
        </is>
      </c>
      <c r="J76" s="3" t="inlineStr">
        <is>
          <t>Open</t>
        </is>
      </c>
      <c r="K76" s="3" t="inlineStr"/>
    </row>
    <row r="77">
      <c r="A77" s="3" t="n">
        <v>286</v>
      </c>
      <c r="B77" s="3" t="inlineStr">
        <is>
          <t>Cefin (Ceftriaxone) (CEF10)</t>
        </is>
      </c>
      <c r="C77" s="7" t="inlineStr">
        <is>
          <t>High</t>
        </is>
      </c>
      <c r="D77" s="3" t="inlineStr">
        <is>
          <t>Contraindication/warning</t>
        </is>
      </c>
      <c r="E77" s="3" t="inlineStr">
        <is>
          <t>Missing boxed warning</t>
        </is>
      </c>
      <c r="F77" s="3" t="inlineStr">
        <is>
          <t>Add contraindications: neonates ≤28 d needing IV calcium/TPN, premature neonates to PMA 41 wk, IV lidocaine diluent</t>
        </is>
      </c>
      <c r="G77" s="3" t="inlineStr">
        <is>
          <t>Hypersensitivity to ceftriaxone/cephalosporins; do not use in hyperbilirubinemic neonates</t>
        </is>
      </c>
      <c r="H77" s="3" t="inlineStr">
        <is>
          <t>The labels also contraindicate: neonates ≤28 days who need (or are expected to need) IV calcium, including TPN; premature neonates up to postmenstrual age 41 weeks (FDA, SmPC); IV use of lidocaine-containing solutions (FDA, SmPC); and, in the SmPC, severe hypersensitivity to any beta-lactam. The TW insert has a boxed calcium warning.</t>
        </is>
      </c>
      <c r="I77" s="3" t="inlineStr">
        <is>
          <t>US FDA CONTRAINDICATIONS https://dailymed.nlm.nih.gov/dailymed/drugInfo.cfm?setid=8351aa37-552d-471d-b293-c564dcb6ec29 ; UK SmPC 4.3 https://www.medicines.org.uk/emc/product/15077/smpc ; TW insert 2.3</t>
        </is>
      </c>
      <c r="J77" s="3" t="inlineStr">
        <is>
          <t>Open</t>
        </is>
      </c>
      <c r="K77" s="3" t="inlineStr"/>
    </row>
    <row r="78">
      <c r="A78" s="3" t="n">
        <v>294</v>
      </c>
      <c r="B78" s="3" t="inlineStr">
        <is>
          <t>Cefin (Ceftriaxone) (CEF10)</t>
        </is>
      </c>
      <c r="C78" s="7" t="inlineStr">
        <is>
          <t>High</t>
        </is>
      </c>
      <c r="D78" s="3" t="inlineStr">
        <is>
          <t>Contraindication/warning</t>
        </is>
      </c>
      <c r="E78" s="3" t="inlineStr">
        <is>
          <t>Missing boxed warning</t>
        </is>
      </c>
      <c r="F78" s="3" t="inlineStr">
        <is>
          <t>Add premature neonate and neonatal IV-calcium contraindications; severe beta-lactam allergy</t>
        </is>
      </c>
      <c r="G78" s="3" t="inlineStr">
        <is>
          <t>Hypersensitivity to ceftriaxone or other cephalosporins; do not use in hyperbilirubinemic neonates.</t>
        </is>
      </c>
      <c r="H78" s="3" t="inlineStr">
        <is>
          <t>All three labels also contraindicate premature neonates (FDA/SmPC: up to PMA 41 weeks; 仿單: 早產兒). They also contraindicate neonates ≤28 days who need or are expected to need IV calcium, including TPN. The site shows the calcium rule only as a mixing alert. The SmPC also contraindicates use after a severe hypersensitivity reaction to any other β-lactam.</t>
        </is>
      </c>
      <c r="I78" s="3" t="inlineStr">
        <is>
          <t>FDA CONTRAINDICATIONS; SmPC 4.3; 仿單 2.3</t>
        </is>
      </c>
      <c r="J78" s="3" t="inlineStr">
        <is>
          <t>Open</t>
        </is>
      </c>
      <c r="K78" s="3" t="inlineStr"/>
    </row>
    <row r="79">
      <c r="A79" s="3" t="n">
        <v>314</v>
      </c>
      <c r="B79" s="3" t="inlineStr">
        <is>
          <t>Cefmore (Cefoxitin) (CEF08)</t>
        </is>
      </c>
      <c r="C79" s="7" t="inlineStr">
        <is>
          <t>High</t>
        </is>
      </c>
      <c r="D79" s="3" t="inlineStr">
        <is>
          <t>Administration/compatibility</t>
        </is>
      </c>
      <c r="E79" s="3" t="inlineStr"/>
      <c r="F79" s="3" t="inlineStr">
        <is>
          <t>Replace 2.2 mL (IM, 1 g) with IV reconstitution for stocked 2 g vial (10–20 mL per US label)</t>
        </is>
      </c>
      <c r="G79" s="3" t="inlineStr">
        <is>
          <t>1g 裝小瓶（Vial）加 2.2ml的溶劑 (the stocked item is the 2 g vial)</t>
        </is>
      </c>
      <c r="H79" s="3" t="inlineStr">
        <is>
          <t>The TW insert gives no reconstitution volume. The US label constitutes 1 g with at least 10 mL and 2 g with 10 or 20 mL for IV use. Neither source supports 2.2 mL, which looks like IM reconstitution taken from another product, and it describes the 1 g vial although the 2 g vial is stocked.</t>
        </is>
      </c>
      <c r="I79" s="3" t="inlineStr">
        <is>
          <t>US FDA label Table 3 / Preparation of Solution; Taiwan insert (no reconstitution section)</t>
        </is>
      </c>
      <c r="J79" s="3" t="inlineStr">
        <is>
          <t>Open</t>
        </is>
      </c>
      <c r="K79" s="3" t="inlineStr"/>
    </row>
    <row r="80">
      <c r="A80" s="3" t="n">
        <v>300</v>
      </c>
      <c r="B80" s="3" t="inlineStr">
        <is>
          <t>Cefmore (Cefoxitin) (CEF08)</t>
        </is>
      </c>
      <c r="C80" s="7" t="inlineStr">
        <is>
          <t>High</t>
        </is>
      </c>
      <c r="D80" s="3" t="inlineStr">
        <is>
          <t>Dosing – adult</t>
        </is>
      </c>
      <c r="E80" s="3" t="inlineStr"/>
      <c r="F80" s="3" t="inlineStr">
        <is>
          <t>Severe infection: 1 g q4h or 2 g q6–8h; reserve 2 g q4h/3 g q6h for e.g. gas gangrene</t>
        </is>
      </c>
      <c r="G80" s="3" t="inlineStr">
        <is>
          <t>In severe infections: 2 g IV Q4H or 3 g IV Q6H</t>
        </is>
      </c>
      <c r="H80" s="3" t="inlineStr">
        <is>
          <t>Moderately severe or severe infections: 1 g q4h or 2 g q6-8h (6-8 g/day). 2 g q4h or 3 g q6h (12 g/day) is the tier for infections needing higher doses, e.g. gas gangrene.</t>
        </is>
      </c>
      <c r="I80" s="3" t="inlineStr">
        <is>
          <t>Taiwan 仿單 §3.1 table; US FDA label Table 1 – https://dailymed.nlm.nih.gov/dailymed/drugInfo.cfm?setid=658a0dc6-6da5-44dc-94f2-1211619297f7</t>
        </is>
      </c>
      <c r="J80" s="3" t="inlineStr">
        <is>
          <t>Open</t>
        </is>
      </c>
      <c r="K80" s="3" t="inlineStr"/>
    </row>
    <row r="81">
      <c r="A81" s="3" t="n">
        <v>308</v>
      </c>
      <c r="B81" s="3" t="inlineStr">
        <is>
          <t>Cefmore (Cefoxitin) (CEF08)</t>
        </is>
      </c>
      <c r="C81" s="7" t="inlineStr">
        <is>
          <t>High</t>
        </is>
      </c>
      <c r="D81" s="3" t="inlineStr">
        <is>
          <t>Dosing – adult</t>
        </is>
      </c>
      <c r="E81" s="3" t="inlineStr"/>
      <c r="F81" s="3" t="inlineStr">
        <is>
          <t>Severe: 1 g q4h or 2 g q6–8h; 12 g/day tier only for higher-dose infections</t>
        </is>
      </c>
      <c r="G81" s="3" t="inlineStr">
        <is>
          <t>In severe infections: 2 g IV Q4H or 3 g IV Q6H</t>
        </is>
      </c>
      <c r="H81" s="3" t="inlineStr">
        <is>
          <t>Moderately severe/severe: 1 g q4h or 2 g q6-8h (6-8 g/day). 2 g q4h or 3 g q6h (12 g/day) is the tier for infections needing higher doses, e.g., gas gangrene.</t>
        </is>
      </c>
      <c r="I81" s="3" t="inlineStr">
        <is>
          <t>Taiwan insert §3.1 table; US FDA label Table 1</t>
        </is>
      </c>
      <c r="J81" s="3" t="inlineStr">
        <is>
          <t>Open</t>
        </is>
      </c>
      <c r="K81" s="3" t="inlineStr"/>
    </row>
    <row r="82">
      <c r="A82" s="3" t="n">
        <v>301</v>
      </c>
      <c r="B82" s="3" t="inlineStr">
        <is>
          <t>Cefmore (Cefoxitin) (CEF08)</t>
        </is>
      </c>
      <c r="C82" s="7" t="inlineStr">
        <is>
          <t>High</t>
        </is>
      </c>
      <c r="D82" s="3" t="inlineStr">
        <is>
          <t>Dosing – renal/dialysis</t>
        </is>
      </c>
      <c r="E82" s="3" t="inlineStr">
        <is>
          <t>Renal table outdated</t>
        </is>
      </c>
      <c r="F82" s="3" t="inlineStr">
        <is>
          <t>Add 1–2 g loading dose, CrCl &lt;5 band 0.5–1 g q24–48h, HD loading after each session; escape '&lt;'</t>
        </is>
      </c>
      <c r="G82" s="3" t="inlineStr">
        <is>
          <t>Four rows. Row 4 is truncated on the web page and reads only 'ClCr', so the &lt;5 mL/min band is not shown (probably an HTML '&lt;' rendering bug). No loading dose and no haemodialysis instruction.</t>
        </is>
      </c>
      <c r="H82" s="3" t="inlineStr">
        <is>
          <t>Loading dose 1-2 g. CrCl &lt;5: 0.5-1 g q24-48h. HD: give the 1-2 g loading dose after each dialysis, then maintenance per table.</t>
        </is>
      </c>
      <c r="I82" s="3" t="inlineStr">
        <is>
          <t>US FDA label D&amp;A + Table 2; Taiwan 仿單 §3.3</t>
        </is>
      </c>
      <c r="J82" s="3" t="inlineStr">
        <is>
          <t>Open</t>
        </is>
      </c>
      <c r="K82" s="3" t="inlineStr"/>
    </row>
    <row r="83">
      <c r="A83" s="3" t="n">
        <v>310</v>
      </c>
      <c r="B83" s="3" t="inlineStr">
        <is>
          <t>Cefmore (Cefoxitin) (CEF08)</t>
        </is>
      </c>
      <c r="C83" s="7" t="inlineStr">
        <is>
          <t>High</t>
        </is>
      </c>
      <c r="D83" s="3" t="inlineStr">
        <is>
          <t>Dosing – renal/dialysis</t>
        </is>
      </c>
      <c r="E83" s="3" t="inlineStr">
        <is>
          <t>Renal table outdated</t>
        </is>
      </c>
      <c r="F83" s="3" t="inlineStr">
        <is>
          <t>Add loading dose, HD post-session dose, and CrCl &lt;5 band; fix '&lt;' rendering</t>
        </is>
      </c>
      <c r="G83" s="3" t="inlineStr">
        <is>
          <t>4 CrCl bands only. No loading dose and no hemodialysis guidance. The 4th line is stored as raw 'ClCr &lt;5 mL/minute' with an unescaped '&lt;', so a browser can drop it (the HTML-to-text view showed only '4. ClCr').</t>
        </is>
      </c>
      <c r="H83" s="3" t="inlineStr">
        <is>
          <t>Loading 1-2 g, then maintenance per table. On hemodialysis, give the 1-2 g loading dose after each session. CrCl &lt;5: 0.5-1 g q24-48h.</t>
        </is>
      </c>
      <c r="I83" s="3" t="inlineStr">
        <is>
          <t>US FDA label DOSAGE AND ADMINISTRATION (loading dose, hemodialysis, Table 2); Taiwan insert §3.3</t>
        </is>
      </c>
      <c r="J83" s="3" t="inlineStr">
        <is>
          <t>Open</t>
        </is>
      </c>
      <c r="K83" s="3" t="inlineStr"/>
    </row>
    <row r="84">
      <c r="A84" s="3" t="n">
        <v>483</v>
      </c>
      <c r="B84" s="3" t="inlineStr">
        <is>
          <t>Cephalexin (CEP02, ULE02)</t>
        </is>
      </c>
      <c r="C84" s="7" t="inlineStr">
        <is>
          <t>High</t>
        </is>
      </c>
      <c r="D84" s="3" t="inlineStr">
        <is>
          <t>Dosing – pediatric</t>
        </is>
      </c>
      <c r="E84" s="3" t="inlineStr"/>
      <c r="F84" s="3" t="inlineStr">
        <is>
          <t>Restore truncated otitis media dose: 75–100 mg/kg/day divided q6h</t>
        </is>
      </c>
      <c r="G84" s="3" t="inlineStr">
        <is>
          <t>'Acute otitis media: (Children &gt;1 year and Adolescents' and then stops. The dose text is missing (same '&lt;' truncation defect).</t>
        </is>
      </c>
      <c r="H84" s="3" t="inlineStr">
        <is>
          <t>Otitis media: 75–100 mg/kg/day in equally divided doses (q6h)</t>
        </is>
      </c>
      <c r="I84" s="3" t="inlineStr">
        <is>
          <t>US FDA label §2.2 https://dailymed.nlm.nih.gov/dailymed/drugInfo.cfm?setid=8e28f049-6110-4473-830f-c494191a7197</t>
        </is>
      </c>
      <c r="J84" s="3" t="inlineStr">
        <is>
          <t>Open</t>
        </is>
      </c>
      <c r="K84" s="3" t="inlineStr"/>
    </row>
    <row r="85">
      <c r="A85" s="3" t="n">
        <v>479</v>
      </c>
      <c r="B85" s="3" t="inlineStr">
        <is>
          <t>Cephalexin (CEP02, ULE02)</t>
        </is>
      </c>
      <c r="C85" s="7" t="inlineStr">
        <is>
          <t>High</t>
        </is>
      </c>
      <c r="D85" s="3" t="inlineStr">
        <is>
          <t>Dosing – renal/dialysis</t>
        </is>
      </c>
      <c r="E85" s="3" t="inlineStr">
        <is>
          <t>Renal table outdated</t>
        </is>
      </c>
      <c r="F85" s="3" t="inlineStr">
        <is>
          <t>Add CrCl 30–59 cap: max 1 g/day (US label)</t>
        </is>
      </c>
      <c r="G85" s="3" t="inlineStr">
        <is>
          <t>CrCl ≥30 mL/min: No dosage adjustment necessary</t>
        </is>
      </c>
      <c r="H85" s="3" t="inlineStr">
        <is>
          <t>CrCl 30–59: no adjustment, but the maximum daily dose should not exceed 1 g. The hospital's own 500 mg QID cellulitis regimen (2 g/day) would exceed this.</t>
        </is>
      </c>
      <c r="I85" s="3" t="inlineStr">
        <is>
          <t>US FDA label §2.3 Table 1 https://dailymed.nlm.nih.gov/dailymed/drugInfo.cfm?setid=8e28f049-6110-4473-830f-c494191a7197</t>
        </is>
      </c>
      <c r="J85" s="3" t="inlineStr">
        <is>
          <t>Open</t>
        </is>
      </c>
      <c r="K85" s="3" t="inlineStr"/>
    </row>
    <row r="86">
      <c r="A86" s="3" t="n">
        <v>480</v>
      </c>
      <c r="B86" s="3" t="inlineStr">
        <is>
          <t>Cephalexin (CEP02, ULE02)</t>
        </is>
      </c>
      <c r="C86" s="7" t="inlineStr">
        <is>
          <t>High</t>
        </is>
      </c>
      <c r="D86" s="3" t="inlineStr">
        <is>
          <t>Dosing – renal/dialysis</t>
        </is>
      </c>
      <c r="E86" s="3" t="inlineStr">
        <is>
          <t>Renal table outdated</t>
        </is>
      </c>
      <c r="F86" s="3" t="inlineStr">
        <is>
          <t>CrCl 15–29: 250 mg q8–12h (not up to 500 mg) per US label</t>
        </is>
      </c>
      <c r="G86" s="3" t="inlineStr">
        <is>
          <t>CrCl 15-30: 250 to 500 mg every 8 to 12 hours</t>
        </is>
      </c>
      <c r="H86" s="3" t="inlineStr">
        <is>
          <t>CrCl 15–29: 250 mg every 8 or 12 hours (the US label maximum is half the hospital's upper value)</t>
        </is>
      </c>
      <c r="I86" s="3" t="inlineStr">
        <is>
          <t>US FDA label §2.3 Table 1 https://dailymed.nlm.nih.gov/dailymed/drugInfo.cfm?setid=8e28f049-6110-4473-830f-c494191a7197</t>
        </is>
      </c>
      <c r="J86" s="3" t="inlineStr">
        <is>
          <t>Open</t>
        </is>
      </c>
      <c r="K86" s="3" t="inlineStr"/>
    </row>
    <row r="87">
      <c r="A87" s="3" t="n">
        <v>481</v>
      </c>
      <c r="B87" s="3" t="inlineStr">
        <is>
          <t>Cephalexin (CEP02, ULE02)</t>
        </is>
      </c>
      <c r="C87" s="7" t="inlineStr">
        <is>
          <t>High</t>
        </is>
      </c>
      <c r="D87" s="3" t="inlineStr">
        <is>
          <t>Dosing – renal/dialysis</t>
        </is>
      </c>
      <c r="E87" s="3" t="inlineStr">
        <is>
          <t>Renal table outdated</t>
        </is>
      </c>
      <c r="F87" s="3" t="inlineStr">
        <is>
          <t>Restore truncated &lt;15 band: CrCl 5–14 250 mg q24h; CrCl 1–4 250 mg q48–60h</t>
        </is>
      </c>
      <c r="G87" s="3" t="inlineStr">
        <is>
          <t>Line reads '3. CrCl ' and then stops. The '&lt;15' threshold and its dose are lost (rendering/encoding defect).</t>
        </is>
      </c>
      <c r="H87" s="3" t="inlineStr">
        <is>
          <t>CrCl 5–14 not on dialysis: 250 mg q24h; CrCl 1–4 not on dialysis: 250 mg q48–60h</t>
        </is>
      </c>
      <c r="I87" s="3" t="inlineStr">
        <is>
          <t>US FDA label §2.3 Table 1 https://dailymed.nlm.nih.gov/dailymed/drugInfo.cfm?setid=8e28f049-6110-4473-830f-c494191a7197</t>
        </is>
      </c>
      <c r="J87" s="3" t="inlineStr">
        <is>
          <t>Open</t>
        </is>
      </c>
      <c r="K87" s="3" t="inlineStr"/>
    </row>
    <row r="88">
      <c r="A88" s="3" t="n">
        <v>482</v>
      </c>
      <c r="B88" s="3" t="inlineStr">
        <is>
          <t>Cephalexin (CEP02, ULE02)</t>
        </is>
      </c>
      <c r="C88" s="7" t="inlineStr">
        <is>
          <t>High</t>
        </is>
      </c>
      <c r="D88" s="3" t="inlineStr">
        <is>
          <t>Dosing – renal/dialysis</t>
        </is>
      </c>
      <c r="E88" s="3" t="inlineStr">
        <is>
          <t>Renal table outdated</t>
        </is>
      </c>
      <c r="F88" s="3" t="inlineStr">
        <is>
          <t>HD/PD: cap at 500 mg/day (UK); note US has insufficient data</t>
        </is>
      </c>
      <c r="G88" s="3" t="inlineStr">
        <is>
          <t>HD: 250 to 500 mg every 12 to 24 hours, after HD; PD: 250 to 500 mg every 12 to 24 hours (up to 1 g/day)</t>
        </is>
      </c>
      <c r="H88" s="3" t="inlineStr">
        <is>
          <t>US: insufficient information to recommend an HD dose. UK SmPC 4.4: if dialysis is required, the daily dose should not exceed 500 mg. The hospital's upper value (1 g/day) is twice the UK maximum.</t>
        </is>
      </c>
      <c r="I88" s="3" t="inlineStr">
        <is>
          <t>US FDA label §2.3 footnote https://dailymed.nlm.nih.gov/dailymed/drugInfo.cfm?setid=8e28f049-6110-4473-830f-c494191a7197 ; UK SmPC §4.4 https://www.medicines.org.uk/emc/product/9144/smpc</t>
        </is>
      </c>
      <c r="J88" s="3" t="inlineStr">
        <is>
          <t>Open</t>
        </is>
      </c>
      <c r="K88" s="3" t="inlineStr"/>
    </row>
    <row r="89">
      <c r="A89" s="3" t="n">
        <v>486</v>
      </c>
      <c r="B89" s="3" t="inlineStr">
        <is>
          <t>Cephalexin (CEP02, ULE02)</t>
        </is>
      </c>
      <c r="C89" s="7" t="inlineStr">
        <is>
          <t>High</t>
        </is>
      </c>
      <c r="D89" s="3" t="inlineStr">
        <is>
          <t>Dosing – renal/dialysis</t>
        </is>
      </c>
      <c r="E89" s="3" t="inlineStr">
        <is>
          <t>Renal table outdated</t>
        </is>
      </c>
      <c r="F89" s="3" t="inlineStr">
        <is>
          <t>Populate ULE02 renal field with CrCl tiers; note no hepatic adjustment</t>
        </is>
      </c>
      <c r="G89" s="3" t="inlineStr">
        <is>
          <t>腎功能調整劑量 and 肝功能調整劑量 are empty</t>
        </is>
      </c>
      <c r="H89" s="3" t="inlineStr">
        <is>
          <t>Renal dosing exists: Ulexin insert 6.7 (lower safe dose in significant impairment) and the US Table 1 CrCl tiers. Hepatic: no label adjustment.</t>
        </is>
      </c>
      <c r="I89" s="3" t="inlineStr">
        <is>
          <t>TW insert Ulexin §6.7 https://mcp.fda.gov.tw/im_detail_1/衛署藥製字第017280號 ; US FDA label §2.3 https://dailymed.nlm.nih.gov/dailymed/drugInfo.cfm?setid=8e28f049-6110-4473-830f-c494191a7197</t>
        </is>
      </c>
      <c r="J89" s="3" t="inlineStr">
        <is>
          <t>Open</t>
        </is>
      </c>
      <c r="K89" s="3" t="inlineStr"/>
    </row>
    <row r="90">
      <c r="A90" s="3" t="n">
        <v>493</v>
      </c>
      <c r="B90" s="3" t="inlineStr">
        <is>
          <t>Cephalexin (CEP02, ULE02)</t>
        </is>
      </c>
      <c r="C90" s="7" t="inlineStr">
        <is>
          <t>High</t>
        </is>
      </c>
      <c r="D90" s="3" t="inlineStr">
        <is>
          <t>Dosing – renal/dialysis</t>
        </is>
      </c>
      <c r="E90" s="3" t="inlineStr">
        <is>
          <t>Renal table outdated</t>
        </is>
      </c>
      <c r="F90" s="3" t="inlineStr">
        <is>
          <t>Add max 1 g/day cap for CrCl 30–59</t>
        </is>
      </c>
      <c r="G90" s="3" t="inlineStr">
        <is>
          <t>'CrCl ≥30 mL/minute: No dosage adjustment necessary.'</t>
        </is>
      </c>
      <c r="H90" s="3" t="inlineStr">
        <is>
          <t>For CrCl 30–59 the US label gives no adjustment but a maximum of 1 g/day. The hospital text leaves out this cap.</t>
        </is>
      </c>
      <c r="I90" s="3" t="inlineStr">
        <is>
          <t>US FDA label 2.3 Table 1 — https://dailymed.nlm.nih.gov/dailymed/drugInfo.cfm?setid=8e28f049-6110-4473-830f-c494191a7197</t>
        </is>
      </c>
      <c r="J90" s="3" t="inlineStr">
        <is>
          <t>Open</t>
        </is>
      </c>
      <c r="K90" s="3" t="inlineStr"/>
    </row>
    <row r="91">
      <c r="A91" s="3" t="n">
        <v>494</v>
      </c>
      <c r="B91" s="3" t="inlineStr">
        <is>
          <t>Cephalexin (CEP02, ULE02)</t>
        </is>
      </c>
      <c r="C91" s="7" t="inlineStr">
        <is>
          <t>High</t>
        </is>
      </c>
      <c r="D91" s="3" t="inlineStr">
        <is>
          <t>Dosing – renal/dialysis</t>
        </is>
      </c>
      <c r="E91" s="3" t="inlineStr">
        <is>
          <t>Renal table outdated</t>
        </is>
      </c>
      <c r="F91" s="3" t="inlineStr">
        <is>
          <t>CrCl 15–29: 250 mg q8h or q12h; remove 500 mg/dose</t>
        </is>
      </c>
      <c r="G91" s="3" t="inlineStr">
        <is>
          <t>'CrCl 15-30 mL/minute: 250 to 500 mg every 8 to 12 hours.'</t>
        </is>
      </c>
      <c r="H91" s="3" t="inlineStr">
        <is>
          <t>US label: CrCl 15–29 → 250 mg q8h or q12h. 500 mg per dose is above the label.</t>
        </is>
      </c>
      <c r="I91" s="3" t="inlineStr">
        <is>
          <t>US FDA label 2.3 Table 1 — https://dailymed.nlm.nih.gov/dailymed/drugInfo.cfm?setid=8e28f049-6110-4473-830f-c494191a7197</t>
        </is>
      </c>
      <c r="J91" s="3" t="inlineStr">
        <is>
          <t>Open</t>
        </is>
      </c>
      <c r="K91" s="3" t="inlineStr"/>
    </row>
    <row r="92">
      <c r="A92" s="3" t="n">
        <v>495</v>
      </c>
      <c r="B92" s="3" t="inlineStr">
        <is>
          <t>Cephalexin (CEP02, ULE02)</t>
        </is>
      </c>
      <c r="C92" s="7" t="inlineStr">
        <is>
          <t>High</t>
        </is>
      </c>
      <c r="D92" s="3" t="inlineStr">
        <is>
          <t>Dosing – renal/dialysis</t>
        </is>
      </c>
      <c r="E92" s="3" t="inlineStr">
        <is>
          <t>Renal table outdated</t>
        </is>
      </c>
      <c r="F92" s="3" t="inlineStr">
        <is>
          <t>Fix garbled &lt;15 tier: CrCl 5–14 250 mg q24h; 1–4 250 mg q48–60h</t>
        </is>
      </c>
      <c r="G92" s="3" t="inlineStr">
        <is>
          <t>Garbled line '3. CrCl Hemodialysis, intermittent…': the '&lt;15' threshold and its dose are missing.</t>
        </is>
      </c>
      <c r="H92" s="3" t="inlineStr">
        <is>
          <t>US label: CrCl 5–14 (not on dialysis) 250 mg q24h; CrCl 1–4 250 mg q48–60h.</t>
        </is>
      </c>
      <c r="I92" s="3" t="inlineStr">
        <is>
          <t>US FDA label 2.3 Table 1 — https://dailymed.nlm.nih.gov/dailymed/drugInfo.cfm?setid=8e28f049-6110-4473-830f-c494191a7197</t>
        </is>
      </c>
      <c r="J92" s="3" t="inlineStr">
        <is>
          <t>Open</t>
        </is>
      </c>
      <c r="K92" s="3" t="inlineStr"/>
    </row>
    <row r="93">
      <c r="A93" s="3" t="n">
        <v>496</v>
      </c>
      <c r="B93" s="3" t="inlineStr">
        <is>
          <t>Cephalexin (CEP02, ULE02)</t>
        </is>
      </c>
      <c r="C93" s="7" t="inlineStr">
        <is>
          <t>High</t>
        </is>
      </c>
      <c r="D93" s="3" t="inlineStr">
        <is>
          <t>Dosing – renal/dialysis</t>
        </is>
      </c>
      <c r="E93" s="3" t="inlineStr">
        <is>
          <t>Renal table outdated</t>
        </is>
      </c>
      <c r="F93" s="3" t="inlineStr">
        <is>
          <t>HD/PD: limit to ≤500 mg/day (UK); note US insufficient HD data</t>
        </is>
      </c>
      <c r="G93" s="3" t="inlineStr">
        <is>
          <t>'Dialyzable (50%) 250 to 500 mg every 12 to 24 hours; administer after hemodialysis on dialysis days'; PD '250 to 500 mg every 12 to 24 hours'</t>
        </is>
      </c>
      <c r="H93" s="3" t="inlineStr">
        <is>
          <t>US label: insufficient information to recommend a dose on haemodialysis. UK SmPC: if dialysis is required, the daily dose should not exceed 500 mg. The hospital's 500 mg q12h (1 g/day) exceeds the UK cap.</t>
        </is>
      </c>
      <c r="I93" s="3" t="inlineStr">
        <is>
          <t>US FDA label 2.3 footnote — https://dailymed.nlm.nih.gov/dailymed/drugInfo.cfm?setid=8e28f049-6110-4473-830f-c494191a7197 ; UK SmPC 4.4 — https://www.medicines.org.uk/emc/product/9144/smpc</t>
        </is>
      </c>
      <c r="J93" s="3" t="inlineStr">
        <is>
          <t>Open</t>
        </is>
      </c>
      <c r="K93" s="3" t="inlineStr"/>
    </row>
    <row r="94">
      <c r="A94" s="3" t="n">
        <v>498</v>
      </c>
      <c r="B94" s="3" t="inlineStr">
        <is>
          <t>Cephalexin (CEP02, ULE02)</t>
        </is>
      </c>
      <c r="C94" s="7" t="inlineStr">
        <is>
          <t>High</t>
        </is>
      </c>
      <c r="D94" s="3" t="inlineStr">
        <is>
          <t>Dosing – renal/dialysis</t>
        </is>
      </c>
      <c r="E94" s="3" t="inlineStr">
        <is>
          <t>Renal table outdated</t>
        </is>
      </c>
      <c r="F94" s="3" t="inlineStr">
        <is>
          <t>Fill ULE02 renal field with US CrCl tiers; state no hepatic adjustment</t>
        </is>
      </c>
      <c r="G94" s="3" t="inlineStr">
        <is>
          <t>Both fields are empty.</t>
        </is>
      </c>
      <c r="H94" s="3" t="inlineStr">
        <is>
          <t>The Ulexin insert says significant renal impairment may need a lower dose. US Table 1 gives numbers (adults and ≥15 y; no data under 15 y). No hepatic adjustment is labelled.</t>
        </is>
      </c>
      <c r="I94" s="3" t="inlineStr">
        <is>
          <t>TW 仿單 Ulexin 6.7; US FDA label 2.3 — https://dailymed.nlm.nih.gov/dailymed/drugInfo.cfm?setid=8e28f049-6110-4473-830f-c494191a7197</t>
        </is>
      </c>
      <c r="J94" s="3" t="inlineStr">
        <is>
          <t>Open</t>
        </is>
      </c>
      <c r="K94" s="3" t="inlineStr"/>
    </row>
    <row r="95">
      <c r="A95" s="3" t="n">
        <v>517</v>
      </c>
      <c r="B95" s="3" t="inlineStr">
        <is>
          <t>Cexime (Cefixime) (CEX02)</t>
        </is>
      </c>
      <c r="C95" s="7" t="inlineStr">
        <is>
          <t>High</t>
        </is>
      </c>
      <c r="D95" s="3" t="inlineStr">
        <is>
          <t>Dosing – renal/dialysis</t>
        </is>
      </c>
      <c r="E95" s="3" t="inlineStr">
        <is>
          <t>Renal table outdated</t>
        </is>
      </c>
      <c r="F95" s="3" t="inlineStr">
        <is>
          <t>Fix garbled CrCl text; add CrCl 21–59/HD 260 mg/day, ≤20/CAPD ~172 mg/day (US)</t>
        </is>
      </c>
      <c r="G95" s="3" t="inlineStr">
        <is>
          <t>'CrCl &gt;20 to CrCl ≤20 mL/minute: 200 mg once daily. Hemodialysis, intermittent: 300 mg once daily. Peritoneal dialysis: 200 mg once daily.'</t>
        </is>
      </c>
      <c r="H95" s="3" t="inlineStr">
        <is>
          <t>US: normal dose if CrCl ≥60. CrCl 21–59 or HD: 260 mg/day. CrCl ≤20 or CAPD: 172 mg/day. UK: normal dose if CrCl ≥20; ≤200 mg once daily if CrCl &lt;20 or on CAPD/HD. TW: reduce dose or extend interval in severe impairment. The hospital's CrCl range is garbled and leaves out the 21–59 tier. Its HD dose of 300 mg/day matches neither the US 260 mg nor the UK ≤200 mg.</t>
        </is>
      </c>
      <c r="I95" s="3" t="inlineStr">
        <is>
          <t>Lupin cefixime suspension §2.3 Table 2 https://dailymed.nlm.nih.gov/dailymed/drugInfo.cfm?setid=6d68dbd9-7d75-4ff1-91db-79ff8ae879ec; UK SmPC §4.2 https://www.medicines.org.uk/emc/product/15047/smpc</t>
        </is>
      </c>
      <c r="J95" s="3" t="inlineStr">
        <is>
          <t>Open</t>
        </is>
      </c>
      <c r="K95" s="3" t="inlineStr"/>
    </row>
    <row r="96">
      <c r="A96" s="3" t="n">
        <v>523</v>
      </c>
      <c r="B96" s="3" t="inlineStr">
        <is>
          <t>Cexime (Cefixime) (CEX02)</t>
        </is>
      </c>
      <c r="C96" s="7" t="inlineStr">
        <is>
          <t>High</t>
        </is>
      </c>
      <c r="D96" s="3" t="inlineStr">
        <is>
          <t>Dosing – renal/dialysis</t>
        </is>
      </c>
      <c r="E96" s="3" t="inlineStr">
        <is>
          <t>Renal table outdated</t>
        </is>
      </c>
      <c r="F96" s="3" t="inlineStr">
        <is>
          <t>Fix garbled CrCl range; add 21–59 tier; correct HD 300 mg to 260 mg (US) or ≤200 mg (UK)</t>
        </is>
      </c>
      <c r="G96" s="3" t="inlineStr">
        <is>
          <t>CrCl≥60: no adjustment; 'CrCl &gt;20 to CrCl ≤20 mL/minute: 200 mg once daily'; Hemodialysis 300 mg once daily; Peritoneal dialysis 200 mg once daily</t>
        </is>
      </c>
      <c r="H96" s="3" t="inlineStr">
        <is>
          <t>US (Lupin Table 2): CrCl 21–59 or HD 260 mg/day; CrCl ≤20 or CAPD ≈172–176 mg/day. UK: CrCl ≥20 normal dose; &lt;20, CAPD or HD ≤200 mg once daily. 仿單: reduce dose or extend interval in severe impairment (no numbers). The hospital's CrCl range is garbled, its CrCl 21–59 tier is missing, and its HD dose of 300 mg/day matches neither the US 260 mg nor the UK ≤200 mg.</t>
        </is>
      </c>
      <c r="I96" s="3" t="inlineStr">
        <is>
          <t>https://dailymed.nlm.nih.gov/dailymed/drugInfo.cfm?setid=6d68dbd9-7d75-4ff1-91db-79ff8ae879ec ; https://www.medicines.org.uk/emc/product/15047/smpc</t>
        </is>
      </c>
      <c r="J96" s="3" t="inlineStr">
        <is>
          <t>Open</t>
        </is>
      </c>
      <c r="K96" s="3" t="inlineStr"/>
    </row>
    <row r="97">
      <c r="A97" s="3" t="n">
        <v>504</v>
      </c>
      <c r="B97" s="3" t="inlineStr">
        <is>
          <t>Claforan (Cefotaxime) (CLA01)</t>
        </is>
      </c>
      <c r="C97" s="7" t="inlineStr">
        <is>
          <t>High</t>
        </is>
      </c>
      <c r="D97" s="3" t="inlineStr">
        <is>
          <t>Dosing – pediatric</t>
        </is>
      </c>
      <c r="E97" s="3" t="inlineStr"/>
      <c r="F97" s="3" t="inlineStr">
        <is>
          <t>Peds: 50–100 mg/kg/day (150–200 severe); neonates 50 mg/kg q12h (0–7 d)/q8h (8–28 d)</t>
        </is>
      </c>
      <c r="G97" s="3" t="inlineStr">
        <is>
          <t>100–200 mg/kg/day given in 2–4 doses (50 mg/kg for neonates)</t>
        </is>
      </c>
      <c r="H97" s="3" t="inlineStr">
        <is>
          <t>仿單: usual 50–100 mg/kg/day in 2–4 doses, raised to 150–200 only for very severe infection; preterm ≤50 mg/kg/day. US FDA: neonates 50 mg/kg q12h (0–7 d) or q8h (8–28 d); 29 d–12 y 50–180 mg/kg/day in 4–6 doses. The hospital's lower limit is twice the usual label dose, and its neonatal dose gives no interval.</t>
        </is>
      </c>
      <c r="I97" s="3" t="inlineStr">
        <is>
          <t>Taiwan 仿單 嬰兒及兒童/早產兒/表2; US FDA DOSAGE AND ADMINISTRATION Pediatric patients</t>
        </is>
      </c>
      <c r="J97" s="3" t="inlineStr">
        <is>
          <t>Open</t>
        </is>
      </c>
      <c r="K97" s="3" t="inlineStr"/>
    </row>
    <row r="98">
      <c r="A98" s="3" t="n">
        <v>513</v>
      </c>
      <c r="B98" s="3" t="inlineStr">
        <is>
          <t>Claforan (Cefotaxime) (CLA01)</t>
        </is>
      </c>
      <c r="C98" s="7" t="inlineStr">
        <is>
          <t>High</t>
        </is>
      </c>
      <c r="D98" s="3" t="inlineStr">
        <is>
          <t>Dosing – pediatric</t>
        </is>
      </c>
      <c r="E98" s="3" t="inlineStr"/>
      <c r="F98" s="3" t="inlineStr">
        <is>
          <t>Peds: start 50 mg/kg/day; add neonatal intervals and preterm ≤50 mg/kg/day</t>
        </is>
      </c>
      <c r="G98" s="3" t="inlineStr">
        <is>
          <t>100–200 mg/kg/day in 2–4 doses (50 mg/kg for neonates)</t>
        </is>
      </c>
      <c r="H98" s="3" t="inlineStr">
        <is>
          <t>The labels start lower: 仿單 50–100 mg/kg/day in 2–4 doses (150–200 only in severe infection); FDA 50–180 mg/kg/day in 4–6 doses; SmPC 50–150 (up to 200). The neonatal dose needs an interval: 50 mg/kg q12h (0–7 d) / q8h (8–28 d). Premature infants ≤50 mg/kg/day (仿單/SmPC) is not mentioned.</t>
        </is>
      </c>
      <c r="I98" s="3" t="inlineStr">
        <is>
          <t>TW 仿單 [用法與用量]; FDA D&amp;A Pediatric; SmPC 4.2</t>
        </is>
      </c>
      <c r="J98" s="3" t="inlineStr">
        <is>
          <t>Open</t>
        </is>
      </c>
      <c r="K98" s="3" t="inlineStr"/>
    </row>
    <row r="99">
      <c r="A99" s="3" t="n">
        <v>500</v>
      </c>
      <c r="B99" s="3" t="inlineStr">
        <is>
          <t>Claforan (Cefotaxime) (CLA01)</t>
        </is>
      </c>
      <c r="C99" s="7" t="inlineStr">
        <is>
          <t>High</t>
        </is>
      </c>
      <c r="D99" s="3" t="inlineStr">
        <is>
          <t>Dosing – renal/dialysis</t>
        </is>
      </c>
      <c r="E99" s="3" t="inlineStr">
        <is>
          <t>Renal table outdated</t>
        </is>
      </c>
      <c r="F99" s="3" t="inlineStr">
        <is>
          <t>Replace interval-extension bands: halve dose at same interval only if CrCl &lt;10 (after 1 g load)</t>
        </is>
      </c>
      <c r="G99" s="3" t="inlineStr">
        <is>
          <t>ClCr &gt;50: 0.5–2 g q8–12h; ClCr 10–50: 0.5–2 g q12–24h; ClCr &lt;10: q24h (interval-extension bands)</t>
        </is>
      </c>
      <c r="H99" s="3" t="inlineStr">
        <is>
          <t>Taiwan 仿單 for the stocked product: CrCl &lt;10 mL/min → 1 g loading dose, then halve the maintenance dose with the interval unchanged (e.g. 1 g q12h→0.5 g q12h). US FDA: halve the dose if CrCl &lt;20 mL/min/1.73m². UK SmPC: CrCl ≤5 → halve, same frequency. No label lengthens the interval or adjusts the dose at CrCl 10–50.</t>
        </is>
      </c>
      <c r="I99" s="3" t="inlineStr">
        <is>
          <t>Taiwan 仿單 腎功能不全病人的劑量 https://mcp.fda.gov.tw/insert/pdfcasefile/i_87c58fb4-a2c8-4280-9aca-5335cfc901eb; US FDA PRECAUTIONS General https://dailymed.nlm.nih.gov/dailymed/drugInfo.cfm?setid=434fb630-c8d6-4583-b3ee-8e4ba6552c3d; UK SmPC 4.2 https://www.medicines.org.uk/emc/product/100184/smpc</t>
        </is>
      </c>
      <c r="J99" s="3" t="inlineStr">
        <is>
          <t>Open</t>
        </is>
      </c>
      <c r="K99" s="3" t="inlineStr"/>
    </row>
    <row r="100">
      <c r="A100" s="3" t="n">
        <v>508</v>
      </c>
      <c r="B100" s="3" t="inlineStr">
        <is>
          <t>Claforan (Cefotaxime) (CLA01)</t>
        </is>
      </c>
      <c r="C100" s="7" t="inlineStr">
        <is>
          <t>High</t>
        </is>
      </c>
      <c r="D100" s="3" t="inlineStr">
        <is>
          <t>Dosing – renal/dialysis</t>
        </is>
      </c>
      <c r="E100" s="3" t="inlineStr">
        <is>
          <t>Renal table outdated</t>
        </is>
      </c>
      <c r="F100" s="3" t="inlineStr">
        <is>
          <t>Remove CrCl 10–50 interval extension; halve dose same interval only in severe impairment; HD 1–2 g/day post-HD</t>
        </is>
      </c>
      <c r="G100" s="3" t="inlineStr">
        <is>
          <t>CrCl-banded regimen with interval extension: &gt;50: 0.5–2 g q8–12h; 10–50: 0.5–2 g q12–24h; &lt;10: q24h</t>
        </is>
      </c>
      <c r="H100" s="3" t="inlineStr">
        <is>
          <t>No adjustment until severe impairment, then halve the dose at the SAME interval: 仿單 CrCl &lt;10 (GFR &lt;5) after a 1 g load; FDA CrCl &lt;20 mL/min/1.73m²; SmPC CrCl ≤5. HD 1–2 g/day after dialysis (仿單). The hospital's q12–24h at CrCl 10–50 can underdose: CRRT/AKI PK data show dose reduction risks subtherapeutic levels (Koedijk 2016).</t>
        </is>
      </c>
      <c r="I100" s="3" t="inlineStr">
        <is>
          <t>TW 仿單 [用法與用量] 腎功能不全; FDA PRECAUTIONS General; SmPC 4.2</t>
        </is>
      </c>
      <c r="J100" s="3" t="inlineStr">
        <is>
          <t>Open</t>
        </is>
      </c>
      <c r="K100" s="3" t="inlineStr"/>
    </row>
    <row r="101">
      <c r="A101" s="3" t="n">
        <v>7</v>
      </c>
      <c r="B101" s="3" t="inlineStr">
        <is>
          <t>Colistin (COL04)</t>
        </is>
      </c>
      <c r="C101" s="7" t="inlineStr">
        <is>
          <t>High</t>
        </is>
      </c>
      <c r="D101" s="3" t="inlineStr">
        <is>
          <t>Dosing – adult</t>
        </is>
      </c>
      <c r="E101" s="3" t="inlineStr"/>
      <c r="F101" s="3" t="inlineStr">
        <is>
          <t>Correct strength: 2 MIU ≈ 66.8 mg CBA ≈ 160 mg CMS; label units explicitly</t>
        </is>
      </c>
      <c r="G101" s="3" t="inlineStr">
        <is>
          <t>"Sodium Colistin Methanesulfonate 66.6 mg (2 MIU)/Vial"</t>
        </is>
      </c>
      <c r="H101" s="3" t="inlineStr">
        <is>
          <t>2 MIU ≈ 66.8 mg colistin base activity (CBA) ≈ 160 mg CMS. 66.6 vs 66.8 also inconsistent</t>
        </is>
      </c>
      <c r="I101" s="3" t="inlineStr">
        <is>
          <t>UK SmPC conversion table</t>
        </is>
      </c>
      <c r="J101" s="3" t="inlineStr">
        <is>
          <t>Open</t>
        </is>
      </c>
      <c r="K101" s="3" t="inlineStr"/>
    </row>
    <row r="102">
      <c r="A102" s="3" t="n">
        <v>5</v>
      </c>
      <c r="B102" s="3" t="inlineStr">
        <is>
          <t>Colistin (COL04)</t>
        </is>
      </c>
      <c r="C102" s="7" t="inlineStr">
        <is>
          <t>High</t>
        </is>
      </c>
      <c r="D102" s="3" t="inlineStr">
        <is>
          <t>Dosing – renal/dialysis</t>
        </is>
      </c>
      <c r="E102" s="3" t="inlineStr">
        <is>
          <t>Renal table outdated</t>
        </is>
      </c>
      <c r="F102" s="3" t="inlineStr">
        <is>
          <t>Fix severe renal row: 1.5 mg/kg every 36 h for CrCl 10–29 (not per day/100 mg)</t>
        </is>
      </c>
      <c r="G102" s="3" t="inlineStr">
        <is>
          <t>"1.5 mg/kg/day OR 100 mg/day, every 36 hours"</t>
        </is>
      </c>
      <c r="H102" s="3" t="inlineStr">
        <is>
          <t>**1.5 mg/kg every 36 hours** (≈1 mg/kg/day), CrCl 10–29</t>
        </is>
      </c>
      <c r="I102" s="3" t="inlineStr">
        <is>
          <t>US label (Coly-Mycin M), Dosage table</t>
        </is>
      </c>
      <c r="J102" s="3" t="inlineStr">
        <is>
          <t>Open</t>
        </is>
      </c>
      <c r="K102" s="3" t="inlineStr"/>
    </row>
    <row r="103">
      <c r="A103" s="3" t="n">
        <v>331</v>
      </c>
      <c r="B103" s="3" t="inlineStr">
        <is>
          <t>Cravit (levofloxacin) (CRA03, LEV08)</t>
        </is>
      </c>
      <c r="C103" s="7" t="inlineStr">
        <is>
          <t>High</t>
        </is>
      </c>
      <c r="D103" s="3" t="inlineStr">
        <is>
          <t>Adverse effects</t>
        </is>
      </c>
      <c r="E103" s="3" t="inlineStr">
        <is>
          <t>Missing boxed warning</t>
        </is>
      </c>
      <c r="F103" s="3" t="inlineStr">
        <is>
          <t>Add FQ boxed warnings: tendon rupture, neuropathy, CNS, MG, QT, aortic aneurysm, hepatotoxicity, dysglycemia</t>
        </is>
      </c>
      <c r="G103" s="3" t="inlineStr">
        <is>
          <t>GI upset, headache, insomnia, dizziness (the Chinese note mentions tendinitis and dysglycaemia)</t>
        </is>
      </c>
      <c r="H103" s="3" t="inlineStr">
        <is>
          <t>Boxed-warning and W&amp;P FQ class risks are missing: tendinitis/rupture, peripheral neuropathy (may be irreversible), CNS/psychiatric effects, MG exacerbation, QT prolongation, aortic aneurysm/dissection, hepatotoxicity, dysglycemia</t>
        </is>
      </c>
      <c r="I103" s="3" t="inlineStr">
        <is>
          <t>US FDA label sec 5.1–5.13; Taiwan 仿單 特殊警語 (衛授食字第1141411455號)</t>
        </is>
      </c>
      <c r="J103" s="3" t="inlineStr">
        <is>
          <t>Open</t>
        </is>
      </c>
      <c r="K103" s="3" t="inlineStr"/>
    </row>
    <row r="104">
      <c r="A104" s="3" t="n">
        <v>340</v>
      </c>
      <c r="B104" s="3" t="inlineStr">
        <is>
          <t>Cravit (levofloxacin) (CRA03, LEV08)</t>
        </is>
      </c>
      <c r="C104" s="7" t="inlineStr">
        <is>
          <t>High</t>
        </is>
      </c>
      <c r="D104" s="3" t="inlineStr">
        <is>
          <t>Adverse effects</t>
        </is>
      </c>
      <c r="E104" s="3" t="inlineStr">
        <is>
          <t>Missing boxed warning</t>
        </is>
      </c>
      <c r="F104" s="3" t="inlineStr">
        <is>
          <t>Add FQ boxed/TFDA warnings: tendinopathy, neuropathy, CNS/psychiatric, MG, QT, aortic, dysglycaemia</t>
        </is>
      </c>
      <c r="G104" s="3" t="inlineStr">
        <is>
          <t>Nausea, headache, diarrhea, insomnia, dizziness, and constipation</t>
        </is>
      </c>
      <c r="H104" s="3" t="inlineStr">
        <is>
          <t>Leaves out the boxed and TFDA-mandated FQ warnings: tendinitis/rupture, peripheral neuropathy, CNS/psychiatric effects, MG exacerbation, QT prolongation, aortic aneurysm/dissection, dysglycaemia (FDA 5.1–5.13; TFDA 衛授食字第1141411455號)</t>
        </is>
      </c>
      <c r="I104" s="3" t="inlineStr">
        <is>
          <t>https://dailymed.nlm.nih.gov/dailymed/drugInfo.cfm?setid=5a65b2bc-9edc-f193-e063-6394a90a0104</t>
        </is>
      </c>
      <c r="J104" s="3" t="inlineStr">
        <is>
          <t>Open</t>
        </is>
      </c>
      <c r="K104" s="3" t="inlineStr"/>
    </row>
    <row r="105">
      <c r="A105" s="3" t="n">
        <v>333</v>
      </c>
      <c r="B105" s="3" t="inlineStr">
        <is>
          <t>Cravit (levofloxacin) (CRA03, LEV08)</t>
        </is>
      </c>
      <c r="C105" s="7" t="inlineStr">
        <is>
          <t>High</t>
        </is>
      </c>
      <c r="D105" s="3" t="inlineStr">
        <is>
          <t>Contraindication/warning</t>
        </is>
      </c>
      <c r="E105" s="3" t="inlineStr"/>
      <c r="F105" s="3" t="inlineStr">
        <is>
          <t>Add contraindications: epilepsy, prior FQ tendinopathy, pregnancy, breastfeeding (children &lt;18 UK)</t>
        </is>
      </c>
      <c r="G105" s="3" t="inlineStr">
        <is>
          <t>Not reported in the brief's summary of the monograph (not independently re-checked)</t>
        </is>
      </c>
      <c r="H105" s="3" t="inlineStr">
        <is>
          <t>Taiwan inserts and UK SmPC: epilepsy, history of FQ-related tendinopathy, pregnancy, breastfeeding (SmPC also children &lt;18 y)</t>
        </is>
      </c>
      <c r="I105" s="3" t="inlineStr">
        <is>
          <t>Taiwan 仿單 Cravit sec 4; P.L. 750 mg sec 4; UK SmPC 4.3</t>
        </is>
      </c>
      <c r="J105" s="3" t="inlineStr">
        <is>
          <t>Open</t>
        </is>
      </c>
      <c r="K105" s="3" t="inlineStr"/>
    </row>
    <row r="106">
      <c r="A106" s="3" t="n">
        <v>339</v>
      </c>
      <c r="B106" s="3" t="inlineStr">
        <is>
          <t>Cravit (levofloxacin) (CRA03, LEV08)</t>
        </is>
      </c>
      <c r="C106" s="7" t="inlineStr">
        <is>
          <t>High</t>
        </is>
      </c>
      <c r="D106" s="3" t="inlineStr">
        <is>
          <t>Contraindication/warning</t>
        </is>
      </c>
      <c r="E106" s="3" t="inlineStr"/>
      <c r="F106" s="3" t="inlineStr">
        <is>
          <t>Add contraindications: epilepsy, FQ tendinopathy history, pregnancy, breastfeeding</t>
        </is>
      </c>
      <c r="G106" s="3" t="inlineStr">
        <is>
          <t>Hypersensitivity to levofloxacin, other fluoroquinolones</t>
        </is>
      </c>
      <c r="H106" s="3" t="inlineStr">
        <is>
          <t>Taiwan inserts (Cravit tab/IV sec 4; P.L. 750 sec 4) also contraindicate use in epilepsy, a history of FQ-related tendinopathy, pregnancy and breastfeeding</t>
        </is>
      </c>
      <c r="I106" s="3" t="inlineStr">
        <is>
          <t>https://mcp.fda.gov.tw/im_detail_1/%E8%A1%9B%E7%BD%B2%E8%97%A5%E8%A3%BD%E5%AD%97%E7%AC%AC057839%E8%99%9F</t>
        </is>
      </c>
      <c r="J106" s="3" t="inlineStr">
        <is>
          <t>Open</t>
        </is>
      </c>
      <c r="K106" s="3" t="inlineStr"/>
    </row>
    <row r="107">
      <c r="A107" s="3" t="n">
        <v>336</v>
      </c>
      <c r="B107" s="3" t="inlineStr">
        <is>
          <t>Cravit (levofloxacin) (CRA03, LEV08)</t>
        </is>
      </c>
      <c r="C107" s="7" t="inlineStr">
        <is>
          <t>High</t>
        </is>
      </c>
      <c r="D107" s="3" t="inlineStr">
        <is>
          <t>Dosing – adult</t>
        </is>
      </c>
      <c r="E107" s="3" t="inlineStr"/>
      <c r="F107" s="3" t="inlineStr">
        <is>
          <t>Skin: cSSSI 750 mg QD 7–14 d; uSSSI 500 mg QD 7–10 d; 5-day course only CAP/ABS/cUTI</t>
        </is>
      </c>
      <c r="G107" s="3" t="inlineStr">
        <is>
          <t>'pneumonia, sinusitis, and skin infections－750 mg QD for 5 days'</t>
        </is>
      </c>
      <c r="H107" s="3" t="inlineStr">
        <is>
          <t>FDA Table 1 and P.L. 750 仿單 3.1: cSSSI 750 mg QD ×7–14 d; uncomplicated SSSI 500 mg QD ×7–10 d. The 5-day 750 mg course applies only to CAP, ABS and cUTI/AP</t>
        </is>
      </c>
      <c r="I107" s="3" t="inlineStr">
        <is>
          <t>https://dailymed.nlm.nih.gov/dailymed/drugInfo.cfm?setid=5a65b2bc-9edc-f193-e063-6394a90a0104 ; https://mcp.fda.gov.tw/im_detail_1/%E8%A1%9B%E7%BD%B2%E8%97%A5%E8%A3%BD%E5%AD%97%E7%AC%AC057839%E8%99%9F</t>
        </is>
      </c>
      <c r="J107" s="3" t="inlineStr">
        <is>
          <t>Open</t>
        </is>
      </c>
      <c r="K107" s="3" t="inlineStr"/>
    </row>
    <row r="108">
      <c r="A108" s="3" t="n">
        <v>327</v>
      </c>
      <c r="B108" s="3" t="inlineStr">
        <is>
          <t>Cravit (levofloxacin) (CRA03, LEV08)</t>
        </is>
      </c>
      <c r="C108" s="7" t="inlineStr">
        <is>
          <t>High</t>
        </is>
      </c>
      <c r="D108" s="3" t="inlineStr">
        <is>
          <t>Dosing – renal/dialysis</t>
        </is>
      </c>
      <c r="E108" s="3" t="inlineStr">
        <is>
          <t>Renal table outdated</t>
        </is>
      </c>
      <c r="F108" s="3" t="inlineStr">
        <is>
          <t>Restore full renal table (truncated): 750→q48h; 500→250 q24h/q48h; HD/CAPD rows</t>
        </is>
      </c>
      <c r="G108" s="3" t="inlineStr">
        <is>
          <t>Text is cut off mid-entry: '...Clcr 20~49 ml/min: 250m'</t>
        </is>
      </c>
      <c r="H108" s="3" t="inlineStr">
        <is>
          <t>Full table: US 750 mg q24h → 20–49: 750 mg q48h; 10–19/HD/CAPD: 750 ×1 then 500 mg q48h. 500 mg q24h → 20–49: 500 ×1 then 250 mg q24h; 10–19/HD/CAPD: 500 ×1 then 250 mg q48h.</t>
        </is>
      </c>
      <c r="I108" s="3" t="inlineStr">
        <is>
          <t>US FDA label sec 2.3 Table 3: https://dailymed.nlm.nih.gov/dailymed/drugInfo.cfm?setid=5a65b2bc-9edc-f193-e063-6394a90a0104</t>
        </is>
      </c>
      <c r="J108" s="3" t="inlineStr">
        <is>
          <t>Open</t>
        </is>
      </c>
      <c r="K108" s="3" t="inlineStr"/>
    </row>
    <row r="109">
      <c r="A109" s="3" t="n">
        <v>334</v>
      </c>
      <c r="B109" s="3" t="inlineStr">
        <is>
          <t>Cravit (levofloxacin) (CRA03, LEV08)</t>
        </is>
      </c>
      <c r="C109" s="7" t="inlineStr">
        <is>
          <t>High</t>
        </is>
      </c>
      <c r="D109" s="3" t="inlineStr">
        <is>
          <t>Dosing – renal/dialysis</t>
        </is>
      </c>
      <c r="E109" s="3" t="inlineStr">
        <is>
          <t>Renal table outdated</t>
        </is>
      </c>
      <c r="F109" s="3" t="inlineStr">
        <is>
          <t>Restore truncated renal text; US table for LEV08; TW 125 mg-step table for Cravit</t>
        </is>
      </c>
      <c r="G109" s="3" t="inlineStr">
        <is>
          <t>Text cut off mid-sentence: '...After an initial dose of 500mg QD, Clcr 20~49 ml/min: 250m'. The CRA01 Cravit IV entry has the full US-style text.</t>
        </is>
      </c>
      <c r="H109" s="3" t="inlineStr">
        <is>
          <t>Full US table (FDA 2.3 Table 3) for LEV08. For Cravit, the TFDA 仿單 sec 3.3 has the EU-style 125 mg-step table</t>
        </is>
      </c>
      <c r="I109" s="3" t="inlineStr">
        <is>
          <t>https://pharmacy.fjuh.fju.edu.tw/Key_Search/P4?query=CRA03 ; https://pharmacy.fjuh.fju.edu.tw/Key_Search/P4?query=LEV08 ; https://dailymed.nlm.nih.gov/dailymed/drugInfo.cfm?setid=5a65b2bc-9edc-f193-e063-6394a90a0104</t>
        </is>
      </c>
      <c r="J109" s="3" t="inlineStr">
        <is>
          <t>Open</t>
        </is>
      </c>
      <c r="K109" s="3" t="inlineStr"/>
    </row>
    <row r="110">
      <c r="A110" s="3" t="n">
        <v>181</v>
      </c>
      <c r="B110" s="3" t="inlineStr">
        <is>
          <t>Cresemba (Isavuconazonium) (CRE02, CRE03)</t>
        </is>
      </c>
      <c r="C110" s="7" t="inlineStr">
        <is>
          <t>High</t>
        </is>
      </c>
      <c r="D110" s="3" t="inlineStr">
        <is>
          <t>Administration/compatibility</t>
        </is>
      </c>
      <c r="E110" s="3" t="inlineStr"/>
      <c r="F110" s="3" t="inlineStr">
        <is>
          <t>Add mandatory 0.2–1.2 µm PES in-line filter; no bolus; no co-infusion</t>
        </is>
      </c>
      <c r="G110" s="3" t="inlineStr">
        <is>
          <t>Dilute in NS or D5W (≥250 mL), infuse over ≥1 h. No in-line filter mentioned.</t>
        </is>
      </c>
      <c r="H110" s="3" t="inlineStr">
        <is>
          <t>The infusion must be given through an in-line filter with a PES microporous membrane, pore size 0.2–1.2 µm. It must not be given as a bolus or with other IV drugs.</t>
        </is>
      </c>
      <c r="I110" s="3" t="inlineStr">
        <is>
          <t>Taiwan insert 027796 §3.1/§3.2; US FDA label §2.1/§2.5, https://dailymed.nlm.nih.gov/dailymed/drugInfo.cfm?setid=8f7f73b8-586a-4df0-935f-fecd4696c16c</t>
        </is>
      </c>
      <c r="J110" s="3" t="inlineStr">
        <is>
          <t>Open</t>
        </is>
      </c>
      <c r="K110" s="3" t="inlineStr"/>
    </row>
    <row r="111">
      <c r="A111" s="3" t="n">
        <v>190</v>
      </c>
      <c r="B111" s="3" t="inlineStr">
        <is>
          <t>Cresemba (Isavuconazonium) (CRE02, CRE03)</t>
        </is>
      </c>
      <c r="C111" s="7" t="inlineStr">
        <is>
          <t>High</t>
        </is>
      </c>
      <c r="D111" s="3" t="inlineStr">
        <is>
          <t>Administration/compatibility</t>
        </is>
      </c>
      <c r="E111" s="3" t="inlineStr"/>
      <c r="F111" s="3" t="inlineStr">
        <is>
          <t>Add PES in-line filter 0.2–1.2 µm; dedicated line; flush before/after</t>
        </is>
      </c>
      <c r="G111" s="3" t="inlineStr">
        <is>
          <t>IVD; NS/D5W ≥250 mL; ≥1 h (no filter mentioned)</t>
        </is>
      </c>
      <c r="H111" s="3" t="inlineStr">
        <is>
          <t>Taiwan injection insert §3.1/§3.2: the infusion must go through a PES in-line filter of 0.2–1.2 μm. Do not share the line with other infusions; flush with NS/D5W before and after.</t>
        </is>
      </c>
      <c r="I111" s="3" t="inlineStr">
        <is>
          <t>https://mcp.fda.gov.tw/im_detail_1/%E8%A1%9B%E9%83%A8%E8%97%A5%E8%BC%B8%E5%AD%97%E7%AC%AC027796%E8%99%9F</t>
        </is>
      </c>
      <c r="J111" s="3" t="inlineStr">
        <is>
          <t>Open</t>
        </is>
      </c>
      <c r="K111" s="3" t="inlineStr"/>
    </row>
    <row r="112">
      <c r="A112" s="3" t="n">
        <v>180</v>
      </c>
      <c r="B112" s="3" t="inlineStr">
        <is>
          <t>Cresemba (Isavuconazonium) (CRE02, CRE03)</t>
        </is>
      </c>
      <c r="C112" s="7" t="inlineStr">
        <is>
          <t>High</t>
        </is>
      </c>
      <c r="D112" s="3" t="inlineStr">
        <is>
          <t>Pharmacokinetics/other</t>
        </is>
      </c>
      <c r="E112" s="3" t="inlineStr"/>
      <c r="F112" s="3" t="inlineStr">
        <is>
          <t>Label strengths as isavuconazole base (200 mg vial = 372.6 mg sulfate); CRE03 is capsule</t>
        </is>
      </c>
      <c r="G112" s="3" t="inlineStr">
        <is>
          <t>'Isavuconazonium 針 200 mg' and 'Isavuconazonium 100mg tab', while the dose is written as 372 mg</t>
        </is>
      </c>
      <c r="H112" s="3" t="inlineStr">
        <is>
          <t>200 mg and 100 mg are isavuconazole (base). The vial contains 372.6 mg and each capsule 186.3 mg isavuconazonium sulfate. CRE03 is a hard capsule, not a tablet. Mixing the salt name with base strengths, and 372 mg doses with a '200 mg' product label, risks dosing errors.</t>
        </is>
      </c>
      <c r="I112" s="3" t="inlineStr">
        <is>
          <t>Taiwan insert 027796 §1.1, '每支小瓶含有 200 mg isavuconazole（相當於372.6 mg isavuconazonium sulfate）'; 027795 §1.1/§1.3, '每顆膠囊含有 100 mg isavuconazole（相當於 186.3 mg isavuconazonium sulfate）… 劑型 膠囊劑'</t>
        </is>
      </c>
      <c r="J112" s="3" t="inlineStr">
        <is>
          <t>Open</t>
        </is>
      </c>
      <c r="K112" s="3" t="inlineStr"/>
    </row>
    <row r="113">
      <c r="A113" s="3" t="n">
        <v>189</v>
      </c>
      <c r="B113" s="3" t="inlineStr">
        <is>
          <t>Cresemba (Isavuconazonium) (CRE02, CRE03)</t>
        </is>
      </c>
      <c r="C113" s="7" t="inlineStr">
        <is>
          <t>High</t>
        </is>
      </c>
      <c r="D113" s="3" t="inlineStr">
        <is>
          <t>Pharmacokinetics/other</t>
        </is>
      </c>
      <c r="E113" s="3" t="inlineStr"/>
      <c r="F113" s="3" t="inlineStr">
        <is>
          <t>Fix strength/salt naming (isavuconazole base vs sulfate) and CRE03 dosage form to capsule</t>
        </is>
      </c>
      <c r="G113" s="3" t="inlineStr">
        <is>
          <t>'Isavuconazonium 針 200 mg', 規格 200mg/vial; CRE03 規格 'Isavuconazonium 100mg tab' (劑型 Cap)</t>
        </is>
      </c>
      <c r="H113" s="3" t="inlineStr">
        <is>
          <t>The 200 mg and 100 mg figures are isavuconazole, not isavuconazonium. Per the Taiwan inserts §1.1, one vial = 200 mg isavuconazole (372.6 mg isavuconazonium sulfate) and one capsule = 100 mg isavuconazole (186 mg sulfate). CRE03 is a capsule, not a tablet.</t>
        </is>
      </c>
      <c r="I113" s="3" t="inlineStr">
        <is>
          <t>https://mcp.fda.gov.tw/im_detail_1/%E8%A1%9B%E9%83%A8%E8%97%A5%E8%BC%B8%E5%AD%97%E7%AC%AC027796%E8%99%9F ; https://mcp.fda.gov.tw/im_detail_1/%E8%A1%9B%E9%83%A8%E8%97%A5%E8%BC%B8%E5%AD%97%E7%AC%AC027795%E8%99%9F</t>
        </is>
      </c>
      <c r="J113" s="3" t="inlineStr">
        <is>
          <t>Open</t>
        </is>
      </c>
      <c r="K113" s="3" t="inlineStr"/>
    </row>
    <row r="114">
      <c r="A114" s="3" t="n">
        <v>348</v>
      </c>
      <c r="B114" s="3" t="inlineStr">
        <is>
          <t>Cubicin (Daptomycin) (CUB01)</t>
        </is>
      </c>
      <c r="C114" s="7" t="inlineStr">
        <is>
          <t>High</t>
        </is>
      </c>
      <c r="D114" s="3" t="inlineStr">
        <is>
          <t>Contraindication/warning</t>
        </is>
      </c>
      <c r="E114" s="3" t="inlineStr">
        <is>
          <t>Missing SCAR (SJS/TEN/DRESS)</t>
        </is>
      </c>
      <c r="F114" s="3" t="inlineStr">
        <is>
          <t>Add baseline/weekly CPK monitoring with stop thresholds; add eosinophilic pneumonia, DRESS, TIN, neuropathy</t>
        </is>
      </c>
      <c r="G114" s="3" t="inlineStr">
        <is>
          <t>Lists GI effects, anaemia, rash, itching, rhabdomyolysis and the statin warning; no CPK monitoring and no eosinophilic pneumonia</t>
        </is>
      </c>
      <c r="H114" s="3" t="inlineStr">
        <is>
          <t>All labels require baseline/weekly CPK monitoring with stop thresholds (&gt;1000 U/L with symptoms, &gt;2000 U/L without) and warn of eosinophilic pneumonia, DRESS, TIN and peripheral neuropathy. This is an omission rather than a direct contradiction.</t>
        </is>
      </c>
      <c r="I114" s="3" t="inlineStr">
        <is>
          <t>US FDA label §5.2–5.6; TW insert 警語及注意事項 5.1.2–5.1.6</t>
        </is>
      </c>
      <c r="J114" s="3" t="inlineStr">
        <is>
          <t>Open</t>
        </is>
      </c>
      <c r="K114" s="3" t="inlineStr"/>
    </row>
    <row r="115">
      <c r="A115" s="3" t="n">
        <v>355</v>
      </c>
      <c r="B115" s="3" t="inlineStr">
        <is>
          <t>Cubicin (Daptomycin) (CUB01)</t>
        </is>
      </c>
      <c r="C115" s="7" t="inlineStr">
        <is>
          <t>High</t>
        </is>
      </c>
      <c r="D115" s="3" t="inlineStr">
        <is>
          <t>Contraindication/warning</t>
        </is>
      </c>
      <c r="E115" s="3" t="inlineStr">
        <is>
          <t>Missing SCAR (SJS/TEN/DRESS)</t>
        </is>
      </c>
      <c r="F115" s="3" t="inlineStr">
        <is>
          <t>Add weekly CPK monitoring, stop thresholds, eosinophilic pneumonia, DRESS, TIN, neuropathy warnings</t>
        </is>
      </c>
      <c r="G115" s="3" t="inlineStr">
        <is>
          <t>Lists diarrhoea, vomiting, constipation, anaemia, rash, pruritus, erythema and statin myotoxicity. 主要副作用: 橫紋肌溶解症、過敏反應、腸胃道症狀. No CPK monitoring, no eosinophilic pneumonia.</t>
        </is>
      </c>
      <c r="H115" s="3" t="inlineStr">
        <is>
          <t>CPK must be monitored weekly (more often with statins or renal impairment). Stop if CPK &gt;1,000 U/L with symptoms or &gt;2,000 U/L without. Eosinophilic pneumonia, DRESS, TIN and peripheral neuropathy are boxed in Warnings.</t>
        </is>
      </c>
      <c r="I115" s="3" t="inlineStr">
        <is>
          <t>仿單 5.1.2-5.1.6; US label §5.2-5.6</t>
        </is>
      </c>
      <c r="J115" s="3" t="inlineStr">
        <is>
          <t>Open</t>
        </is>
      </c>
      <c r="K115" s="3" t="inlineStr"/>
    </row>
    <row r="116">
      <c r="A116" s="3" t="n">
        <v>347</v>
      </c>
      <c r="B116" s="3" t="inlineStr">
        <is>
          <t>Cubicin (Daptomycin) (CUB01)</t>
        </is>
      </c>
      <c r="C116" s="7" t="inlineStr">
        <is>
          <t>High</t>
        </is>
      </c>
      <c r="D116" s="3" t="inlineStr">
        <is>
          <t>Dosing – pediatric</t>
        </is>
      </c>
      <c r="E116" s="3" t="inlineStr"/>
      <c r="F116" s="3" t="inlineStr">
        <is>
          <t>Remove infant &lt;1 y doses and q12h; use label age bands, once daily (cSSSI 5–10, SAB 7–12 mg/kg q24h)</t>
        </is>
      </c>
      <c r="G116" s="3" t="inlineStr">
        <is>
          <t>Includes infants under 1 year (e.g. 6 mg/kg q12h) and age bands different from the labels</t>
        </is>
      </c>
      <c r="H116" s="3" t="inlineStr">
        <is>
          <t>Avoid under 12 months (neonatal dog neuromuscular toxicity, US §5.7/TW 5.1.7). No label recommends q12h dosing; once daily only (US §5.2). Label bands: cSSSI 12–17 y 5, 7–11 y 7, 2–6 y 9, 1–&lt;2 y 10 mg/kg q24h; bacteremia 12–17 y 7, 7–11 y 9, 1–6 y 12 mg/kg q24h.</t>
        </is>
      </c>
      <c r="I116" s="3" t="inlineStr">
        <is>
          <t>US FDA label §2.3, §2.5, §5.2, §5.7; TW insert 表一/表二; UK SmPC 4.2</t>
        </is>
      </c>
      <c r="J116" s="3" t="inlineStr">
        <is>
          <t>Open</t>
        </is>
      </c>
      <c r="K116" s="3" t="inlineStr"/>
    </row>
    <row r="117">
      <c r="A117" s="3" t="n">
        <v>353</v>
      </c>
      <c r="B117" s="3" t="inlineStr">
        <is>
          <t>Cubicin (Daptomycin) (CUB01)</t>
        </is>
      </c>
      <c r="C117" s="7" t="inlineStr">
        <is>
          <t>High</t>
        </is>
      </c>
      <c r="D117" s="3" t="inlineStr">
        <is>
          <t>Dosing – pediatric</t>
        </is>
      </c>
      <c r="E117" s="3" t="inlineStr"/>
      <c r="F117" s="3" t="inlineStr">
        <is>
          <t>Delete infant q12h/15 mg/kg doses; avoid &lt;12 months; use fixed label age-band q24h doses</t>
        </is>
      </c>
      <c r="G117" s="3" t="inlineStr">
        <is>
          <t>Infants: 6 mg/kg q12h (one infant 15 mg/kg q12h); infants 8-10 mg/kg q24h; children 7-11: 7-9 mg/kg q24h; ≥12 y and adolescents: 5-7 mg/kg q24h</t>
        </is>
      </c>
      <c r="H117" s="3" t="inlineStr">
        <is>
          <t>Avoid under 12 months (neuromuscular/nervous-system effects in neonatal dogs). Fixed age-band doses: cSSSI 12-17y 5, 7-11y 7, 2-6y 9, 1-&lt;2y 10 mg/kg q24h; SAB 12-17y 7, 7-11y 9, 1-6y 12 mg/kg q24h. Paediatric renal dosing not established.</t>
        </is>
      </c>
      <c r="I117" s="3" t="inlineStr">
        <is>
          <t>仿單 3.1.3, 3.1.5, 5.1.7; US label §2.3, §2.5, §5.7</t>
        </is>
      </c>
      <c r="J117" s="3" t="inlineStr">
        <is>
          <t>Open</t>
        </is>
      </c>
      <c r="K117" s="3" t="inlineStr"/>
    </row>
    <row r="118">
      <c r="A118" s="3" t="n">
        <v>145</v>
      </c>
      <c r="B118" s="3" t="inlineStr">
        <is>
          <t>Diflucan (Fluconazole) (DIF02, FLU22)</t>
        </is>
      </c>
      <c r="C118" s="7" t="inlineStr">
        <is>
          <t>High</t>
        </is>
      </c>
      <c r="D118" s="3" t="inlineStr">
        <is>
          <t>Contraindication/warning</t>
        </is>
      </c>
      <c r="E118" s="3" t="inlineStr"/>
      <c r="F118" s="3" t="inlineStr">
        <is>
          <t>Add azole hypersensitivity, terfenadine (≥400 mg/d), cisapride, astemizole contraindications</t>
        </is>
      </c>
      <c r="G118" s="3" t="inlineStr">
        <is>
          <t>Only CYP3A4-metabolised QT-prolonging drugs</t>
        </is>
      </c>
      <c r="H118" s="3" t="inlineStr">
        <is>
          <t>The TW insert §4 also contraindicates hypersensitivity to fluconazole or related azoles, terfenadine with fluconazole ≥400 mg/day, and names cisapride, astemizole, erythromycin, pimozide and quinidine. The UK SmPC 4.3 is the same.</t>
        </is>
      </c>
      <c r="I118" s="3" t="inlineStr">
        <is>
          <t>TW Diflucan IV insert §4 禁忌; UK SmPC §4.3</t>
        </is>
      </c>
      <c r="J118" s="3" t="inlineStr">
        <is>
          <t>Open</t>
        </is>
      </c>
      <c r="K118" s="3" t="inlineStr"/>
    </row>
    <row r="119">
      <c r="A119" s="3" t="n">
        <v>153</v>
      </c>
      <c r="B119" s="3" t="inlineStr">
        <is>
          <t>Diflucan (Fluconazole) (DIF02, FLU22)</t>
        </is>
      </c>
      <c r="C119" s="7" t="inlineStr">
        <is>
          <t>High</t>
        </is>
      </c>
      <c r="D119" s="3" t="inlineStr">
        <is>
          <t>Contraindication/warning</t>
        </is>
      </c>
      <c r="E119" s="3" t="inlineStr"/>
      <c r="F119" s="3" t="inlineStr">
        <is>
          <t>Add terfenadine, cisapride, astemizole contraindications; list azole hypersensitivity as contraindication</t>
        </is>
      </c>
      <c r="G119" s="3" t="inlineStr">
        <is>
          <t>Hypersensitivity (cross-reaction with other azoles: use caution); coadministration with CYP3A4 substrates that prolong QTc (eg, erythromycin, pimozide, quinidine)</t>
        </is>
      </c>
      <c r="H119" s="3" t="inlineStr">
        <is>
          <t>TW inserts §4 and UK SmPC 4.3 also contraindicate terfenadine (with fluconazole ≥400 mg/day multiple doses), cisapride and astemizole. They list hypersensitivity to related azole compounds as a contraindication, not just a caution (the US label says caution).</t>
        </is>
      </c>
      <c r="I119" s="3" t="inlineStr">
        <is>
          <t>TW 仿單 DIFLUCAN IV §4 禁忌; UK SmPC 4.3 https://www.medicines.org.uk/emc/product/15231/smpc</t>
        </is>
      </c>
      <c r="J119" s="3" t="inlineStr">
        <is>
          <t>Open</t>
        </is>
      </c>
      <c r="K119" s="3" t="inlineStr"/>
    </row>
    <row r="120">
      <c r="A120" s="3" t="n">
        <v>144</v>
      </c>
      <c r="B120" s="3" t="inlineStr">
        <is>
          <t>Diflucan (Fluconazole) (DIF02, FLU22)</t>
        </is>
      </c>
      <c r="C120" s="7" t="inlineStr">
        <is>
          <t>High</t>
        </is>
      </c>
      <c r="D120" s="3" t="inlineStr">
        <is>
          <t>Dosing – renal/dialysis</t>
        </is>
      </c>
      <c r="E120" s="3" t="inlineStr">
        <is>
          <t>Renal table outdated</t>
        </is>
      </c>
      <c r="F120" s="3" t="inlineStr">
        <is>
          <t>Align renal bands with TW inserts (incl. q72h/⅓ and q96h/¼ tiers); add HD dose after each session</t>
        </is>
      </c>
      <c r="G120" s="3" t="inlineStr">
        <is>
          <t>DIF02: CrCl &gt;50 no change, CrCl &lt;50 → 50% dose; FLU22: CrCl ≤50 → 50% reduction</t>
        </is>
      </c>
      <c r="H120" s="3" t="inlineStr">
        <is>
          <t>These values follow the US/UK labels (≤50 → 50%, HD 100% after each session), not the hospital's own TW inserts. DIF02 TW insert: &gt;40 normal; 21–40 q48h or ½; 10–20 q72h or ⅓; HD dose after each session. FLU22 TW insert: &gt;50 normal; 21–50 q48h or ½; 11–20 q96h or ¼. DIF02 also uses &lt;50 where the labels say ≤50, and gives no HD instruction.</t>
        </is>
      </c>
      <c r="I120" s="3" t="inlineStr">
        <is>
          <t>TW Diflucan IV insert §3.3; TW Fluene insert §3.3; US FDA label Dosage In Patients With Impaired Renal Function</t>
        </is>
      </c>
      <c r="J120" s="3" t="inlineStr">
        <is>
          <t>Open</t>
        </is>
      </c>
      <c r="K120" s="3" t="inlineStr"/>
    </row>
    <row r="121">
      <c r="A121" s="3" t="n">
        <v>151</v>
      </c>
      <c r="B121" s="3" t="inlineStr">
        <is>
          <t>Diflucan (Fluconazole) (DIF02, FLU22)</t>
        </is>
      </c>
      <c r="C121" s="7" t="inlineStr">
        <is>
          <t>High</t>
        </is>
      </c>
      <c r="D121" s="3" t="inlineStr">
        <is>
          <t>Dosing – renal/dialysis</t>
        </is>
      </c>
      <c r="E121" s="3" t="inlineStr">
        <is>
          <t>Renal table outdated</t>
        </is>
      </c>
      <c r="F121" s="3" t="inlineStr">
        <is>
          <t>Use TW Diflucan IV bands (&gt;40, 21–40, 10–20) after loading days; add HD dosing</t>
        </is>
      </c>
      <c r="G121" s="3" t="inlineStr">
        <is>
          <t>ClCr &gt;50: no adjustment; ClCr &lt;50: 50% of usual daily dose</t>
        </is>
      </c>
      <c r="H121" s="3" t="inlineStr">
        <is>
          <t>The TW insert of the stocked product (Diflucan IV) uses CrCl &gt;40 normal, 21–40 q48h or ½, 10–20 q72h or ⅓, with normal dose on days 1–2 and HD dosing after each session. The US/UK rule uses '≤50' (not '&lt;50') after a loading dose. The hospital entry has no HD guidance.</t>
        </is>
      </c>
      <c r="I121" s="3" t="inlineStr">
        <is>
          <t>TW 仿單 DIFLUCAN IV §3.3 腎功能受損病人 https://mcp.fda.gov.tw/im_detail_1/%E8%A1%9B%E7%BD%B2%E8%97%A5%E8%BC%B8%E5%AD%97%E7%AC%AC018790%E8%99%9F</t>
        </is>
      </c>
      <c r="J121" s="3" t="inlineStr">
        <is>
          <t>Open</t>
        </is>
      </c>
      <c r="K121" s="3" t="inlineStr"/>
    </row>
    <row r="122">
      <c r="A122" s="3" t="n">
        <v>152</v>
      </c>
      <c r="B122" s="3" t="inlineStr">
        <is>
          <t>Diflucan (Fluconazole) (DIF02, FLU22)</t>
        </is>
      </c>
      <c r="C122" s="7" t="inlineStr">
        <is>
          <t>High</t>
        </is>
      </c>
      <c r="D122" s="3" t="inlineStr">
        <is>
          <t>Dosing – renal/dialysis</t>
        </is>
      </c>
      <c r="E122" s="3" t="inlineStr">
        <is>
          <t>Renal table outdated</t>
        </is>
      </c>
      <c r="F122" s="3" t="inlineStr">
        <is>
          <t>Use TW Fluene bands (&gt;50, 21–50 ½, 11–20 ¼ or q96h); add HD full dose post-dialysis</t>
        </is>
      </c>
      <c r="G122" s="3" t="inlineStr">
        <is>
          <t>Maintenance dose: CrCl ≤50 mL/min: reduce dose by 50%</t>
        </is>
      </c>
      <c r="H122" s="3" t="inlineStr">
        <is>
          <t>TW Fluene insert: CrCl &gt;50 normal; 21–50 q48h or ½; 11–20 q96h or ¼; HD: normal dose after each dialysis. The hospital rule follows the US/UK label, not its own TW insert.</t>
        </is>
      </c>
      <c r="I122" s="3" t="inlineStr">
        <is>
          <t>TW 仿單 FLUENE 腎功能不全之劑量 https://mcp.fda.gov.tw/im_detail_1/%E8%A1%9B%E7%BD%B2%E8%97%A5%E8%A3%BD%E5%AD%97%E7%AC%AC041997%E8%99%9F</t>
        </is>
      </c>
      <c r="J122" s="3" t="inlineStr">
        <is>
          <t>Open</t>
        </is>
      </c>
      <c r="K122" s="3" t="inlineStr"/>
    </row>
    <row r="123">
      <c r="A123" s="3" t="n">
        <v>845</v>
      </c>
      <c r="B123" s="3" t="inlineStr">
        <is>
          <t>Disfect (Fusidic acid) (DIS01)</t>
        </is>
      </c>
      <c r="C123" s="7" t="inlineStr">
        <is>
          <t>High</t>
        </is>
      </c>
      <c r="D123" s="3" t="inlineStr">
        <is>
          <t>Contraindication/warning</t>
        </is>
      </c>
      <c r="E123" s="3" t="inlineStr">
        <is>
          <t>Interaction list incomplete</t>
        </is>
      </c>
      <c r="F123" s="3" t="inlineStr">
        <is>
          <t>Add statin co-administration CI and DRESS/SJS/TEN warning; CI includes excipients</t>
        </is>
      </c>
      <c r="G123" s="3" t="inlineStr">
        <is>
          <t>Lists only hypersensitivity to fusidic acid. No mention of the statin interaction or of DRESS/SJS/TEN.</t>
        </is>
      </c>
      <c r="H123" s="3" t="inlineStr">
        <is>
          <t>"Statins (HMG-CoA reductase inhibitors) and systemic Fucidin must not be co-administered" (rhabdomyolysis, including fatalities; restart the statin 7 days after the last dose). The SmPC also warns of DRESS/TEN/SJS: stop the drug and do not reintroduce. Contraindication: hypersensitivity to the active substance OR any excipient.</t>
        </is>
      </c>
      <c r="I123" s="3" t="inlineStr">
        <is>
          <t>UK SmPC Fucidin 250 mg Tablets §4.3, §4.4, §4.5 - https://www.medicines.org.uk/emc/product/5515/smpc</t>
        </is>
      </c>
      <c r="J123" s="3" t="inlineStr">
        <is>
          <t>Open</t>
        </is>
      </c>
      <c r="K123" s="3" t="inlineStr"/>
    </row>
    <row r="124">
      <c r="A124" s="3" t="n">
        <v>838</v>
      </c>
      <c r="B124" s="3" t="inlineStr">
        <is>
          <t>Disfect (Fusidic acid) (DIS01)</t>
        </is>
      </c>
      <c r="C124" s="7" t="inlineStr">
        <is>
          <t>High</t>
        </is>
      </c>
      <c r="D124" s="3" t="inlineStr">
        <is>
          <t>Drug interaction</t>
        </is>
      </c>
      <c r="E124" s="3" t="inlineStr">
        <is>
          <t>Interaction list incomplete</t>
        </is>
      </c>
      <c r="F124" s="3" t="inlineStr">
        <is>
          <t>Add statin CI (rhabdomyolysis; restart 7 d after last dose), CYP3A4, coumarin INR, HIV PIs</t>
        </is>
      </c>
      <c r="G124" s="3" t="inlineStr">
        <is>
          <t>No statin warning; the precautions field is empty and contraindications list hypersensitivity only</t>
        </is>
      </c>
      <c r="H124" s="3" t="inlineStr">
        <is>
          <t>Statins must not be co-administered with systemic fusidic acid because of rhabdomyolysis, including fatal cases. Stop the statin and restart it 7 days after the last dose. Also avoid CYP3A4 substrates, monitor INR with coumarins, and do not combine with HIV protease inhibitors.</t>
        </is>
      </c>
      <c r="I124" s="3" t="inlineStr">
        <is>
          <t>UK SmPC 5515 sections 4.4 and 4.5 — https://www.medicines.org.uk/emc/product/5515/smpc</t>
        </is>
      </c>
      <c r="J124" s="3" t="inlineStr">
        <is>
          <t>Open</t>
        </is>
      </c>
      <c r="K124" s="3" t="inlineStr"/>
    </row>
    <row r="125">
      <c r="A125" s="3" t="n">
        <v>1242</v>
      </c>
      <c r="B125" s="3" t="inlineStr">
        <is>
          <t>Dovato (Dolutegravir/Lamivudine) (DOV01)</t>
        </is>
      </c>
      <c r="C125" s="7" t="inlineStr">
        <is>
          <t>High</t>
        </is>
      </c>
      <c r="D125" s="3" t="inlineStr">
        <is>
          <t>Contraindication/warning</t>
        </is>
      </c>
      <c r="E125" s="3" t="inlineStr">
        <is>
          <t>Missing boxed warning</t>
        </is>
      </c>
      <c r="F125" s="3" t="inlineStr">
        <is>
          <t>Add HBV boxed warning, extra DTG 50 mg with rifampin/carbamazepine, and polyvalent cation spacing.</t>
        </is>
      </c>
      <c r="G125" s="3" t="inlineStr">
        <is>
          <t>No HBV boxed warning. No rifampin/carbamazepine extra dolutegravir dosing. No polyvalent cation spacing. The contraindications list hypersensitivity and dofetilide only.</t>
        </is>
      </c>
      <c r="H125" s="3" t="inlineStr">
        <is>
          <t>Boxed warning: lamivudine-resistant HBV and HBV exacerbation in co-infection; test HBV before starting. Add dolutegravir 50 mg about 12 h after Dovato with rifampin or carbamazepine. Take Dovato 2 h before or 6 h after polyvalent cations.</t>
        </is>
      </c>
      <c r="I125" s="3" t="inlineStr">
        <is>
          <t>US boxed warning, §2.3, Table 5; TW 特殊警語, §3.1, §7.4</t>
        </is>
      </c>
      <c r="J125" s="3" t="inlineStr">
        <is>
          <t>Open</t>
        </is>
      </c>
      <c r="K125" s="3" t="inlineStr"/>
    </row>
    <row r="126">
      <c r="A126" s="3" t="n">
        <v>1253</v>
      </c>
      <c r="B126" s="3" t="inlineStr">
        <is>
          <t>Dovato (Dolutegravir/Lamivudine) (DOV01)</t>
        </is>
      </c>
      <c r="C126" s="7" t="inlineStr">
        <is>
          <t>High</t>
        </is>
      </c>
      <c r="D126" s="3" t="inlineStr">
        <is>
          <t>Contraindication/warning</t>
        </is>
      </c>
      <c r="E126" s="3" t="inlineStr">
        <is>
          <t>Missing boxed warning</t>
        </is>
      </c>
      <c r="F126" s="3" t="inlineStr">
        <is>
          <t>Add HBV boxed warning and HBV testing before starting.</t>
        </is>
      </c>
      <c r="G126" s="3" t="inlineStr">
        <is>
          <t>No mention of the HBV boxed warning or HBV testing before starting</t>
        </is>
      </c>
      <c r="H126" s="3" t="inlineStr">
        <is>
          <t>FDA boxed warning and TW 特殊警語: test HBV before starting; lamivudine-resistant HBV can emerge; severe HBV exacerbation after stopping.</t>
        </is>
      </c>
      <c r="I126" s="3" t="inlineStr">
        <is>
          <t>US FDA DOVATO Boxed Warning/§5.1; TW insert 特殊警語</t>
        </is>
      </c>
      <c r="J126" s="3" t="inlineStr">
        <is>
          <t>Open</t>
        </is>
      </c>
      <c r="K126" s="3" t="inlineStr"/>
    </row>
    <row r="127">
      <c r="A127" s="3" t="n">
        <v>1250</v>
      </c>
      <c r="B127" s="3" t="inlineStr">
        <is>
          <t>Dovato (Dolutegravir/Lamivudine) (DOV01)</t>
        </is>
      </c>
      <c r="C127" s="7" t="inlineStr">
        <is>
          <t>High</t>
        </is>
      </c>
      <c r="D127" s="3" t="inlineStr">
        <is>
          <t>Dosing – renal/dialysis</t>
        </is>
      </c>
      <c r="E127" s="3" t="inlineStr"/>
      <c r="F127" s="3" t="inlineStr">
        <is>
          <t>Restore lost '&lt;30' threshold: not recommended if CrCl &lt;30 mL/min.</t>
        </is>
      </c>
      <c r="G127" s="3" t="inlineStr">
        <is>
          <t>'3. CrCl ' then 'Use is not recommended' (the '&lt;30' threshold is lost in HTML)</t>
        </is>
      </c>
      <c r="H127" s="3" t="inlineStr">
        <is>
          <t>Not recommended if CrCl &lt;30 mL/min</t>
        </is>
      </c>
      <c r="I127" s="3" t="inlineStr">
        <is>
          <t>US FDA DOVATO §2.4/§8.6 – https://dailymed.nlm.nih.gov/dailymed/drugInfo.cfm?setid=68e45422-43ed-4cfb-9356-fae88d14a53a</t>
        </is>
      </c>
      <c r="J127" s="3" t="inlineStr">
        <is>
          <t>Open</t>
        </is>
      </c>
      <c r="K127" s="3" t="inlineStr"/>
    </row>
    <row r="128">
      <c r="A128" s="3" t="n">
        <v>1254</v>
      </c>
      <c r="B128" s="3" t="inlineStr">
        <is>
          <t>Dovato (Dolutegravir/Lamivudine) (DOV01)</t>
        </is>
      </c>
      <c r="C128" s="7" t="inlineStr">
        <is>
          <t>High</t>
        </is>
      </c>
      <c r="D128" s="3" t="inlineStr">
        <is>
          <t>Drug interaction</t>
        </is>
      </c>
      <c r="E128" s="3" t="inlineStr">
        <is>
          <t>Interaction list incomplete</t>
        </is>
      </c>
      <c r="F128" s="3" t="inlineStr">
        <is>
          <t>Add extra DTG 50 mg ~12 h with rifampin/carbamazepine; avoid oxcarbazepine, phenytoin, phenobarbital, St John's wort.</t>
        </is>
      </c>
      <c r="G128" s="3" t="inlineStr">
        <is>
          <t>One tablet once daily (no mention of inducers)</t>
        </is>
      </c>
      <c r="H128" s="3" t="inlineStr">
        <is>
          <t>With rifampin/carbamazepine: extra DTG 50 mg ~12 h after Dovato. Avoid oxcarbazepine, phenytoin, phenobarbital, St John's wort (FDA).</t>
        </is>
      </c>
      <c r="I128" s="3" t="inlineStr">
        <is>
          <t>US FDA DOVATO §2.3, Table 5; TW insert 表1</t>
        </is>
      </c>
      <c r="J128" s="3" t="inlineStr">
        <is>
          <t>Open</t>
        </is>
      </c>
      <c r="K128" s="3" t="inlineStr"/>
    </row>
    <row r="129">
      <c r="A129" s="3" t="n">
        <v>748</v>
      </c>
      <c r="B129" s="3" t="inlineStr">
        <is>
          <t>Doxycycline (DOX04)</t>
        </is>
      </c>
      <c r="C129" s="7" t="inlineStr">
        <is>
          <t>High</t>
        </is>
      </c>
      <c r="D129" s="3" t="inlineStr">
        <is>
          <t>Contraindication/warning</t>
        </is>
      </c>
      <c r="E129" s="3" t="inlineStr"/>
      <c r="F129" s="3" t="inlineStr">
        <is>
          <t>Contraindication: hypersensitivity only; tooth staining is a warning; allow ≤8 y for anthrax and RMSF</t>
        </is>
      </c>
      <c r="G129" s="3" t="inlineStr">
        <is>
          <t>Hypersensitivity to any tetracycline products, last half of pregnancy, infancy, and childhood up to 8 years of age (except anthrax)</t>
        </is>
      </c>
      <c r="H129" s="3" t="inlineStr">
        <is>
          <t>US label CONTRAINDICATIONS: hypersensitivity to any tetracycline only. Tooth development (last half of pregnancy to age 8) is a WARNING, and use at 8 y or younger is allowed for severe or life-threatening conditions, e.g. anthrax AND Rocky Mountain spotted fever, not anthrax alone. The UK SmPC instead contraindicates pregnancy and nursing mothers outright (4.3) and says not to use under 8 y (4.2). The hospital text matches neither label.</t>
        </is>
      </c>
      <c r="I129" s="3" t="inlineStr">
        <is>
          <t>US FDA label CONTRAINDICATIONS, WARNINGS, Pediatric Use: https://dailymed.nlm.nih.gov/dailymed/drugInfo.cfm?setid=3e7cf78f-3b48-4614-9fa4-c6d1e0c05a35; UK SmPC 4.2/4.3: https://www.medicines.org.uk/emc/product/13082/smpc</t>
        </is>
      </c>
      <c r="J129" s="3" t="inlineStr">
        <is>
          <t>Open</t>
        </is>
      </c>
      <c r="K129" s="3" t="inlineStr"/>
    </row>
    <row r="130">
      <c r="A130" s="3" t="n">
        <v>753</v>
      </c>
      <c r="B130" s="3" t="inlineStr">
        <is>
          <t>Doxycycline (DOX04)</t>
        </is>
      </c>
      <c r="C130" s="7" t="inlineStr">
        <is>
          <t>High</t>
        </is>
      </c>
      <c r="D130" s="3" t="inlineStr">
        <is>
          <t>Contraindication/warning</t>
        </is>
      </c>
      <c r="E130" s="3" t="inlineStr"/>
      <c r="F130" s="3" t="inlineStr">
        <is>
          <t>Fix contraindications: hypersensitivity only; ≤8 y allowed for severe infection incl. RMSF</t>
        </is>
      </c>
      <c r="G130" s="3" t="inlineStr">
        <is>
          <t>Hypersensitivity to any tetracycline products, last half of pregnancy, infancy, and childhood up to 8 years of age (except anthrax)</t>
        </is>
      </c>
      <c r="H130" s="3" t="inlineStr">
        <is>
          <t>US: contraindicated only in tetracycline hypersensitivity. Tooth development (last half of pregnancy to age 8) is a WARNING, and ≤8 y use is allowed in severe or life-threatening conditions such as anthrax AND RMSF (not anthrax only). UK: contraindicates pregnancy and lactation, and says do not use &lt;8 y. TW 培力 insert: no contraindication section beyond stopping for allergy and the Al(OH)3 gel interaction. The hospital entry matches none of the three labels.</t>
        </is>
      </c>
      <c r="I130" s="3" t="inlineStr">
        <is>
          <t>US CONTRAINDICATIONS/WARNINGS/Pediatric Use (DailyMed setid 3e7cf78f-3b48-4614-9fa4-c6d1e0c05a35); UK SmPC 4.2/4.3; TW 衛署藥製字第034900號 注意事項</t>
        </is>
      </c>
      <c r="J130" s="3" t="inlineStr">
        <is>
          <t>Open</t>
        </is>
      </c>
      <c r="K130" s="3" t="inlineStr"/>
    </row>
    <row r="131">
      <c r="A131" s="3" t="n">
        <v>552</v>
      </c>
      <c r="B131" s="3" t="inlineStr">
        <is>
          <t>Emblaveo (Aztreonam-avibactam) (EMB01)</t>
        </is>
      </c>
      <c r="C131" s="7" t="inlineStr">
        <is>
          <t>High</t>
        </is>
      </c>
      <c r="D131" s="3" t="inlineStr">
        <is>
          <t>Dosing – renal/dialysis</t>
        </is>
      </c>
      <c r="E131" s="3" t="inlineStr">
        <is>
          <t>Renal table outdated</t>
        </is>
      </c>
      <c r="F131" s="3" t="inlineStr">
        <is>
          <t>Add CRRT note: higher dose than HD, guided by CRRT clearance; insufficient data for other RRT</t>
        </is>
      </c>
      <c r="G131" s="3" t="inlineStr">
        <is>
          <t>No note on CRRT or other renal replacement therapy</t>
        </is>
      </c>
      <c r="H131" s="3" t="inlineStr">
        <is>
          <t>The UK says data are insufficient for RRT other than HD, that CRRT needs a higher dose than HD, and that the dose should be guided by CRRT clearance.</t>
        </is>
      </c>
      <c r="I131" s="3" t="inlineStr">
        <is>
          <t>UK SmPC 4.2 Renal impairment — https://www.medicines.org.uk/emc/product/15895/smpc</t>
        </is>
      </c>
      <c r="J131" s="3" t="inlineStr">
        <is>
          <t>Open</t>
        </is>
      </c>
      <c r="K131" s="3" t="inlineStr"/>
    </row>
    <row r="132">
      <c r="A132" s="3" t="n">
        <v>561</v>
      </c>
      <c r="B132" s="3" t="inlineStr">
        <is>
          <t>Emblaveo (Aztreonam-avibactam) (EMB01)</t>
        </is>
      </c>
      <c r="C132" s="7" t="inlineStr">
        <is>
          <t>High</t>
        </is>
      </c>
      <c r="D132" s="3" t="inlineStr">
        <is>
          <t>Dosing – renal/dialysis</t>
        </is>
      </c>
      <c r="E132" s="3" t="inlineStr">
        <is>
          <t>Renal table outdated</t>
        </is>
      </c>
      <c r="F132" s="3" t="inlineStr">
        <is>
          <t>Add CRRT higher-dose guidance; fix footnote to CrCl ≤15</t>
        </is>
      </c>
      <c r="G132" s="3" t="inlineStr">
        <is>
          <t>The IHD table has no note on CRRT or other renal replacement therapy, and footnote d shows 'CrCL   15' with the ≤ symbol missing</t>
        </is>
      </c>
      <c r="H132" s="3" t="inlineStr">
        <is>
          <t>SmPC 4.2: there are insufficient data for RRT other than HD (e.g. CVVH, PD), and CRRT patients need a higher dose than HD patients, guided by CRRT clearance. Footnote d should read CrCL ≤ 15 mL/min.</t>
        </is>
      </c>
      <c r="I132" s="3" t="inlineStr">
        <is>
          <t>UK SmPC 4.2 Table 2 footnote d and RRT paragraph — https://www.medicines.org.uk/emc/product/15895/smpc</t>
        </is>
      </c>
      <c r="J132" s="3" t="inlineStr">
        <is>
          <t>Open</t>
        </is>
      </c>
      <c r="K132" s="3" t="inlineStr"/>
    </row>
    <row r="133">
      <c r="A133" s="3" t="n">
        <v>1169</v>
      </c>
      <c r="B133" s="3" t="inlineStr">
        <is>
          <t>Epbutol (Ethambutol) (EPB01)</t>
        </is>
      </c>
      <c r="C133" s="7" t="inlineStr">
        <is>
          <t>High</t>
        </is>
      </c>
      <c r="D133" s="3" t="inlineStr">
        <is>
          <t>Contraindication/warning</t>
        </is>
      </c>
      <c r="E133" s="3" t="inlineStr">
        <is>
          <t>Missing SCAR (SJS/TEN/DRESS)</t>
        </is>
      </c>
      <c r="F133" s="3" t="inlineStr">
        <is>
          <t>Add hepatotoxicity (fatal), TW diabetes/alcoholism caution, SCAR warning, gout, neuropathy, thrombocytopenia.</t>
        </is>
      </c>
      <c r="G133" s="3" t="inlineStr">
        <is>
          <t>Lists only optic neuritis, and 頭痛、眩暈、腹痛、食慾差、噁心、嘔吐. No hepatotoxicity, no diabetes/alcoholism caution, no SCAR warning.</t>
        </is>
      </c>
      <c r="H133" s="3" t="inlineStr">
        <is>
          <t>TW 仿單 §5(一): 糖尿病患者、酒精中毒患者勿使用; §8: hepatitis, jaundice, abnormal LFT, very rare hepatic failure. US Warnings: liver toxicity including fatalities, baseline and periodic LFT. UK 4.4: SJS/TEN/DRESS → do not rechallenge. US/UK: hyperuricaemia/gout, thrombocytopenia, peripheral neuropathy.</t>
        </is>
      </c>
      <c r="I133" s="3" t="inlineStr">
        <is>
          <t>Taiwan 仿單: https://mcp.fda.gov.tw/im_detail_1/%E8%A1%9B%E7%BD%B2%E8%97%A5%E8%A3%BD%E5%AD%97%E7%AC%AC019877%E8%99%9F; US label WARNINGS/ADVERSE REACTIONS; UK SmPC 4.4/4.8</t>
        </is>
      </c>
      <c r="J133" s="3" t="inlineStr">
        <is>
          <t>Open</t>
        </is>
      </c>
      <c r="K133" s="3" t="inlineStr"/>
    </row>
    <row r="134">
      <c r="A134" s="3" t="n">
        <v>1175</v>
      </c>
      <c r="B134" s="3" t="inlineStr">
        <is>
          <t>Epbutol (Ethambutol) (EPB01)</t>
        </is>
      </c>
      <c r="C134" s="7" t="inlineStr">
        <is>
          <t>High</t>
        </is>
      </c>
      <c r="D134" s="3" t="inlineStr">
        <is>
          <t>Contraindication/warning</t>
        </is>
      </c>
      <c r="E134" s="3" t="inlineStr">
        <is>
          <t>Missing SCAR (SJS/TEN/DRESS)</t>
        </is>
      </c>
      <c r="F134" s="3" t="inlineStr">
        <is>
          <t>Add fatal hepatotoxicity/LFT monitoring, diabetes/alcoholism caution, SCAR no-rechallenge, gout, neuropathy, cytopenias.</t>
        </is>
      </c>
      <c r="G134" s="3" t="inlineStr">
        <is>
          <t>副作用: optic neuritis only. 主要副作用: 頭痛、眩暈、腹痛、食慾差、噁心、嘔吐. 注意事項 and 肝功能調整劑量 are blank.</t>
        </is>
      </c>
      <c r="H134" s="3" t="inlineStr">
        <is>
          <t>Missing label warnings: hepatotoxicity including fatalities with baseline/periodic LFT (US Warnings; 仿單 §8 肝炎、黃疸、肝衰竭); 仿單 §5(一) 糖尿病、酒精中毒患者勿使用; UK §4.4 SCAR (SJS/TEN/DRESS, never rechallenge); hyperuricaemia/gout; peripheral neuropathy; thrombocytopenia/leukopenia/neutropenia.</t>
        </is>
      </c>
      <c r="I134" s="3" t="inlineStr">
        <is>
          <t>US FDA WARNINGS/ADVERSE REACTIONS; UK SmPC §4.4/4.8; TW 仿單 §5, §8: https://mcp.fda.gov.tw/im_detail_1/%E8%A1%9B%E7%BD%B2%E8%97%A5%E8%A3%BD%E5%AD%97%E7%AC%AC019877%E8%99%9F</t>
        </is>
      </c>
      <c r="J134" s="3" t="inlineStr">
        <is>
          <t>Open</t>
        </is>
      </c>
      <c r="K134" s="3" t="inlineStr"/>
    </row>
    <row r="135">
      <c r="A135" s="3" t="n">
        <v>1164</v>
      </c>
      <c r="B135" s="3" t="inlineStr">
        <is>
          <t>Epbutol (Ethambutol) (EPB01)</t>
        </is>
      </c>
      <c r="C135" s="7" t="inlineStr">
        <is>
          <t>High</t>
        </is>
      </c>
      <c r="D135" s="3" t="inlineStr">
        <is>
          <t>Dosing – adult</t>
        </is>
      </c>
      <c r="E135" s="3" t="inlineStr"/>
      <c r="F135" s="3" t="inlineStr">
        <is>
          <t>Fix twice-weekly 76–90 kg dose: 2,400 mg conflicts with 44–53 mg/kg (≈4,000 mg).</t>
        </is>
      </c>
      <c r="G135" s="3" t="inlineStr">
        <is>
          <t>2,400 mg (44.4 to 52.6 mg/kg)</t>
        </is>
      </c>
      <c r="H135" s="3" t="inlineStr">
        <is>
          <t>The figure contradicts itself: 2,400 mg/76–90 kg = 26.7–31.6 mg/kg (the same as the thrice-weekly row). The quoted 44.4–52.6 mg/kg corresponds to 4,000 mg. No label supports twice-weekly dosing; US/TW/UK are once daily (UK renal only: three times a week).</t>
        </is>
      </c>
      <c r="I135" s="3" t="inlineStr">
        <is>
          <t>US label DOSAGE AND ADMINISTRATION ('once every 24-hour basis only'): https://dailymed.nlm.nih.gov/dailymed/drugInfo.cfm?setid=e0d4a594-d3e0-47b0-9f11-f4dbd4552d5a; arithmetic from hospital P4 page https://pharmacy.fjuh.fju.edu.tw/Key_Search/P4?query=EPB01</t>
        </is>
      </c>
      <c r="J135" s="3" t="inlineStr">
        <is>
          <t>Open</t>
        </is>
      </c>
      <c r="K135" s="3" t="inlineStr"/>
    </row>
    <row r="136">
      <c r="A136" s="3" t="n">
        <v>1172</v>
      </c>
      <c r="B136" s="3" t="inlineStr">
        <is>
          <t>Epbutol (Ethambutol) (EPB01)</t>
        </is>
      </c>
      <c r="C136" s="7" t="inlineStr">
        <is>
          <t>High</t>
        </is>
      </c>
      <c r="D136" s="3" t="inlineStr">
        <is>
          <t>Dosing – adult</t>
        </is>
      </c>
      <c r="E136" s="3" t="inlineStr"/>
      <c r="F136" s="3" t="inlineStr">
        <is>
          <t>Correct twice-weekly 76–90 kg dose to 4,000 mg (or remove BIW); listed 2,400 mg underdoses.</t>
        </is>
      </c>
      <c r="G136" s="3" t="inlineStr">
        <is>
          <t>2,400 mg (44.4 to 52.6 mg/kg)</t>
        </is>
      </c>
      <c r="H136" s="3" t="inlineStr">
        <is>
          <t>The site's own mg/kg range works out to 4,000 mg (4,000/90 = 44.4; 4,000/76 = 52.6). 2,400 mg is the thrice-weekly value for the same band (26.7–31.6 mg/kg), so it looks like a copy error. As listed, the dose is about 40% too low for a twice-weekly regimen. Twice-weekly dosing is also not in any label.</t>
        </is>
      </c>
      <c r="I136" s="3" t="inlineStr">
        <is>
          <t>P4 https://pharmacy.fjuh.fju.edu.tw/Key_Search/P4?query=EPB01 (internal arithmetic); ATS/CDC/IDSA 2016 EMB whole-tablet table (PMID 27516382)</t>
        </is>
      </c>
      <c r="J136" s="3" t="inlineStr">
        <is>
          <t>Open</t>
        </is>
      </c>
      <c r="K136" s="3" t="inlineStr"/>
    </row>
    <row r="137">
      <c r="A137" s="3" t="n">
        <v>1166</v>
      </c>
      <c r="B137" s="3" t="inlineStr">
        <is>
          <t>Epbutol (Ethambutol) (EPB01)</t>
        </is>
      </c>
      <c r="C137" s="7" t="inlineStr">
        <is>
          <t>High</t>
        </is>
      </c>
      <c r="D137" s="3" t="inlineStr">
        <is>
          <t>Dosing – renal/dialysis</t>
        </is>
      </c>
      <c r="E137" s="3" t="inlineStr">
        <is>
          <t>Renal table outdated</t>
        </is>
      </c>
      <c r="F137" s="3" t="inlineStr">
        <is>
          <t>Replace reduced daily renal doses with 15–25 mg/kg three times weekly for CrCl &lt;30/HD, after HD.</t>
        </is>
      </c>
      <c r="G137" s="3" t="inlineStr">
        <is>
          <t>ClCr 10–50: 15 mg/kg q24–36h or 7.5–10 mg/kg/day; ClCr &lt;10: q48h (the '&lt;10' text renders truncated as 'ClCr 3.'); HD: slightly dialyzable, give post-dialysis</t>
        </is>
      </c>
      <c r="H137" s="3" t="inlineStr">
        <is>
          <t>TW 仿單 and US give no numbers (US: dose by serum levels). UK SmPC: CrCl &lt;30 → 15–25 mg/kg (max 2.5 g) 3×/week + plasma-level monitoring. ATS 2016: for CrCl ≥30 use standard doses; for CrCl &lt;30/HD lengthen the interval to thrice weekly rather than lowering the dose. The hospital's reduced daily doses ('7.5–10 mg/kg/day') and q48h for CrCl &lt;10 are not in any label or guideline reviewed. Post-HD dosing is consistent with ATS 2016.</t>
        </is>
      </c>
      <c r="I137" s="3" t="inlineStr">
        <is>
          <t>UK SmPC 4.2: https://www.medicines.org.uk/emc/product/14174/smpc; ATS/CDC/IDSA 2016 'Renal Disease' (PMID 27516382)</t>
        </is>
      </c>
      <c r="J137" s="3" t="inlineStr">
        <is>
          <t>Open</t>
        </is>
      </c>
      <c r="K137" s="3" t="inlineStr"/>
    </row>
    <row r="138">
      <c r="A138" s="3" t="n">
        <v>1174</v>
      </c>
      <c r="B138" s="3" t="inlineStr">
        <is>
          <t>Epbutol (Ethambutol) (EPB01)</t>
        </is>
      </c>
      <c r="C138" s="7" t="inlineStr">
        <is>
          <t>High</t>
        </is>
      </c>
      <c r="D138" s="3" t="inlineStr">
        <is>
          <t>Dosing – renal/dialysis</t>
        </is>
      </c>
      <c r="E138" s="3" t="inlineStr">
        <is>
          <t>Renal table outdated</t>
        </is>
      </c>
      <c r="F138" s="3" t="inlineStr">
        <is>
          <t>Replace reduced-dose renal table with interval extension: 15–25 mg/kg TIW post-HD for CrCl &lt;30.</t>
        </is>
      </c>
      <c r="G138" s="3" t="inlineStr">
        <is>
          <t>ClCr 10–50: 15 mg/kg q24–36h or 7.5–10 mg/kg/day; ClCr &lt;10: 15 mg/kg q48h or 5 mg/kg/day; HD: slightly dialyzable (5–20%), dose post-dialysis</t>
        </is>
      </c>
      <c r="H138" s="3" t="inlineStr">
        <is>
          <t>No label gives these numbers. 仿單: accumulation, caution (no numbers). US: reduce as determined by serum levels. UK: preferably avoid; CrCl &lt;30 → 15–25 mg/kg (max 2.5 g) three times a week + plasma levels. ATS 2016: standard dose when CrCl &gt;30; for CrCl &lt;30/HD lengthen the interval to thrice weekly rather than lowering the dose (lower doses reduce the peak and can compromise efficacy), which argues against the hospital's 7.5–10 and 5 mg/kg/day options. NTM 2020: 15–25 mg/kg 3×/week. A high-flux HD study showed a mean 41% fall in serum level (Chew 2017), more than '5–20%'.</t>
        </is>
      </c>
      <c r="I138" s="3" t="inlineStr">
        <is>
          <t>TW 仿單 §5; US FDA PRECAUTIONS; UK SmPC §4.2; ATS 2016 Renal Disease (PMID 27516382); NTM 2020 (PMID 32628747); PMID 28396542</t>
        </is>
      </c>
      <c r="J138" s="3" t="inlineStr">
        <is>
          <t>Open</t>
        </is>
      </c>
      <c r="K138" s="3" t="inlineStr"/>
    </row>
    <row r="139">
      <c r="A139" s="3" t="n">
        <v>1414</v>
      </c>
      <c r="B139" s="3" t="inlineStr">
        <is>
          <t>Epclusa (Sofosbuvir/Velpatasvir) (EPC01)</t>
        </is>
      </c>
      <c r="C139" s="7" t="inlineStr">
        <is>
          <t>High</t>
        </is>
      </c>
      <c r="D139" s="3" t="inlineStr">
        <is>
          <t>Contraindication/warning</t>
        </is>
      </c>
      <c r="E139" s="3" t="inlineStr"/>
      <c r="F139" s="3" t="inlineStr">
        <is>
          <t>Add contraindications: strong P-gp/CYP inducers, hypersensitivity, ribavirin contraindications with RBV regimen.</t>
        </is>
      </c>
      <c r="G139" s="3" t="inlineStr">
        <is>
          <t>There are no contraindications listed in the manufacturer's labeling.</t>
        </is>
      </c>
      <c r="H139" s="3" t="inlineStr">
        <is>
          <t>US: the Epclusa + ribavirin regimen is contraindicated wherever ribavirin is contraindicated (e.g. pregnancy, male partners of pregnant women). UK: hypersensitivity; strong P-gp/CYP inducers (carbamazepine, phenobarbital, phenytoin, rifampicin, rifabutin, St John's wort).</t>
        </is>
      </c>
      <c r="I139" s="3" t="inlineStr">
        <is>
          <t>US FDA label §4, §8.1; UK SmPC §4.3</t>
        </is>
      </c>
      <c r="J139" s="3" t="inlineStr">
        <is>
          <t>Open</t>
        </is>
      </c>
      <c r="K139" s="3" t="inlineStr"/>
    </row>
    <row r="140">
      <c r="A140" s="3" t="n">
        <v>1415</v>
      </c>
      <c r="B140" s="3" t="inlineStr">
        <is>
          <t>Epclusa (Sofosbuvir/Velpatasvir) (EPC01)</t>
        </is>
      </c>
      <c r="C140" s="7" t="inlineStr">
        <is>
          <t>High</t>
        </is>
      </c>
      <c r="D140" s="3" t="inlineStr">
        <is>
          <t>Contraindication/warning</t>
        </is>
      </c>
      <c r="E140" s="3" t="inlineStr">
        <is>
          <t>Missing boxed warning</t>
        </is>
      </c>
      <c r="F140" s="3" t="inlineStr">
        <is>
          <t>Add HBV reactivation boxed warning, amiodarone bradycardia, inducer and other interactions.</t>
        </is>
      </c>
      <c r="G140" s="3" t="inlineStr">
        <is>
          <t>Omits the HBV reactivation boxed warning, the amiodarone bradycardia warning and the inducer interactions. Side effects listed only as 'Nausea, Headache, Fatigue'.</t>
        </is>
      </c>
      <c r="H140" s="3" t="inlineStr">
        <is>
          <t>Boxed warning: HBV reactivation (test HBsAg/anti-HBc first). §5.2: serious symptomatic bradycardia with amiodarone. §5.3/§7: P-gp/CYP inducers not recommended. Also PPI restriction, rosuvastatin ≤10 mg, digoxin TDM, hypoglycaemia/INR changes.</t>
        </is>
      </c>
      <c r="I140" s="3" t="inlineStr">
        <is>
          <t>US FDA label Boxed Warning, §5.1–5.3, §7.3</t>
        </is>
      </c>
      <c r="J140" s="3" t="inlineStr">
        <is>
          <t>Open</t>
        </is>
      </c>
      <c r="K140" s="3" t="inlineStr"/>
    </row>
    <row r="141">
      <c r="A141" s="3" t="n">
        <v>1421</v>
      </c>
      <c r="B141" s="3" t="inlineStr">
        <is>
          <t>Epclusa (Sofosbuvir/Velpatasvir) (EPC01)</t>
        </is>
      </c>
      <c r="C141" s="7" t="inlineStr">
        <is>
          <t>High</t>
        </is>
      </c>
      <c r="D141" s="3" t="inlineStr">
        <is>
          <t>Contraindication/warning</t>
        </is>
      </c>
      <c r="E141" s="3" t="inlineStr"/>
      <c r="F141" s="3" t="inlineStr">
        <is>
          <t>Add contraindications: hypersensitivity and strong P-gp/CYP inducers (rifampicin, carbamazepine, phenytoin, etc.).</t>
        </is>
      </c>
      <c r="G141" s="3" t="inlineStr">
        <is>
          <t>There are no contraindications listed in the manufacturer's labeling.</t>
        </is>
      </c>
      <c r="H141" s="3" t="inlineStr">
        <is>
          <t>TW仿單 (stocked product) and UK SmPC §4.3: hypersensitivity, plus strong P-gp/CYP inducers (carbamazepine, phenobarbital, phenytoin, rifampicin, rifabutin, St John's wort). FDA §4: contraindicated when ribavirin is contraindicated (combination regimen).</t>
        </is>
      </c>
      <c r="I141" s="3" t="inlineStr">
        <is>
          <t>TW仿單 §4.3/§4.5; UK SmPC §4.3; FDA §4</t>
        </is>
      </c>
      <c r="J141" s="3" t="inlineStr">
        <is>
          <t>Open</t>
        </is>
      </c>
      <c r="K141" s="3" t="inlineStr"/>
    </row>
    <row r="142">
      <c r="A142" s="3" t="n">
        <v>1424</v>
      </c>
      <c r="B142" s="3" t="inlineStr">
        <is>
          <t>Epclusa (Sofosbuvir/Velpatasvir) (EPC01)</t>
        </is>
      </c>
      <c r="C142" s="7" t="inlineStr">
        <is>
          <t>High</t>
        </is>
      </c>
      <c r="D142" s="3" t="inlineStr">
        <is>
          <t>Contraindication/warning</t>
        </is>
      </c>
      <c r="E142" s="3" t="inlineStr">
        <is>
          <t>Missing boxed warning</t>
        </is>
      </c>
      <c r="F142" s="3" t="inlineStr">
        <is>
          <t>Add HBV reactivation boxed warning, amiodarone bradycardia, inducer contraindication, hypoglycaemia/INR.</t>
        </is>
      </c>
      <c r="G142" s="3" t="inlineStr">
        <is>
          <t>No warnings listed: no HBV reactivation, amiodarone bradycardia or inducer interactions</t>
        </is>
      </c>
      <c r="H142" s="3" t="inlineStr">
        <is>
          <t>FDA boxed warning: HBV reactivation (test HBsAg/anti-HBc before treatment). Serious symptomatic bradycardia/heart block with amiodarone. Inducers contraindicated (TW/UK) or not recommended (US). Hypoglycaemia and INR changes as HCV clears.</t>
        </is>
      </c>
      <c r="I142" s="3" t="inlineStr">
        <is>
          <t>FDA boxed warning/§5.1–5.3/§7.3; TW仿單 §4.4/§4.5; UK SmPC §4.4</t>
        </is>
      </c>
      <c r="J142" s="3" t="inlineStr">
        <is>
          <t>Open</t>
        </is>
      </c>
      <c r="K142" s="3" t="inlineStr"/>
    </row>
    <row r="143">
      <c r="A143" s="3" t="n">
        <v>1425</v>
      </c>
      <c r="B143" s="3" t="inlineStr">
        <is>
          <t>Epclusa (Sofosbuvir/Velpatasvir) (EPC01)</t>
        </is>
      </c>
      <c r="C143" s="7" t="inlineStr">
        <is>
          <t>High</t>
        </is>
      </c>
      <c r="D143" s="3" t="inlineStr">
        <is>
          <t>Dosing – adult</t>
        </is>
      </c>
      <c r="E143" s="3" t="inlineStr"/>
      <c r="F143" s="3" t="inlineStr">
        <is>
          <t>Add decompensated cirrhosis regimen Epclusa + ribavirin 12 wk; RBV 24 wk after NS5A failure; TW ≥12 y.</t>
        </is>
      </c>
      <c r="G143" s="3" t="inlineStr">
        <is>
          <t>'One tablet once daily for 12 weeks'; indication lists adults only</t>
        </is>
      </c>
      <c r="H143" s="3" t="inlineStr">
        <is>
          <t>Correct for compensated disease. Decompensated cirrhosis needs Epclusa + ribavirin × 12 wk (weight-based RBV). TW/UK: consider + RBV × 24 wk after NS5A failure. TW indication is ≥12 y and ≥30 kg, not adults only.</t>
        </is>
      </c>
      <c r="I143" s="3" t="inlineStr">
        <is>
          <t>FDA §2.2/§2.3; TW仿單 §4.1/§4.2; UK SmPC §4.2</t>
        </is>
      </c>
      <c r="J143" s="3" t="inlineStr">
        <is>
          <t>Open</t>
        </is>
      </c>
      <c r="K143" s="3" t="inlineStr"/>
    </row>
    <row r="144">
      <c r="A144" s="3" t="n">
        <v>853</v>
      </c>
      <c r="B144" s="3" t="inlineStr">
        <is>
          <t>Eraxis (Anidulafungin) (ERA01)</t>
        </is>
      </c>
      <c r="C144" s="7" t="inlineStr">
        <is>
          <t>High</t>
        </is>
      </c>
      <c r="D144" s="3" t="inlineStr">
        <is>
          <t>Contraindication/warning</t>
        </is>
      </c>
      <c r="E144" s="3" t="inlineStr"/>
      <c r="F144" s="3" t="inlineStr">
        <is>
          <t>Add CI: known or suspected hereditary fructose intolerance</t>
        </is>
      </c>
      <c r="G144" s="3" t="inlineStr">
        <is>
          <t>Hypersensitivity to anidulafungin, any component, or other echinocandins (only)</t>
        </is>
      </c>
      <c r="H144" s="3" t="inlineStr">
        <is>
          <t>The TW and US labels also contraindicate known or suspected hereditary fructose intolerance (the product contains fructose), because of the risk of life-threatening hypoglycemia, lactic acidosis and hepatic failure.</t>
        </is>
      </c>
      <c r="I144" s="3" t="inlineStr">
        <is>
          <t>Taiwan insert §4 禁忌 '已知或疑似患有遺傳性果糖不耐症(HFI)之病人' https://mcp.fda.gov.tw/im_detail_1/%E8%A1%9B%E7%BD%B2%E8%97%A5%E8%BC%B8%E5%AD%97%E7%AC%AC024758%E8%99%9F; US FDA label §4 https://dailymed.nlm.nih.gov/dailymed/drugInfo.cfm?setid=a88d9010-55fb-4a02-baff-042cd27688ea</t>
        </is>
      </c>
      <c r="J144" s="3" t="inlineStr">
        <is>
          <t>Open</t>
        </is>
      </c>
      <c r="K144" s="3" t="inlineStr"/>
    </row>
    <row r="145">
      <c r="A145" s="3" t="n">
        <v>864</v>
      </c>
      <c r="B145" s="3" t="inlineStr">
        <is>
          <t>Eraxis (Anidulafungin) (ERA01)</t>
        </is>
      </c>
      <c r="C145" s="7" t="inlineStr">
        <is>
          <t>High</t>
        </is>
      </c>
      <c r="D145" s="3" t="inlineStr">
        <is>
          <t>Contraindication/warning</t>
        </is>
      </c>
      <c r="E145" s="3" t="inlineStr"/>
      <c r="F145" s="3" t="inlineStr">
        <is>
          <t>Add hereditary fructose intolerance contraindication</t>
        </is>
      </c>
      <c r="G145" s="3" t="inlineStr">
        <is>
          <t>Hypersensitivity to anidulafungin, any component, or other echinocandins (only)</t>
        </is>
      </c>
      <c r="H145" s="3" t="inlineStr">
        <is>
          <t>Also contraindicated in known or suspected hereditary fructose intolerance (the product contains fructose).</t>
        </is>
      </c>
      <c r="I145" s="3" t="inlineStr">
        <is>
          <t>TW §4 禁忌 https://mcp.fda.gov.tw/im_detail_1/%E8%A1%9B%E7%BD%B2%E8%97%A5%E8%BC%B8%E5%AD%97%E7%AC%AC024758%E8%99%9F; US §4</t>
        </is>
      </c>
      <c r="J145" s="3" t="inlineStr">
        <is>
          <t>Open</t>
        </is>
      </c>
      <c r="K145" s="3" t="inlineStr"/>
    </row>
    <row r="146">
      <c r="A146" s="3" t="n">
        <v>356</v>
      </c>
      <c r="B146" s="3" t="inlineStr">
        <is>
          <t>Ertapenem (ERT01)</t>
        </is>
      </c>
      <c r="C146" s="7" t="inlineStr">
        <is>
          <t>High</t>
        </is>
      </c>
      <c r="D146" s="3" t="inlineStr">
        <is>
          <t>Indication/coverage</t>
        </is>
      </c>
      <c r="E146" s="3" t="inlineStr"/>
      <c r="F146" s="3" t="inlineStr">
        <is>
          <t>Restrict pneumonia to community-acquired; state HAP/VAP not approved (no Pseudomonas/Acinetobacter cover)</t>
        </is>
      </c>
      <c r="G146" s="3" t="inlineStr">
        <is>
          <t>Pneumonia (unqualified)</t>
        </is>
      </c>
      <c r="H146" s="3" t="inlineStr">
        <is>
          <t>Community-acquired pneumonia only. HAP/VAP is not approved (P. aeruginosa and Acinetobacter are resistant).</t>
        </is>
      </c>
      <c r="I146" s="3" t="inlineStr">
        <is>
          <t>US FDA label §1.3; UK SmPC 4.1; TW 仿單 2 適應症 (感染性肺炎 Community Acquired Pneumonia)</t>
        </is>
      </c>
      <c r="J146" s="3" t="inlineStr">
        <is>
          <t>Open</t>
        </is>
      </c>
      <c r="K146" s="3" t="inlineStr"/>
    </row>
    <row r="147">
      <c r="A147" s="3" t="n">
        <v>365</v>
      </c>
      <c r="B147" s="3" t="inlineStr">
        <is>
          <t>Ertapenem (ERT01)</t>
        </is>
      </c>
      <c r="C147" s="7" t="inlineStr">
        <is>
          <t>High</t>
        </is>
      </c>
      <c r="D147" s="3" t="inlineStr">
        <is>
          <t>Indication/coverage</t>
        </is>
      </c>
      <c r="E147" s="3" t="inlineStr"/>
      <c r="F147" s="3" t="inlineStr">
        <is>
          <t>Restrict pneumonia to CAP; HAP/VAP not approved</t>
        </is>
      </c>
      <c r="G147" s="3" t="inlineStr">
        <is>
          <t>Pneumonia</t>
        </is>
      </c>
      <c r="H147" s="3" t="inlineStr">
        <is>
          <t>Community-acquired pneumonia only (HAP/VAP are not approved).</t>
        </is>
      </c>
      <c r="I147" s="3" t="inlineStr">
        <is>
          <t>US label 1.3; UK SmPC 4.1; TW insert 2 (感染性肺炎 Community Acquired Pneumonia)</t>
        </is>
      </c>
      <c r="J147" s="3" t="inlineStr">
        <is>
          <t>Open</t>
        </is>
      </c>
      <c r="K147" s="3" t="inlineStr"/>
    </row>
    <row r="148">
      <c r="A148" s="3" t="n">
        <v>730</v>
      </c>
      <c r="B148" s="3" t="inlineStr">
        <is>
          <t>Erythromycin (ERY03)</t>
        </is>
      </c>
      <c r="C148" s="7" t="inlineStr">
        <is>
          <t>High</t>
        </is>
      </c>
      <c r="D148" s="3" t="inlineStr">
        <is>
          <t>Adverse effects</t>
        </is>
      </c>
      <c r="E148" s="3" t="inlineStr">
        <is>
          <t>Missing SCAR (SJS/TEN/DRESS)</t>
        </is>
      </c>
      <c r="F148" s="3" t="inlineStr">
        <is>
          <t>Add QT/torsades, CDAD, hearing loss, IHPS, SJS/TEN, nephritis, pancreatitis, seizures</t>
        </is>
      </c>
      <c r="G148" s="3" t="inlineStr">
        <is>
          <t>Diarrhea, loss of appetite, nausea, stomach cramps, vomiting, cholestatic hepatitis</t>
        </is>
      </c>
      <c r="H148" s="3" t="inlineStr">
        <is>
          <t>It leaves out boxed-level warnings found in both labels: QT prolongation and torsades de pointes (fatalities reported), CDAD, reversible hearing loss, IHPS in infants, SJS/TEN, interstitial nephritis, pancreatitis and seizures.</t>
        </is>
      </c>
      <c r="I148" s="3" t="inlineStr">
        <is>
          <t>US DailyMed WARNINGS and ADVERSE REACTIONS; UK SmPC 4.8</t>
        </is>
      </c>
      <c r="J148" s="3" t="inlineStr">
        <is>
          <t>Open</t>
        </is>
      </c>
      <c r="K148" s="3" t="inlineStr"/>
    </row>
    <row r="149">
      <c r="A149" s="3" t="n">
        <v>729</v>
      </c>
      <c r="B149" s="3" t="inlineStr">
        <is>
          <t>Erythromycin (ERY03)</t>
        </is>
      </c>
      <c r="C149" s="7" t="inlineStr">
        <is>
          <t>High</t>
        </is>
      </c>
      <c r="D149" s="3" t="inlineStr">
        <is>
          <t>Contraindication/warning</t>
        </is>
      </c>
      <c r="E149" s="3" t="inlineStr">
        <is>
          <t>Interaction list incomplete</t>
        </is>
      </c>
      <c r="F149" s="3" t="inlineStr">
        <is>
          <t>Add lovastatin, simvastatin, domperidone, ivabradine, lomitapide etc., QT history, hypoK/hypoMg; move liver to precautions</t>
        </is>
      </c>
      <c r="G149" s="3" t="inlineStr">
        <is>
          <t>Lists astemizole, cisapride, DHE, ergotamine, pimozide, terfenadine and hypersensitivity, plus 'Use with caution to patient with pre-existing liver disease'</t>
        </is>
      </c>
      <c r="H149" s="3" t="inlineStr">
        <is>
          <t>The list is incomplete. The US label also contraindicates lovastatin and simvastatin. UK SmPC 4.3 adds domperidone, ivabradine, lomitapide, tolterodine, mizolastine and amisulpride, a history of QT prolongation or ventricular arrhythmia, and hypokalaemia/hypomagnesaemia. Liver disease is a precaution (caution), not a contraindication.</t>
        </is>
      </c>
      <c r="I149" s="3" t="inlineStr">
        <is>
          <t>US DailyMed CONTRAINDICATIONS; UK SmPC 4.3, 4.4</t>
        </is>
      </c>
      <c r="J149" s="3" t="inlineStr">
        <is>
          <t>Open</t>
        </is>
      </c>
      <c r="K149" s="3" t="inlineStr"/>
    </row>
    <row r="150">
      <c r="A150" s="3" t="n">
        <v>742</v>
      </c>
      <c r="B150" s="3" t="inlineStr">
        <is>
          <t>Erythromycin (ERY03)</t>
        </is>
      </c>
      <c r="C150" s="7" t="inlineStr">
        <is>
          <t>High</t>
        </is>
      </c>
      <c r="D150" s="3" t="inlineStr">
        <is>
          <t>Contraindication/warning</t>
        </is>
      </c>
      <c r="E150" s="3" t="inlineStr">
        <is>
          <t>Interaction list incomplete</t>
        </is>
      </c>
      <c r="F150" s="3" t="inlineStr">
        <is>
          <t>Add statins, domperidone, amisulpride, etc., QT history, electrolyte disorders; move liver to precautions</t>
        </is>
      </c>
      <c r="G150" s="3" t="inlineStr">
        <is>
          <t>astemizole, cisapride, DHE, ergotamine, pimozide, terfenadine; hypersensitivity; "Use with caution to patient with pre-existing liver disease"</t>
        </is>
      </c>
      <c r="H150" s="3" t="inlineStr">
        <is>
          <t>The list omits the US contraindications lovastatin and simvastatin. It also omits the UK SmPC 4.3 contraindications: domperidone, amisulpride, mizolastine, tolterodine, ivabradine, lomitapide, history of QT prolongation or ventricular arrhythmia, and hypokalaemia/hypomagnesaemia. Liver disease is a precaution ("caution"), not a contraindication, and is misfiled under 禁忌症.</t>
        </is>
      </c>
      <c r="I150" s="3" t="inlineStr">
        <is>
          <t>US CONTRAINDICATIONS https://dailymed.nlm.nih.gov/dailymed/drugInfo.cfm?setid=a2dcb48a-212c-1b0c-ec35-ee2ade85847f ; UK SmPC 4.3/4.4 https://www.medicines.org.uk/emc/product/10659/smpc</t>
        </is>
      </c>
      <c r="J150" s="3" t="inlineStr">
        <is>
          <t>Open</t>
        </is>
      </c>
      <c r="K150" s="3" t="inlineStr"/>
    </row>
    <row r="151">
      <c r="A151" s="3" t="n">
        <v>743</v>
      </c>
      <c r="B151" s="3" t="inlineStr">
        <is>
          <t>Erythromycin (ERY03)</t>
        </is>
      </c>
      <c r="C151" s="7" t="inlineStr">
        <is>
          <t>High</t>
        </is>
      </c>
      <c r="D151" s="3" t="inlineStr">
        <is>
          <t>Contraindication/warning</t>
        </is>
      </c>
      <c r="E151" s="3" t="inlineStr"/>
      <c r="F151" s="3" t="inlineStr">
        <is>
          <t>Add QT prolongation/torsades warning (TW §5.1, US WARNINGS, UK contraindication)</t>
        </is>
      </c>
      <c r="G151" s="3" t="inlineStr">
        <is>
          <t>Side effects list GI effects and cholestatic hepatitis only; QT prolongation is not mentioned anywhere</t>
        </is>
      </c>
      <c r="H151" s="3" t="inlineStr">
        <is>
          <t>QT prolongation and torsades de pointes (fatalities reported) is a US WARNING and a UK 4.3 contraindication. It is the only warning in the stocked product's own TW insert (§5.1/§7, hydroxychloroquine).</t>
        </is>
      </c>
      <c r="I151" s="3" t="inlineStr">
        <is>
          <t>TW 仿單 §5.1 https://mcp.fda.gov.tw/im_detail_1/%E8%A1%9B%E7%BD%B2%E8%97%A5%E8%A3%BD%E5%AD%97%E7%AC%AC000106%E8%99%9F ; US WARNINGS QT https://dailymed.nlm.nih.gov/dailymed/drugInfo.cfm?setid=a2dcb48a-212c-1b0c-ec35-ee2ade85847f</t>
        </is>
      </c>
      <c r="J151" s="3" t="inlineStr">
        <is>
          <t>Open</t>
        </is>
      </c>
      <c r="K151" s="3" t="inlineStr"/>
    </row>
    <row r="152">
      <c r="A152" s="3" t="n">
        <v>727</v>
      </c>
      <c r="B152" s="3" t="inlineStr">
        <is>
          <t>Erythromycin (ERY03)</t>
        </is>
      </c>
      <c r="C152" s="7" t="inlineStr">
        <is>
          <t>High</t>
        </is>
      </c>
      <c r="D152" s="3" t="inlineStr">
        <is>
          <t>Pregnancy</t>
        </is>
      </c>
      <c r="E152" s="3" t="inlineStr">
        <is>
          <t>FDA letter category</t>
        </is>
      </c>
      <c r="F152" s="3" t="inlineStr">
        <is>
          <t>Replace B with narrative; add estolate pregnancy hepatotoxicity warning (avoid estolate in pregnancy)</t>
        </is>
      </c>
      <c r="G152" s="3" t="inlineStr">
        <is>
          <t>B [FDA]</t>
        </is>
      </c>
      <c r="H152" s="3" t="inlineStr">
        <is>
          <t>FDA letter categories are retired. The US label says use only if clearly needed. UK SmPC 4.6 reports a possible small increase in cardiovascular malformations after first-trimester exposure. For the estolate salt specifically, an RCT found SGOT elevation in 9.9% of pregnant women vs 1.8% on placebo and judged estolate 'inadvisable' in pregnancy.</t>
        </is>
      </c>
      <c r="I152" s="3" t="inlineStr">
        <is>
          <t>US DailyMed PRECAUTIONS Teratogenic Effects; UK SmPC 4.6 https://www.medicines.org.uk/emc/product/10659/smpc; McCormack 1977 PMID 21610</t>
        </is>
      </c>
      <c r="J152" s="3" t="inlineStr">
        <is>
          <t>Open</t>
        </is>
      </c>
      <c r="K152" s="3" t="inlineStr"/>
    </row>
    <row r="153">
      <c r="A153" s="3" t="n">
        <v>737</v>
      </c>
      <c r="B153" s="3" t="inlineStr">
        <is>
          <t>Erythromycin (ERY03)</t>
        </is>
      </c>
      <c r="C153" s="7" t="inlineStr">
        <is>
          <t>High</t>
        </is>
      </c>
      <c r="D153" s="3" t="inlineStr">
        <is>
          <t>Pregnancy</t>
        </is>
      </c>
      <c r="E153" s="3" t="inlineStr">
        <is>
          <t>FDA letter category</t>
        </is>
      </c>
      <c r="F153" s="3" t="inlineStr">
        <is>
          <t>Replace B with narrative; add estolate contraindicated in pregnancy (hepatotoxicity)</t>
        </is>
      </c>
      <c r="G153" s="3" t="inlineStr">
        <is>
          <t>B [FDA]</t>
        </is>
      </c>
      <c r="H153" s="3" t="inlineStr">
        <is>
          <t>FDA letter categories are retired. The US label says "use during pregnancy only if clearly needed". UK SmPC 4.6 notes a possible small increase in cardiovascular malformations after first-trimester exposure. For the estolate salt that ERY03 contains, pregnancy hepatotoxicity has been reported: SGOT elevation 9.9% vs 1.8% on placebo (McCormack 1977), and CDC STD 2015 calls estolate contraindicated in pregnancy. The hospital page has no warning about this.</t>
        </is>
      </c>
      <c r="I153" s="3" t="inlineStr">
        <is>
          <t>US label PRECAUTIONS Teratogenic Effects https://dailymed.nlm.nih.gov/dailymed/drugInfo.cfm?setid=a2dcb48a-212c-1b0c-ec35-ee2ade85847f ; UK SmPC 4.6 https://www.medicines.org.uk/emc/product/10659/smpc ; PMID 21610 https://pubmed.ncbi.nlm.nih.gov/21610/ ; PMID 26042815 https://pubmed.ncbi.nlm.nih.gov/26042815/ ; hospital page https://pharmacy.fjuh.fju.edu.tw/Key_Search/P4?query=ERY03</t>
        </is>
      </c>
      <c r="J153" s="3" t="inlineStr">
        <is>
          <t>Open</t>
        </is>
      </c>
      <c r="K153" s="3" t="inlineStr"/>
    </row>
    <row r="154">
      <c r="A154" s="3" t="n">
        <v>1008</v>
      </c>
      <c r="B154" s="3" t="inlineStr">
        <is>
          <t>Famvir (Famciclovir) (FAM01)</t>
        </is>
      </c>
      <c r="C154" s="7" t="inlineStr">
        <is>
          <t>High</t>
        </is>
      </c>
      <c r="D154" s="3" t="inlineStr">
        <is>
          <t>Dosing – renal/dialysis</t>
        </is>
      </c>
      <c r="E154" s="3" t="inlineStr">
        <is>
          <t>Renal table outdated</t>
        </is>
      </c>
      <c r="F154" s="3" t="inlineStr">
        <is>
          <t>Replace renal table with FDA/UK bands for 500 mg q8h (40–59 q12h, 20–39 q24h, &lt;20 250 mg q24h) per regimen</t>
        </is>
      </c>
      <c r="G154" s="3" t="inlineStr">
        <is>
          <t>CrCl ≥30: no adjustment; 10–29: 125 mg Q8H; HD 250 mg (zoster) / 125 mg (genital HSV) after each session</t>
        </is>
      </c>
      <c r="H154" s="3" t="inlineStr">
        <is>
          <t>This is the TW insert table, which is built on the 250 mg TID zoster / first-episode regimen. The hospital pairs it with a 500 mg q8h zoster dose and with 1 g BID, 500 mg BID and 250 mg BID regimens. FDA and UK require reduction already at CrCl 40–59 for 500 mg q8h (→ q12h), then 20–39 → 500 mg q24h and &lt;20 → 250 mg q24h. A patient with CrCl 30–59 on the hospital's 500 mg q8h would therefore receive an unadjusted dose; FDA 5.1 warns of acute renal failure with inappropriately high doses. The TW table also excludes recurrent GH and does not cover the HIV, suppression or 1 g regimens.</t>
        </is>
      </c>
      <c r="I154" s="3" t="inlineStr">
        <is>
          <t>FDA §2.3 Table 1 &amp; §5.1 — https://dailymed.nlm.nih.gov/dailymed/drugInfo.cfm?setid=2c44b8d2-3b70-4e8b-af03-2e917178f761; UK SmPC §4.2 Table 1 — https://www.medicines.org.uk/emc/product/11710/smpc; TW 仿單 腎功能不全者 — https://mcp.fda.gov.tw/insert/pdfcasefile/i_04a54732-34c4-4625-b7ff-206556a81038</t>
        </is>
      </c>
      <c r="J154" s="3" t="inlineStr">
        <is>
          <t>Open</t>
        </is>
      </c>
      <c r="K154" s="3" t="inlineStr"/>
    </row>
    <row r="155">
      <c r="A155" s="3" t="n">
        <v>1017</v>
      </c>
      <c r="B155" s="3" t="inlineStr">
        <is>
          <t>Famvir (Famciclovir) (FAM01)</t>
        </is>
      </c>
      <c r="C155" s="7" t="inlineStr">
        <is>
          <t>High</t>
        </is>
      </c>
      <c r="D155" s="3" t="inlineStr">
        <is>
          <t>Dosing – renal/dialysis</t>
        </is>
      </c>
      <c r="E155" s="3" t="inlineStr">
        <is>
          <t>Renal table outdated</t>
        </is>
      </c>
      <c r="F155" s="3" t="inlineStr">
        <is>
          <t>Specify base regimen; add FDA/SmPC renal bands for 500 mg q8h and other regimens, plus &lt;10 guidance</t>
        </is>
      </c>
      <c r="G155" s="3" t="inlineStr">
        <is>
          <t>CrCl ≥30 no change; CrCl 10–29: 125 mg Q8H (no base regimen stated)</t>
        </is>
      </c>
      <c r="H155" s="3" t="inlineStr">
        <is>
          <t>These values come from the TW insert table, which applies only to the TW 250 mg TID zoster and first-episode regimens. Combined with the hospital's own 500 mg q8h zoster dose, they cut the dose to 25%. FDA/SmPC for 500 mg q8h: 40–59 500 q12h; 20–39 500 q24h; &lt;20 250 q24h. The hospital gives no renal values for the 1 g BID, 1500 mg, suppression or HIV regimens, and no &lt;10 guidance.</t>
        </is>
      </c>
      <c r="I155" s="3" t="inlineStr">
        <is>
          <t>TW仿單 腎功能不全者; FDA 2.3 Table 1; SmPC 4.2 Table 1 https://www.medicines.org.uk/emc/product/11710/smpc</t>
        </is>
      </c>
      <c r="J155" s="3" t="inlineStr">
        <is>
          <t>Open</t>
        </is>
      </c>
      <c r="K155" s="3" t="inlineStr"/>
    </row>
    <row r="156">
      <c r="A156" s="3" t="n">
        <v>532</v>
      </c>
      <c r="B156" s="3" t="inlineStr">
        <is>
          <t>Fetroja (Cefiderocol) (FET01)</t>
        </is>
      </c>
      <c r="C156" s="7" t="inlineStr">
        <is>
          <t>High</t>
        </is>
      </c>
      <c r="D156" s="3" t="inlineStr">
        <is>
          <t>Dosing – renal/dialysis</t>
        </is>
      </c>
      <c r="E156" s="3" t="inlineStr">
        <is>
          <t>Renal table outdated</t>
        </is>
      </c>
      <c r="F156" s="3" t="inlineStr">
        <is>
          <t>Restore full renal table: 30–59 1.5 g q8h; 15–29 1 g q8h; &lt;15/HD 0.75 g q12h; CRRT by effluent</t>
        </is>
      </c>
      <c r="G156" s="3" t="inlineStr">
        <is>
          <t>Text is cut off: 'CrCl ?120 mL/minute: 2 g every 6 hours. CrCl 60 to ' (the rest of the renal, HD and CRRT table is missing)</t>
        </is>
      </c>
      <c r="H156" s="3" t="inlineStr">
        <is>
          <t>Full table: CrCl 30–59 1.5 g q8h; 15–29 1 g q8h; &lt;15 or HD 0.75 g q12h after HD; CRRT dosed by effluent flow rate (≤2 L/h 1.5 g q12h ... ≥4.1 L/h 2 g q8h)</t>
        </is>
      </c>
      <c r="I156" s="3" t="inlineStr">
        <is>
          <t>TW 仿單 §3.1 表3-1/3-2; US FDA label §2.2 Tables 1–2</t>
        </is>
      </c>
      <c r="J156" s="3" t="inlineStr">
        <is>
          <t>Open</t>
        </is>
      </c>
      <c r="K156" s="3" t="inlineStr"/>
    </row>
    <row r="157">
      <c r="A157" s="3" t="n">
        <v>543</v>
      </c>
      <c r="B157" s="3" t="inlineStr">
        <is>
          <t>Fetroja (Cefiderocol) (FET01)</t>
        </is>
      </c>
      <c r="C157" s="7" t="inlineStr">
        <is>
          <t>High</t>
        </is>
      </c>
      <c r="D157" s="3" t="inlineStr">
        <is>
          <t>Dosing – renal/dialysis</t>
        </is>
      </c>
      <c r="E157" s="3" t="inlineStr">
        <is>
          <t>Renal table outdated</t>
        </is>
      </c>
      <c r="F157" s="3" t="inlineStr">
        <is>
          <t>Restore truncated renal table incl. HD and CRRT effluent-based dosing</t>
        </is>
      </c>
      <c r="G157" s="3" t="inlineStr">
        <is>
          <t>'…CrCl ?120 mL/minute: 2 g every 6 hours. CrCl 60 to ' (cut off; no table for CrCl &lt;60, HD or CRRT)</t>
        </is>
      </c>
      <c r="H157" s="3" t="inlineStr">
        <is>
          <t>Full table: 30-59 → 1.5 g q8h; 15-29 → 1 g q8h; &lt;15/HD → 0.75 g q12h after HD; CRRT by effluent flow rate (TW 表3-1/3-2).</t>
        </is>
      </c>
      <c r="I157" s="3" t="inlineStr">
        <is>
          <t>Taiwan insert §3.1 表3-1, 表3-2</t>
        </is>
      </c>
      <c r="J157" s="3" t="inlineStr">
        <is>
          <t>Open</t>
        </is>
      </c>
      <c r="K157" s="3" t="inlineStr"/>
    </row>
    <row r="158">
      <c r="A158" s="3" t="n">
        <v>381</v>
      </c>
      <c r="B158" s="3" t="inlineStr">
        <is>
          <t>Flumarin (Flomoxef) (FLU05)</t>
        </is>
      </c>
      <c r="C158" s="7" t="inlineStr">
        <is>
          <t>High</t>
        </is>
      </c>
      <c r="D158" s="3" t="inlineStr">
        <is>
          <t>Adverse effects</t>
        </is>
      </c>
      <c r="E158" s="3" t="inlineStr">
        <is>
          <t>Missing SCAR (SJS/TEN/DRESS)</t>
        </is>
      </c>
      <c r="F158" s="3" t="inlineStr">
        <is>
          <t>Add serious ADRs: anaphylaxis, AKI, cytopenias, C. difficile colitis, SJS/TEN, pneumonitis, vitamin K deficiency bleeding</t>
        </is>
      </c>
      <c r="G158" s="3" t="inlineStr">
        <is>
          <t>Eosinophilia, thrombocytosis, low RBC/Hb/WBC, raised liver enzymes, loose stools, stomatitis, numb tongue, rash/urticaria (no serious adverse effects listed)</t>
        </is>
      </c>
      <c r="H158" s="3" t="inlineStr">
        <is>
          <t>Serious adverse effects: shock/anaphylaxis, acute renal failure, pancytopenia/agranulocytosis/thrombocytopenia/haemolytic anaemia, pseudomembranous colitis, TEN/SJS, interstitial pneumonia/PIE, hepatic dysfunction/jaundice. Also vitamin K deficiency (hypoprothrombinaemia, bleeding) and vitamin B deficiency. The hospital list omits all of these.</t>
        </is>
      </c>
      <c r="I158" s="3" t="inlineStr">
        <is>
          <t>Taiwan insert, 【使用注意事項】六.副作用, https://mcp.fda.gov.tw/insert/pdfcasefile/f00601dd-69fd-4c6e-a282-74a0922a818d</t>
        </is>
      </c>
      <c r="J158" s="3" t="inlineStr">
        <is>
          <t>Open</t>
        </is>
      </c>
      <c r="K158" s="3" t="inlineStr"/>
    </row>
    <row r="159">
      <c r="A159" s="3" t="n">
        <v>388</v>
      </c>
      <c r="B159" s="3" t="inlineStr">
        <is>
          <t>Flumarin (Flomoxef) (FLU05)</t>
        </is>
      </c>
      <c r="C159" s="7" t="inlineStr">
        <is>
          <t>High</t>
        </is>
      </c>
      <c r="D159" s="3" t="inlineStr">
        <is>
          <t>Adverse effects</t>
        </is>
      </c>
      <c r="E159" s="3" t="inlineStr">
        <is>
          <t>Missing SCAR (SJS/TEN/DRESS)</t>
        </is>
      </c>
      <c r="F159" s="3" t="inlineStr">
        <is>
          <t>Add serious ADRs incl. anaphylaxis, AKI, cytopenias, C. difficile, SJS/TEN, vitamin K/B deficiency</t>
        </is>
      </c>
      <c r="G159" s="3" t="inlineStr">
        <is>
          <t>Eosinophilia, thrombocytosis, low RBC/Hb/WBC, raised liver enzymes, loose stools, stomatitis, numb tongue, rash/urticaria</t>
        </is>
      </c>
      <c r="H159" s="3" t="inlineStr">
        <is>
          <t>Also lists the serious ADRs: shock/anaphylaxis, acute kidney failure, pancytopenia/agranulocytosis, thrombocytopenia, haemolytic anaemia, pseudomembranous colitis, TEN/SJS, interstitial pneumonia/PIE and hepatic dysfunction/jaundice. It also warns of vitamin K deficiency (hypoprothrombinaemia, bleeding) and vitamin B deficiency. 'Numb tongue' is not a label term; the closest is 舌炎 under vitamin B deficiency.</t>
        </is>
      </c>
      <c r="I159" s="3" t="inlineStr">
        <is>
          <t>Taiwan insert Flumarin 1g, 使用注意事項 六.1-2 — https://mcp.fda.gov.tw/insert/pdfcasefile/f00601dd-69fd-4c6e-a282-74a0922a818d</t>
        </is>
      </c>
      <c r="J159" s="3" t="inlineStr">
        <is>
          <t>Open</t>
        </is>
      </c>
      <c r="K159" s="3" t="inlineStr"/>
    </row>
    <row r="160">
      <c r="A160" s="3" t="n">
        <v>377</v>
      </c>
      <c r="B160" s="3" t="inlineStr">
        <is>
          <t>Flumarin (Flomoxef) (FLU05)</t>
        </is>
      </c>
      <c r="C160" s="7" t="inlineStr">
        <is>
          <t>High</t>
        </is>
      </c>
      <c r="D160" s="3" t="inlineStr">
        <is>
          <t>Dosing – pediatric</t>
        </is>
      </c>
      <c r="E160" s="3" t="inlineStr"/>
      <c r="F160" s="3" t="inlineStr">
        <is>
          <t>Neonates: 20 mg/kg/dose, 2–3×/day ≤3 days old, 3–4×/day from day 4; remove 30 mg/kg</t>
        </is>
      </c>
      <c r="G160" s="3" t="inlineStr">
        <is>
          <t>Neonates 20-30 mg/kg 2-3 times a day</t>
        </is>
      </c>
      <c r="H160" s="3" t="inlineStr">
        <is>
          <t>Premature infants and neonates: 20 mg/kg per dose, 2-3×/day within the first 3 days of life and 3-4×/day from day 4. Can be increased to 150 mg/kg/day in 3-4 doses. There is no 30 mg/kg per-dose figure, and the hospital omits the day-4+ frequency.</t>
        </is>
      </c>
      <c r="I160" s="3" t="inlineStr">
        <is>
          <t>Taiwan insert, 【用法・用量】, https://mcp.fda.gov.tw/insert/pdfcasefile/f00601dd-69fd-4c6e-a282-74a0922a818d</t>
        </is>
      </c>
      <c r="J160" s="3" t="inlineStr">
        <is>
          <t>Open</t>
        </is>
      </c>
      <c r="K160" s="3" t="inlineStr"/>
    </row>
    <row r="161">
      <c r="A161" s="3" t="n">
        <v>384</v>
      </c>
      <c r="B161" s="3" t="inlineStr">
        <is>
          <t>Flumarin (Flomoxef) (FLU05)</t>
        </is>
      </c>
      <c r="C161" s="7" t="inlineStr">
        <is>
          <t>High</t>
        </is>
      </c>
      <c r="D161" s="3" t="inlineStr">
        <is>
          <t>Dosing – pediatric</t>
        </is>
      </c>
      <c r="E161" s="3" t="inlineStr"/>
      <c r="F161" s="3" t="inlineStr">
        <is>
          <t>Neonates 20 mg/kg/dose; 2–3×/day first 3 days, 3–4×/day from day 4; max 150 mg/kg/day</t>
        </is>
      </c>
      <c r="G161" s="3" t="inlineStr">
        <is>
          <t>20-30 mg/kg 2-3 times/day</t>
        </is>
      </c>
      <c r="H161" s="3" t="inlineStr">
        <is>
          <t>20 mg/kg per dose, 2-3×/day in the first 3 days and 3-4×/day from day 4. Only the daily total can rise, to 150 mg/kg/day in 3-4 doses.</t>
        </is>
      </c>
      <c r="I161" s="3" t="inlineStr">
        <is>
          <t>Taiwan insert Flumarin 1g, 【用法・用量】 — https://mcp.fda.gov.tw/insert/pdfcasefile/f00601dd-69fd-4c6e-a282-74a0922a818d</t>
        </is>
      </c>
      <c r="J161" s="3" t="inlineStr">
        <is>
          <t>Open</t>
        </is>
      </c>
      <c r="K161" s="3" t="inlineStr"/>
    </row>
    <row r="162">
      <c r="A162" s="3" t="n">
        <v>376</v>
      </c>
      <c r="B162" s="3" t="inlineStr">
        <is>
          <t>Flumarin (Flomoxef) (FLU05)</t>
        </is>
      </c>
      <c r="C162" s="7" t="inlineStr">
        <is>
          <t>High</t>
        </is>
      </c>
      <c r="D162" s="3" t="inlineStr">
        <is>
          <t>Dosing – renal/dialysis</t>
        </is>
      </c>
      <c r="E162" s="3" t="inlineStr">
        <is>
          <t>Renal table outdated</t>
        </is>
      </c>
      <c r="F162" s="3" t="inlineStr">
        <is>
          <t>Remove unsourced renal table (3 g/day exceeds usual 1–2 g/day); use label: reduce dose/extend interval</t>
        </is>
      </c>
      <c r="G162" s="3" t="inlineStr">
        <is>
          <t>CrCl 50-80 → 3 g/day; 25-50 → 2 g/day; 5-25 → 1 g/day; &lt;5 → 0.5 g/day</t>
        </is>
      </c>
      <c r="H162" s="3" t="inlineStr">
        <is>
          <t>No numeric renal dose table. Only 高度腎障害患者…需減低投與量或延長投與間隔, plus a half-life-by-CrCl table (1.31 h at &gt;70 up to 9.62 h at &lt;5). 3 g/day at CrCl 50-80 is above the label's usual adult dose of 1-2 g/day (4 g/day is only for refractory/severe infection).</t>
        </is>
      </c>
      <c r="I162" s="3" t="inlineStr">
        <is>
          <t>Taiwan insert Flumarin 1g, 【使用注意事項】三.3 and 【體內藥物動力學】表7, https://mcp.fda.gov.tw/insert/pdfcasefile/f00601dd-69fd-4c6e-a282-74a0922a818d</t>
        </is>
      </c>
      <c r="J162" s="3" t="inlineStr">
        <is>
          <t>Open</t>
        </is>
      </c>
      <c r="K162" s="3" t="inlineStr"/>
    </row>
    <row r="163">
      <c r="A163" s="3" t="n">
        <v>383</v>
      </c>
      <c r="B163" s="3" t="inlineStr">
        <is>
          <t>Flumarin (Flomoxef) (FLU05)</t>
        </is>
      </c>
      <c r="C163" s="7" t="inlineStr">
        <is>
          <t>High</t>
        </is>
      </c>
      <c r="D163" s="3" t="inlineStr">
        <is>
          <t>Dosing – renal/dialysis</t>
        </is>
      </c>
      <c r="E163" s="3" t="inlineStr">
        <is>
          <t>Renal table outdated</t>
        </is>
      </c>
      <c r="F163" s="3" t="inlineStr">
        <is>
          <t>Remove unsourced CrCl table (3 g/day &gt; usual dose); cite label reduce dose/extend interval</t>
        </is>
      </c>
      <c r="G163" s="3" t="inlineStr">
        <is>
          <t>CrCl 50-80 → 3 g/day; 25-50 → 2 g/day; 5-25 → 1 g/day; &lt;5 → 0.5 g/day</t>
        </is>
      </c>
      <c r="H163" s="3" t="inlineStr">
        <is>
          <t>No numeric renal dose table. Only 「高度腎障害患者…需減低投與量或延長投與間隔」 plus half-life by CrCl (表7). Usual adult dose is 1-2 g/day, so 3 g/day at CrCl 50-80 is above the usual dose.</t>
        </is>
      </c>
      <c r="I163" s="3" t="inlineStr">
        <is>
          <t>Taiwan insert Flumarin 1g, 使用注意事項 三.3 and 體內藥物動力學 4 — https://mcp.fda.gov.tw/insert/pdfcasefile/f00601dd-69fd-4c6e-a282-74a0922a818d</t>
        </is>
      </c>
      <c r="J163" s="3" t="inlineStr">
        <is>
          <t>Open</t>
        </is>
      </c>
      <c r="K163" s="3" t="inlineStr"/>
    </row>
    <row r="164">
      <c r="A164" s="3" t="n">
        <v>940</v>
      </c>
      <c r="B164" s="3" t="inlineStr">
        <is>
          <t>Flusine (Flucytosine) (FLU07)</t>
        </is>
      </c>
      <c r="C164" s="7" t="inlineStr">
        <is>
          <t>High</t>
        </is>
      </c>
      <c r="D164" s="3" t="inlineStr">
        <is>
          <t>Adverse effects</t>
        </is>
      </c>
      <c r="E164" s="3" t="inlineStr">
        <is>
          <t>Missing boxed warning</t>
        </is>
      </c>
      <c r="F164" s="3" t="inlineStr">
        <is>
          <t>Add boxed warning (renal caution, monitoring), fatal marrow aplasia, hepatic necrosis, CNS/cardiac ADRs, level &gt;100 toxic</t>
        </is>
      </c>
      <c r="G164" s="3" t="inlineStr">
        <is>
          <t>Nausea or vomiting in high dose, diarrhea, elevated LFTs, skin rashes, bone marrow suppression</t>
        </is>
      </c>
      <c r="H164" s="3" t="inlineStr">
        <is>
          <t>The list leaves out the US boxed warning (extreme caution in renal impairment; close hematologic, renal and hepatic monitoring). It also leaves out hepatic necrosis (can be fatal), aplastic anemia, agranulocytosis and fatal bone-marrow aplasia, renal failure and crystalluria, CNS effects (confusion, hallucinations, convulsions), hearing loss, peripheral neuropathy, cardiac toxicity, hypoglycemia and hypokalemia, and Lyell's syndrome. It says nothing about serum-level monitoring (toxicity above 100 mcg/mL).</t>
        </is>
      </c>
      <c r="I164" s="3" t="inlineStr">
        <is>
          <t>US label boxed WARNING / ADVERSE REACTIONS / OVERDOSAGE https://dailymed.nlm.nih.gov/dailymed/drugInfo.cfm?setid=01d874f9-e073-4092-94ad-da361551d4bf</t>
        </is>
      </c>
      <c r="J164" s="3" t="inlineStr">
        <is>
          <t>Open</t>
        </is>
      </c>
      <c r="K164" s="3" t="inlineStr"/>
    </row>
    <row r="165">
      <c r="A165" s="3" t="n">
        <v>951</v>
      </c>
      <c r="B165" s="3" t="inlineStr">
        <is>
          <t>Flusine (Flucytosine) (FLU07)</t>
        </is>
      </c>
      <c r="C165" s="7" t="inlineStr">
        <is>
          <t>High</t>
        </is>
      </c>
      <c r="D165" s="3" t="inlineStr">
        <is>
          <t>Adverse effects</t>
        </is>
      </c>
      <c r="E165" s="3" t="inlineStr">
        <is>
          <t>Missing boxed warning</t>
        </is>
      </c>
      <c r="F165" s="3" t="inlineStr">
        <is>
          <t>Add boxed warning, fatal marrow toxicity, hepatic necrosis, DPD/5-FU toxicity, level monitoring &gt;100 mcg/mL</t>
        </is>
      </c>
      <c r="G165" s="3" t="inlineStr">
        <is>
          <t>Nausea or vomiting in high dose, diarrhea, elevated LFTs, skin rashes, bone marrow suppression</t>
        </is>
      </c>
      <c r="H165" s="3" t="inlineStr">
        <is>
          <t>Missing from the site: the US boxed warning (extreme caution in renal impairment; close haematologic, renal and hepatic monitoring); marrow toxicity that may be irreversible or fatal (aplastic anemia, agranulocytosis); hepatic necrosis with possible fatal outcome; DPD-related 5-FU toxicity; serum-level monitoring (&gt;100 mcg/mL toxic); and CNS, hearing, cardiac, hypokalemia and hypoglycemia ADRs.</t>
        </is>
      </c>
      <c r="I165" s="3" t="inlineStr">
        <is>
          <t>US label boxed WARNING, WARNINGS, ADVERSE REACTIONS, OVERDOSAGE</t>
        </is>
      </c>
      <c r="J165" s="3" t="inlineStr">
        <is>
          <t>Open</t>
        </is>
      </c>
      <c r="K165" s="3" t="inlineStr"/>
    </row>
    <row r="166">
      <c r="A166" s="3" t="n">
        <v>938</v>
      </c>
      <c r="B166" s="3" t="inlineStr">
        <is>
          <t>Flusine (Flucytosine) (FLU07)</t>
        </is>
      </c>
      <c r="C166" s="7" t="inlineStr">
        <is>
          <t>High</t>
        </is>
      </c>
      <c r="D166" s="3" t="inlineStr">
        <is>
          <t>Dosing – hepatic</t>
        </is>
      </c>
      <c r="E166" s="3" t="inlineStr"/>
      <c r="F166" s="3" t="inlineStr">
        <is>
          <t>Add TW: dose must be reduced in hepatic impairment; monitor LFTs, hepatic necrosis risk</t>
        </is>
      </c>
      <c r="G166" s="3" t="inlineStr">
        <is>
          <t>There are no dosage adjustments provided in the manufacturer's labeling; use with caution.</t>
        </is>
      </c>
      <c r="H166" s="3" t="inlineStr">
        <is>
          <t>The TW insert for the stocked product says 腎或肝功能不健全者，劑量必須降低 (the dose must be reduced in hepatic impairment). The US label requires frequent monitoring of liver function and reports hepatic necrosis with possible fatal outcome.</t>
        </is>
      </c>
      <c r="I166" s="3" t="inlineStr">
        <is>
          <t>TW 仿單 §5.1.1; US label WARNINGS / ADVERSE REACTIONS</t>
        </is>
      </c>
      <c r="J166" s="3" t="inlineStr">
        <is>
          <t>Open</t>
        </is>
      </c>
      <c r="K166" s="3" t="inlineStr"/>
    </row>
    <row r="167">
      <c r="A167" s="3" t="n">
        <v>949</v>
      </c>
      <c r="B167" s="3" t="inlineStr">
        <is>
          <t>Flusine (Flucytosine) (FLU07)</t>
        </is>
      </c>
      <c r="C167" s="7" t="inlineStr">
        <is>
          <t>High</t>
        </is>
      </c>
      <c r="D167" s="3" t="inlineStr">
        <is>
          <t>Dosing – hepatic</t>
        </is>
      </c>
      <c r="E167" s="3" t="inlineStr"/>
      <c r="F167" s="3" t="inlineStr">
        <is>
          <t>Replace US wording with TW: dose reduction required in hepatic impairment</t>
        </is>
      </c>
      <c r="G167" s="3" t="inlineStr">
        <is>
          <t>There are no dosage adjustments provided in the manufacturer's labeling; use with caution</t>
        </is>
      </c>
      <c r="H167" s="3" t="inlineStr">
        <is>
          <t>The TW insert for the stocked product says 腎或肝功能不健全者，劑量必須降低 (a dose reduction is required in hepatic impairment). The hospital wording is US-derived and contradicts the local label.</t>
        </is>
      </c>
      <c r="I167" s="3" t="inlineStr">
        <is>
          <t>TW 仿單 §5.1.1 https://mcp.fda.gov.tw/im_detail_1/%E8%A1%9B%E7%BD%B2%E8%97%A5%E8%A3%BD%E5%AD%97%E7%AC%AC048355%E8%99%9F</t>
        </is>
      </c>
      <c r="J167" s="3" t="inlineStr">
        <is>
          <t>Open</t>
        </is>
      </c>
      <c r="K167" s="3" t="inlineStr"/>
    </row>
    <row r="168">
      <c r="A168" s="3" t="n">
        <v>935</v>
      </c>
      <c r="B168" s="3" t="inlineStr">
        <is>
          <t>Flusine (Flucytosine) (FLU07)</t>
        </is>
      </c>
      <c r="C168" s="7" t="inlineStr">
        <is>
          <t>High</t>
        </is>
      </c>
      <c r="D168" s="3" t="inlineStr">
        <is>
          <t>Dosing – renal/dialysis</t>
        </is>
      </c>
      <c r="E168" s="3" t="inlineStr">
        <is>
          <t>Renal table outdated</t>
        </is>
      </c>
      <c r="F168" s="3" t="inlineStr">
        <is>
          <t>Complete truncated CrCl &lt;10 row: e.g. 25 mg/kg q24–48h with TDM, cite source</t>
        </is>
      </c>
      <c r="G168" s="3" t="inlineStr">
        <is>
          <t>'4. CrCl ' is cut off and blank; the CrCl &lt;10 (non-dialysis) row is missing.</t>
        </is>
      </c>
      <c r="H168" s="3" t="inlineStr">
        <is>
          <t>Neither label gives a CrCl &lt;10 dose. IDSA 2010 refers severe renal dysfunction and dialysis to specific schedules and serum-level monitoring. The literature table (Kunka 2015) gives 25 mg/kg q24–48h for CrCl &lt;10, guided by TDM.</t>
        </is>
      </c>
      <c r="I168" s="3" t="inlineStr">
        <is>
          <t>IDSA 2010 PMID 20047480 https://pmc.ncbi.nlm.nih.gov/articles/PMC5826644/; Kunka 2015 PMID 26246919</t>
        </is>
      </c>
      <c r="J168" s="3" t="inlineStr">
        <is>
          <t>Open</t>
        </is>
      </c>
      <c r="K168" s="3" t="inlineStr"/>
    </row>
    <row r="169">
      <c r="A169" s="3" t="n">
        <v>936</v>
      </c>
      <c r="B169" s="3" t="inlineStr">
        <is>
          <t>Flusine (Flucytosine) (FLU07)</t>
        </is>
      </c>
      <c r="C169" s="7" t="inlineStr">
        <is>
          <t>High</t>
        </is>
      </c>
      <c r="D169" s="3" t="inlineStr">
        <is>
          <t>Dosing – renal/dialysis</t>
        </is>
      </c>
      <c r="E169" s="3" t="inlineStr">
        <is>
          <t>Renal table outdated</t>
        </is>
      </c>
      <c r="F169" s="3" t="inlineStr">
        <is>
          <t>Cite IDSA source for renal rows; revise HD to 20–50 mg/kg post-HD guided by levels</t>
        </is>
      </c>
      <c r="G169" s="3" t="inlineStr">
        <is>
          <t>CrCl &gt;40 no change; 21–40: 25 mg/kg q12h; 10–20: 25 mg/kg q24h; IHD: 25–50 mg/kg q48–72h after HD</t>
        </is>
      </c>
      <c r="H169" s="3" t="inlineStr">
        <is>
          <t>Neither the US label nor the TW insert has a CrCl table. US: start at the lower dose, extreme caution, monitor serum levels. TW: reduce the dose (no numbers). The 21–40 and 10–20 rows match the IDSA 2010 percentages (50% and 25%) only if the standard dose is 100 mg/kg/day. They do not match the 150 mg/kg/day upper US dose or the 100–200 mg/kg/day TW dose. The HD row (q48–72h) does not appear in either label; the literature gives 20–50 mg/kg after each HD session. The table cites no source and makes no mention of TDM.</t>
        </is>
      </c>
      <c r="I169" s="3" t="inlineStr">
        <is>
          <t>US label WARNINGS / D&amp;A; TW 仿單 §5.1.1 https://mcp.fda.gov.tw/im_detail_1/%E8%A1%9B%E7%BD%B2%E8%97%A5%E8%A3%BD%E5%AD%97%E7%AC%AC048355%E8%99%9F; IDSA 2010 PMID 20047480; Kunka 2015 PMID 26246919</t>
        </is>
      </c>
      <c r="J169" s="3" t="inlineStr">
        <is>
          <t>Open</t>
        </is>
      </c>
      <c r="K169" s="3" t="inlineStr"/>
    </row>
    <row r="170">
      <c r="A170" s="3" t="n">
        <v>947</v>
      </c>
      <c r="B170" s="3" t="inlineStr">
        <is>
          <t>Flusine (Flucytosine) (FLU07)</t>
        </is>
      </c>
      <c r="C170" s="7" t="inlineStr">
        <is>
          <t>High</t>
        </is>
      </c>
      <c r="D170" s="3" t="inlineStr">
        <is>
          <t>Dosing – renal/dialysis</t>
        </is>
      </c>
      <c r="E170" s="3" t="inlineStr">
        <is>
          <t>Renal table outdated</t>
        </is>
      </c>
      <c r="F170" s="3" t="inlineStr">
        <is>
          <t>Cite IDSA for renal rows; fill CrCl &lt;10 row with level-guided dosing</t>
        </is>
      </c>
      <c r="G170" s="3" t="inlineStr">
        <is>
          <t>CrCl &gt;40 no change; 21–40: 25 mg/kg q12h; 10–20: 25 mg/kg q24h; item 4 'CrCl' is truncated and blank</t>
        </is>
      </c>
      <c r="H170" s="3" t="inlineStr">
        <is>
          <t>Neither the US label nor the TW insert has a CrCl table (TW: 'reduce'; US: 'lower initial dose and monitor levels'). This corrects brief item 2: the 21–40 and 10–20 rows do match IDSA 2010 (50% and 25% of standard dose), so they are guideline-consistent but unsourced on the site. The CrCl &lt;10 row is empty; IDSA gives no value and dosing should be level-guided.</t>
        </is>
      </c>
      <c r="I170" s="3" t="inlineStr">
        <is>
          <t>PMID 20047480 https://pubmed.ncbi.nlm.nih.gov/20047480/; US label DOSAGE AND ADMINISTRATION</t>
        </is>
      </c>
      <c r="J170" s="3" t="inlineStr">
        <is>
          <t>Open</t>
        </is>
      </c>
      <c r="K170" s="3" t="inlineStr"/>
    </row>
    <row r="171">
      <c r="A171" s="3" t="n">
        <v>948</v>
      </c>
      <c r="B171" s="3" t="inlineStr">
        <is>
          <t>Flusine (Flucytosine) (FLU07)</t>
        </is>
      </c>
      <c r="C171" s="7" t="inlineStr">
        <is>
          <t>High</t>
        </is>
      </c>
      <c r="D171" s="3" t="inlineStr">
        <is>
          <t>Dosing – renal/dialysis</t>
        </is>
      </c>
      <c r="E171" s="3" t="inlineStr">
        <is>
          <t>Renal table outdated</t>
        </is>
      </c>
      <c r="F171" s="3" t="inlineStr">
        <is>
          <t>Revise HD dose to ~20 mg/kg after each HD, TDM-guided; drop unsupported 50 mg/kg q48–72h</t>
        </is>
      </c>
      <c r="G171" s="3" t="inlineStr">
        <is>
          <t>ESRD on intermittent HD: 25 to 50 mg/kg/dose every 48 to 72 hours; administer after hemodialysis</t>
        </is>
      </c>
      <c r="H171" s="3" t="inlineStr">
        <is>
          <t>This is not in either label or in IDSA. The US label says only that HD rapidly lowers levels. A TDM case report supported 21 mg/kg after each iHD, or 17 mg/kg daily with thrice-weekly iHD. The upper end of 50 mg/kg is unsupported, and levels should guide dosing.</t>
        </is>
      </c>
      <c r="I171" s="3" t="inlineStr">
        <is>
          <t>PMID 33527677 https://pubmed.ncbi.nlm.nih.gov/33527677/; US label OVERDOSAGE</t>
        </is>
      </c>
      <c r="J171" s="3" t="inlineStr">
        <is>
          <t>Open</t>
        </is>
      </c>
      <c r="K171" s="3" t="inlineStr"/>
    </row>
    <row r="172">
      <c r="A172" s="3" t="n">
        <v>939</v>
      </c>
      <c r="B172" s="3" t="inlineStr">
        <is>
          <t>Flusine (Flucytosine) (FLU07)</t>
        </is>
      </c>
      <c r="C172" s="7" t="inlineStr">
        <is>
          <t>High</t>
        </is>
      </c>
      <c r="D172" s="3" t="inlineStr">
        <is>
          <t>Drug interaction</t>
        </is>
      </c>
      <c r="E172" s="3" t="inlineStr">
        <is>
          <t>Interaction list incomplete</t>
        </is>
      </c>
      <c r="F172" s="3" t="inlineStr">
        <is>
          <t>Add brivudine/sorivudine contraindication (4-wk washout), cytarabine, GFR-reducing and myelosuppressive drugs</t>
        </is>
      </c>
      <c r="G172" s="3" t="inlineStr">
        <is>
          <t>No drug interactions listed</t>
        </is>
      </c>
      <c r="H172" s="3" t="inlineStr">
        <is>
          <t>TW: brivudine and sorivudine must not be co-administered; wait at least 4 weeks after stopping them before starting flucytosine, and wait 24 h after the last flucytosine dose before starting them. US: cytarabine inactivates flucytosine. Drugs that impair glomerular filtration prolong its half-life. Bone-marrow-depressing drugs or radiation raise marrow toxicity.</t>
        </is>
      </c>
      <c r="I172" s="3" t="inlineStr">
        <is>
          <t>TW 仿單 §7.1; US label Drug Interactions / WARNINGS</t>
        </is>
      </c>
      <c r="J172" s="3" t="inlineStr">
        <is>
          <t>Open</t>
        </is>
      </c>
      <c r="K172" s="3" t="inlineStr"/>
    </row>
    <row r="173">
      <c r="A173" s="3" t="n">
        <v>950</v>
      </c>
      <c r="B173" s="3" t="inlineStr">
        <is>
          <t>Flusine (Flucytosine) (FLU07)</t>
        </is>
      </c>
      <c r="C173" s="7" t="inlineStr">
        <is>
          <t>High</t>
        </is>
      </c>
      <c r="D173" s="3" t="inlineStr">
        <is>
          <t>Drug interaction</t>
        </is>
      </c>
      <c r="E173" s="3" t="inlineStr">
        <is>
          <t>Interaction list incomplete</t>
        </is>
      </c>
      <c r="F173" s="3" t="inlineStr">
        <is>
          <t>Add brivudine/sorivudine contraindication with ≥4-week washout, cytarabine, GFR-impairing drugs</t>
        </is>
      </c>
      <c r="G173" s="3" t="inlineStr">
        <is>
          <t>No interactions shown</t>
        </is>
      </c>
      <c r="H173" s="3" t="inlineStr">
        <is>
          <t>Missing: brivudine/sorivudine, contraindicated with a ≥4-week washout (TW insert §7.1). Also missing: cytarabine inactivates 5-FC, and drugs that impair GFR prolong t½ (US label).</t>
        </is>
      </c>
      <c r="I173" s="3" t="inlineStr">
        <is>
          <t>TW 仿單 §7.1; US label Drug Interactions</t>
        </is>
      </c>
      <c r="J173" s="3" t="inlineStr">
        <is>
          <t>Open</t>
        </is>
      </c>
      <c r="K173" s="3" t="inlineStr"/>
    </row>
    <row r="174">
      <c r="A174" s="3" t="n">
        <v>906</v>
      </c>
      <c r="B174" s="3" t="inlineStr">
        <is>
          <t>Fungizone (Amphotericin B deoxycholate) (FUN01)</t>
        </is>
      </c>
      <c r="C174" s="7" t="inlineStr">
        <is>
          <t>High</t>
        </is>
      </c>
      <c r="D174" s="3" t="inlineStr">
        <is>
          <t>Dosing – adult</t>
        </is>
      </c>
      <c r="E174" s="3" t="inlineStr">
        <is>
          <t>Missing boxed warning</t>
        </is>
      </c>
      <c r="F174" s="3" t="inlineStr">
        <is>
          <t>Add max 1.5 mg/kg/day boxed caution, verify product, test dose, D5W-only 2–6 h infusion, not interchangeable with lipid AmB</t>
        </is>
      </c>
      <c r="G174" s="3" t="inlineStr">
        <is>
          <t>Disease-based doses only (e.g. aspergillosis 0.6–0.7 mg/kg/day ×3–6 mo; cryptococcal 0.7–1 mg/kg/day ×2 wk). No test dose, titration, maximum, infusion or diluent instructions.</t>
        </is>
      </c>
      <c r="H174" s="3" t="inlineStr">
        <is>
          <t>The labels' boxed caution says to verify the product name and dose; never exceed 1.5 mg/kg/day (fatal cardiac/cardiopulmonary arrest); the products are not interchangeable with liposomal/lipid AmB (UK 4.2); test dose 1 mg; infuse over 2–6 h in D5W only, never saline. The disease doses are guideline-derived, not label. IDSA 2016 now reserves AmB-d for aspergillosis to resource-limited settings with no alternative.</t>
        </is>
      </c>
      <c r="I174" s="3" t="inlineStr">
        <is>
          <t>US boxed WARNING &amp; D&amp;A https://dailymed.nlm.nih.gov/dailymed/drugInfo.cfm?setid=a0a54943-9ce4-4f3e-b681-a1a9144c16ce ; UK SmPC 4.2 ; IDSA aspergillosis 2016 https://www.idsociety.org/practice-guideline/aspergillosis/</t>
        </is>
      </c>
      <c r="J174" s="3" t="inlineStr">
        <is>
          <t>Open</t>
        </is>
      </c>
      <c r="K174" s="3" t="inlineStr"/>
    </row>
    <row r="175">
      <c r="A175" s="3" t="n">
        <v>914</v>
      </c>
      <c r="B175" s="3" t="inlineStr">
        <is>
          <t>Fungizone (Amphotericin B deoxycholate) (FUN01)</t>
        </is>
      </c>
      <c r="C175" s="7" t="inlineStr">
        <is>
          <t>High</t>
        </is>
      </c>
      <c r="D175" s="3" t="inlineStr">
        <is>
          <t>Dosing – adult</t>
        </is>
      </c>
      <c r="E175" s="3" t="inlineStr">
        <is>
          <t>Missing boxed warning</t>
        </is>
      </c>
      <c r="F175" s="3" t="inlineStr">
        <is>
          <t>Add boxed max 1.5 mg/kg/day, test dose/titration, 0.1 mg/mL D5W over 2–6 h, no saline, not interchangeable with liposomal</t>
        </is>
      </c>
      <c r="G175" s="3" t="inlineStr">
        <is>
          <t>Disease-specific guideline doses only (e.g. aspergillosis 0.6–0.7 mg/kg/day × 3–6 months). There is no test dose or titration scheme, no 1.5 mg/kg/day maximum, no infusion time or concentration, no D5W-only instruction, and no warning against confusing this product with liposomal AmB.</t>
        </is>
      </c>
      <c r="H175" s="3" t="inlineStr">
        <is>
          <t>All three labels carry a boxed or prominent warning: never exceed 1.5 mg/kg/day (fatal cardiac/cardiopulmonary arrest) and verify the product name and dose. They give the test dose and 0.25 mg/kg start with titration, a 2–6 h infusion at 0.1 mg/mL in D5W, and no saline. UK SmPC 4.2 says amphotericin products are not interchangeable. IDSA 2016 now advises against AmB-d for invasive aspergillosis outside resource-limited settings.</t>
        </is>
      </c>
      <c r="I175" s="3" t="inlineStr">
        <is>
          <t>US label BOXED WARNING/DOSAGE https://dailymed.nlm.nih.gov/dailymed/drugInfo.cfm?setid=a0a54943-9ce4-4f3e-b681-a1a9144c16ce; UK SmPC 4.2 https://www.medicines.org.uk/emc/product/10716/smpc; IDSA aspergillosis 2016 (PMID 27365388) https://www.idsociety.org/practice-guideline/aspergillosis/</t>
        </is>
      </c>
      <c r="J175" s="3" t="inlineStr">
        <is>
          <t>Open</t>
        </is>
      </c>
      <c r="K175" s="3" t="inlineStr"/>
    </row>
    <row r="176">
      <c r="A176" s="3" t="n">
        <v>905</v>
      </c>
      <c r="B176" s="3" t="inlineStr">
        <is>
          <t>Fungizone (Amphotericin B deoxycholate) (FUN01)</t>
        </is>
      </c>
      <c r="C176" s="7" t="inlineStr">
        <is>
          <t>High</t>
        </is>
      </c>
      <c r="D176" s="3" t="inlineStr">
        <is>
          <t>Dosing – renal/dialysis</t>
        </is>
      </c>
      <c r="E176" s="3" t="inlineStr"/>
      <c r="F176" s="3" t="inlineStr">
        <is>
          <t>Fill renal/hepatic/pediatric: start 5–10 mg/day in renal impairment, stop/reduce if SCr &gt;260; stop if LFTs abnormal</t>
        </is>
      </c>
      <c r="G176" s="3" t="inlineStr">
        <is>
          <t>(all empty)</t>
        </is>
      </c>
      <c r="H176" s="3" t="inlineStr">
        <is>
          <t>Renal: use with care, start 5–10 mg/day in cardio-renal impairment and titrate, monitor renal function frequently; UK: stop or markedly reduce if SCr &gt;260 µmol/L; not removed by haemodialysis. Hepatic: UK: stop if LFTs are abnormal. Paediatric: use the smallest effective dose (US); IDSA neonatal dose 1 mg/kg/day.</t>
        </is>
      </c>
      <c r="I176" s="3" t="inlineStr">
        <is>
          <t>US label PRECAUTIONS/D&amp;A; UK SmPC 4.4 https://www.medicines.org.uk/emc/product/10716/smpc ; TW 仿單 3, 5.3, 9.2.3</t>
        </is>
      </c>
      <c r="J176" s="3" t="inlineStr">
        <is>
          <t>Open</t>
        </is>
      </c>
      <c r="K176" s="3" t="inlineStr"/>
    </row>
    <row r="177">
      <c r="A177" s="3" t="n">
        <v>915</v>
      </c>
      <c r="B177" s="3" t="inlineStr">
        <is>
          <t>Fungizone (Amphotericin B deoxycholate) (FUN01)</t>
        </is>
      </c>
      <c r="C177" s="7" t="inlineStr">
        <is>
          <t>High</t>
        </is>
      </c>
      <c r="D177" s="3" t="inlineStr">
        <is>
          <t>Dosing – renal/dialysis</t>
        </is>
      </c>
      <c r="E177" s="3" t="inlineStr"/>
      <c r="F177" s="3" t="inlineStr">
        <is>
          <t>Fill renal (5–10 mg/day start; stop/reduce if SCr &gt;260), hepatic (stop if LFTs abnormal), pediatric doses</t>
        </is>
      </c>
      <c r="G177" s="3" t="inlineStr">
        <is>
          <t>(empty)</t>
        </is>
      </c>
      <c r="H177" s="3" t="inlineStr">
        <is>
          <t>Renal: start 5–10 mg/day if cardio-renal function is impaired. UK: stop or markedly reduce the dose if SCr &gt;260 µmol/L. Not haemodialysable. Avoid infusions under 1 h in renal insufficiency. Hepatic: UK SmPC says stop if LFTs become abnormal; the Taiwan insert says PK is not affected by liver or kidney disease. Paediatric: use the smallest effective dose (label); IDSA gives 1 mg/kg/day for neonates.</t>
        </is>
      </c>
      <c r="I177" s="3" t="inlineStr">
        <is>
          <t>UK SmPC 4.4 https://www.medicines.org.uk/emc/product/10716/smpc; Taiwan insert 9.2.3 https://mcp.fda.gov.tw/insert/pdfcasefile/i_fc98beb7-e474-4ca5-a89f-8df7b30688a5; US label DOSAGE https://dailymed.nlm.nih.gov/dailymed/drugInfo.cfm?setid=a0a54943-9ce4-4f3e-b681-a1a9144c16ce</t>
        </is>
      </c>
      <c r="J177" s="3" t="inlineStr">
        <is>
          <t>Open</t>
        </is>
      </c>
      <c r="K177" s="3" t="inlineStr"/>
    </row>
    <row r="178">
      <c r="A178" s="3" t="n">
        <v>1029</v>
      </c>
      <c r="B178" s="3" t="inlineStr">
        <is>
          <t>Ganciclovir (GAN03)</t>
        </is>
      </c>
      <c r="C178" s="7" t="inlineStr">
        <is>
          <t>High</t>
        </is>
      </c>
      <c r="D178" s="3" t="inlineStr">
        <is>
          <t>Dosing – adult</t>
        </is>
      </c>
      <c r="E178" s="3" t="inlineStr"/>
      <c r="F178" s="3" t="inlineStr">
        <is>
          <t>Fix garbled day −8 to −2 text, mark off-label; add FDA regimen 5 mg/kg q12h ×7–14 d then q24h</t>
        </is>
      </c>
      <c r="G178" s="3" t="inlineStr">
        <is>
          <t>'5 mg/kg every 24 hours from day 8 to day 2 followed by high dose valacyclovir post-transplant' (garbled, likely lost minus signs: day −8 to day −2)</t>
        </is>
      </c>
      <c r="H178" s="3" t="inlineStr">
        <is>
          <t>No label gives a pre-transplant day −8 to −2 regimen. FDA prevention is 5 mg/kg q12h × 7–14 d, then q24h until day 100–120 post-transplant.</t>
        </is>
      </c>
      <c r="I178" s="3" t="inlineStr">
        <is>
          <t>US FDA §2.4</t>
        </is>
      </c>
      <c r="J178" s="3" t="inlineStr">
        <is>
          <t>Open</t>
        </is>
      </c>
      <c r="K178" s="3" t="inlineStr"/>
    </row>
    <row r="179">
      <c r="A179" s="3" t="n">
        <v>1040</v>
      </c>
      <c r="B179" s="3" t="inlineStr">
        <is>
          <t>Ganciclovir (GAN03)</t>
        </is>
      </c>
      <c r="C179" s="7" t="inlineStr">
        <is>
          <t>High</t>
        </is>
      </c>
      <c r="D179" s="3" t="inlineStr">
        <is>
          <t>Dosing – adult</t>
        </is>
      </c>
      <c r="E179" s="3" t="inlineStr"/>
      <c r="F179" s="3" t="inlineStr">
        <is>
          <t>Correct garbled day −8/−2 HSCT text, mark off-label; add FDA transplant-prevention regimen</t>
        </is>
      </c>
      <c r="G179" s="3" t="inlineStr">
        <is>
          <t>'5 mg/kg every 24 hours from day  8 to day  2 followed by high dose valacyclovir post-transplant'</t>
        </is>
      </c>
      <c r="H179" s="3" t="inlineStr">
        <is>
          <t>The text is garbled; it looks like the minus signs for day −8 to day −2 pre-transplant were lost. It describes off-label guideline use that is not in any label. The FDA transplant-prevention regimen is 5 mg/kg q12h × 7–14 d, then 5 mg/kg/day (7 d/wk) or 6 mg/kg (5 d/wk) to day 100–120.</t>
        </is>
      </c>
      <c r="I179" s="3" t="inlineStr">
        <is>
          <t>US FDA label §2.4 https://dailymed.nlm.nih.gov/dailymed/drugInfo.cfm?setid=87afd103-6e64-444f-971d-0e732e9ae995</t>
        </is>
      </c>
      <c r="J179" s="3" t="inlineStr">
        <is>
          <t>Open</t>
        </is>
      </c>
      <c r="K179" s="3" t="inlineStr"/>
    </row>
    <row r="180">
      <c r="A180" s="3" t="n">
        <v>1028</v>
      </c>
      <c r="B180" s="3" t="inlineStr">
        <is>
          <t>Ganciclovir (GAN03)</t>
        </is>
      </c>
      <c r="C180" s="7" t="inlineStr">
        <is>
          <t>High</t>
        </is>
      </c>
      <c r="D180" s="3" t="inlineStr">
        <is>
          <t>Dosing – renal/dialysis</t>
        </is>
      </c>
      <c r="E180" s="3" t="inlineStr">
        <is>
          <t>Renal table outdated</t>
        </is>
      </c>
      <c r="F180" s="3" t="inlineStr">
        <is>
          <t>Fix renal bands ≥70, 50–69, 25–49, 10–24, &lt;10; dose after each HD session 3×/week</t>
        </is>
      </c>
      <c r="G180" s="3" t="inlineStr">
        <is>
          <t>CrCl rows shown as '&gt;70', '50 to', '25 to', '10 to' (upper bounds missing), and the last row has no CrCl label. It gives '3 times weekly (every 48 to 72 hours)'.</t>
        </is>
      </c>
      <c r="H180" s="3" t="inlineStr">
        <is>
          <t>Cutoffs are ≥70, 50–69, 25–49, 10–24 and &lt;10 mL/min. For &lt;10 / HD the dose is given 3 times a week shortly after each haemodialysis session (HD lowers levels ~50%).</t>
        </is>
      </c>
      <c r="I180" s="3" t="inlineStr">
        <is>
          <t>US FDA §2.5 Table 1; Taiwan 仿單 §3.3 表1</t>
        </is>
      </c>
      <c r="J180" s="3" t="inlineStr">
        <is>
          <t>Open</t>
        </is>
      </c>
      <c r="K180" s="3" t="inlineStr"/>
    </row>
    <row r="181">
      <c r="A181" s="3" t="n">
        <v>1039</v>
      </c>
      <c r="B181" s="3" t="inlineStr">
        <is>
          <t>Ganciclovir (GAN03)</t>
        </is>
      </c>
      <c r="C181" s="7" t="inlineStr">
        <is>
          <t>High</t>
        </is>
      </c>
      <c r="D181" s="3" t="inlineStr">
        <is>
          <t>Dosing – renal/dialysis</t>
        </is>
      </c>
      <c r="E181" s="3" t="inlineStr">
        <is>
          <t>Renal table outdated</t>
        </is>
      </c>
      <c r="F181" s="3" t="inlineStr">
        <is>
          <t>Fix renal bands (≥70, 50–69, 25–49, 10–24, &lt;10); &lt;10: 1.25/0.625 mg/kg 3×/wk after HD</t>
        </is>
      </c>
      <c r="G181" s="3" t="inlineStr">
        <is>
          <t>Rows read '&gt;70', '50 to', '25 to', '10 to' with the upper bounds missing. The last row has no CrCl label and says '3 times weekly (every 48 to 72 hours)'.</t>
        </is>
      </c>
      <c r="H181" s="3" t="inlineStr">
        <is>
          <t>The rows should read ≥70, 50–69, 25–49, 10–24 and &lt;10 mL/min. For &lt;10, the dose is 1.25 / 0.625 mg/kg 3×/week given after haemodialysis; the FDA adds that HD doses must not exceed these values.</t>
        </is>
      </c>
      <c r="I181" s="3" t="inlineStr">
        <is>
          <t>TW 仿單 3.3 表1; US FDA label §2.5 Table 1 https://dailymed.nlm.nih.gov/dailymed/drugInfo.cfm?setid=87afd103-6e64-444f-971d-0e732e9ae995</t>
        </is>
      </c>
      <c r="J181" s="3" t="inlineStr">
        <is>
          <t>Open</t>
        </is>
      </c>
      <c r="K181" s="3" t="inlineStr"/>
    </row>
    <row r="182">
      <c r="A182" s="3" t="n">
        <v>645</v>
      </c>
      <c r="B182" s="3" t="inlineStr">
        <is>
          <t>Gentamicin (GEN04)</t>
        </is>
      </c>
      <c r="C182" s="7" t="inlineStr">
        <is>
          <t>High</t>
        </is>
      </c>
      <c r="D182" s="3" t="inlineStr">
        <is>
          <t>Contraindication/warning</t>
        </is>
      </c>
      <c r="E182" s="3" t="inlineStr"/>
      <c r="F182" s="3" t="inlineStr">
        <is>
          <t>Add myasthenia gravis contraindication (UK) / neuromuscular disorder warning</t>
        </is>
      </c>
      <c r="G182" s="3" t="inlineStr">
        <is>
          <t>Hypersensitivity to gentamicin or other aminoglycosides only</t>
        </is>
      </c>
      <c r="H182" s="3" t="inlineStr">
        <is>
          <t>UK SmPC 4.3 also contraindicates myasthenia gravis; the US and TW labels warn about use in neuromuscular disorders (myasthenia gravis, parkinsonism)</t>
        </is>
      </c>
      <c r="I182" s="3" t="inlineStr">
        <is>
          <t>https://www.medicines.org.uk/emc/product/14742/smpc (4.3); https://dailymed.nlm.nih.gov/dailymed/drugInfo.cfm?setid=977180b3-a222-4282-d485-4a3217674305 (PRECAUTIONS)</t>
        </is>
      </c>
      <c r="J182" s="3" t="inlineStr">
        <is>
          <t>Open</t>
        </is>
      </c>
      <c r="K182" s="3" t="inlineStr"/>
    </row>
    <row r="183">
      <c r="A183" s="3" t="n">
        <v>654</v>
      </c>
      <c r="B183" s="3" t="inlineStr">
        <is>
          <t>Gentamicin (GEN04)</t>
        </is>
      </c>
      <c r="C183" s="7" t="inlineStr">
        <is>
          <t>High</t>
        </is>
      </c>
      <c r="D183" s="3" t="inlineStr">
        <is>
          <t>Contraindication/warning</t>
        </is>
      </c>
      <c r="E183" s="3" t="inlineStr"/>
      <c r="F183" s="3" t="inlineStr">
        <is>
          <t>Add sulfite warning, MT-RNR1 m.1555A&gt;G ototoxicity warning, myasthenia gravis contraindication</t>
        </is>
      </c>
      <c r="G183" s="3" t="inlineStr">
        <is>
          <t>Hypersensitivity to gentamicin or other aminoglycosides only; no sulfite or mitochondrial-variant warning; 注意事項 empty</t>
        </is>
      </c>
      <c r="H183" s="3" t="inlineStr">
        <is>
          <t>The stocked product contains sodium bisulfite: TW 5.1.16 warns of sulfite allergic/asthmatic reactions. TW 5.1.17, US and UK warn about the m.1555A&gt;G (MT-RNR1) ototoxicity risk. UK SmPC 4.3 also contraindicates use in myasthenia gravis.</t>
        </is>
      </c>
      <c r="I183" s="3" t="inlineStr">
        <is>
          <t>TW insert 1.2, 5.1.16, 5.1.17 – https://mcp.fda.gov.tw/im_detail_1/%E8%A1%9B%E7%BD%B2%E8%97%A5%E8%A3%BD%E5%AD%97%E7%AC%AC008956%E8%99%9F; UK SmPC 4.3 – https://www.medicines.org.uk/emc/product/14742/smpc</t>
        </is>
      </c>
      <c r="J183" s="3" t="inlineStr">
        <is>
          <t>Open</t>
        </is>
      </c>
      <c r="K183" s="3" t="inlineStr"/>
    </row>
    <row r="184">
      <c r="A184" s="3" t="n">
        <v>640</v>
      </c>
      <c r="B184" s="3" t="inlineStr">
        <is>
          <t>Gentamicin (GEN04)</t>
        </is>
      </c>
      <c r="C184" s="7" t="inlineStr">
        <is>
          <t>High</t>
        </is>
      </c>
      <c r="D184" s="3" t="inlineStr">
        <is>
          <t>Dosing – pediatric</t>
        </is>
      </c>
      <c r="E184" s="3" t="inlineStr"/>
      <c r="F184" s="3" t="inlineStr">
        <is>
          <t>Add neonates ≤1 week: 2.5 mg/kg q12h (5 mg/kg/day); remove '1 year' cutoff</t>
        </is>
      </c>
      <c r="G184" s="3" t="inlineStr">
        <is>
          <t>'Infants and neonates, 1 year or younger: 7.5 mg/kg/day ... every 8 hours (FDA)'; 'Children, 1 year or older: 6 to 7.5 mg/kg/day'</t>
        </is>
      </c>
      <c r="H184" s="3" t="inlineStr">
        <is>
          <t>US label: premature or full-term neonates ≤1 week old get 5 mg/kg/day (2.5 mg/kg q12h). 7.5 mg/kg/day q8h applies only to older infants/neonates. The label uses no '1 year' age cutoff. Leaving out the ≤1-week regimen risks overdosing newborns.</t>
        </is>
      </c>
      <c r="I184" s="3" t="inlineStr">
        <is>
          <t>https://dailymed.nlm.nih.gov/dailymed/drugInfo.cfm?setid=977180b3-a222-4282-d485-4a3217674305 (DOSAGE AND ADMINISTRATION)</t>
        </is>
      </c>
      <c r="J184" s="3" t="inlineStr">
        <is>
          <t>Open</t>
        </is>
      </c>
      <c r="K184" s="3" t="inlineStr"/>
    </row>
    <row r="185">
      <c r="A185" s="3" t="n">
        <v>649</v>
      </c>
      <c r="B185" s="3" t="inlineStr">
        <is>
          <t>Gentamicin (GEN04)</t>
        </is>
      </c>
      <c r="C185" s="7" t="inlineStr">
        <is>
          <t>High</t>
        </is>
      </c>
      <c r="D185" s="3" t="inlineStr">
        <is>
          <t>Dosing – pediatric</t>
        </is>
      </c>
      <c r="E185" s="3" t="inlineStr"/>
      <c r="F185" s="3" t="inlineStr">
        <is>
          <t>Add neonates ≤7 days: 2.5 mg/kg q12h; add TW insert dosing</t>
        </is>
      </c>
      <c r="G185" s="3" t="inlineStr">
        <is>
          <t>Infants and neonates, 1 year or younger: 7.5 mg/kg/day IV/IM in equally divided doses every 8 hours (FDA)</t>
        </is>
      </c>
      <c r="H185" s="3" t="inlineStr">
        <is>
          <t>The same US label also says: 'Premature or Full-Term Neonates One Week of Age or Less: 5 mg/kg/day (2.5 mg/kg administered every 12 hours)'. Leaving this out risks q8h overdosing in neonates ≤7 days. The stocked product's TW insert gives 0.4–0.8 mg/kg/dose 2–3×/day, which the site does not mention.</t>
        </is>
      </c>
      <c r="I185" s="3" t="inlineStr">
        <is>
          <t>US FDA label D&amp;A – https://dailymed.nlm.nih.gov/dailymed/drugInfo.cfm?setid=977180b3-a222-4282-d485-4a3217674305; TW insert 3.1.1 – https://mcp.fda.gov.tw/im_detail_1/%E8%A1%9B%E7%BD%B2%E8%97%A5%E8%A3%BD%E5%AD%97%E7%AC%AC008956%E8%99%9F</t>
        </is>
      </c>
      <c r="J185" s="3" t="inlineStr">
        <is>
          <t>Open</t>
        </is>
      </c>
      <c r="K185" s="3" t="inlineStr"/>
    </row>
    <row r="186">
      <c r="A186" s="3" t="n">
        <v>650</v>
      </c>
      <c r="B186" s="3" t="inlineStr">
        <is>
          <t>Gentamicin (GEN04)</t>
        </is>
      </c>
      <c r="C186" s="7" t="inlineStr">
        <is>
          <t>High</t>
        </is>
      </c>
      <c r="D186" s="3" t="inlineStr">
        <is>
          <t>Dosing – renal/dialysis</t>
        </is>
      </c>
      <c r="E186" s="3" t="inlineStr">
        <is>
          <t>Renal table outdated</t>
        </is>
      </c>
      <c r="F186" s="3" t="inlineStr">
        <is>
          <t>Add label HD dose 1-1.7 mg/kg post-HD; fix '&lt;' HTML truncation hiding lowest tiers</t>
        </is>
      </c>
      <c r="G186" s="3" t="inlineStr">
        <is>
          <t>Loading dose 2–3 mg/kg, then 1–2 mg/kg every 48–72 h after HD by indication (drug-reference values)</t>
        </is>
      </c>
      <c r="H186" s="3" t="inlineStr">
        <is>
          <t>US label: 1–1.7 mg/kg at the end of each dialysis period depending on severity (children 2 mg/kg). UK SmPC: 80 mg (60 mg if &lt;60 kg) after dialysis when CrCl &lt;5. The label values are not shown. The renal text on the site is also cut off at 'GFR &lt;' and 'CrCl &lt;' (the '&lt;' breaks the HTML), so the lowest tiers do not display.</t>
        </is>
      </c>
      <c r="I186" s="3" t="inlineStr">
        <is>
          <t>US FDA label D&amp;A – https://dailymed.nlm.nih.gov/dailymed/drugInfo.cfm?setid=977180b3-a222-4282-d485-4a3217674305; UK SmPC 4.2 – https://www.medicines.org.uk/emc/product/14742/smpc</t>
        </is>
      </c>
      <c r="J186" s="3" t="inlineStr">
        <is>
          <t>Open</t>
        </is>
      </c>
      <c r="K186" s="3" t="inlineStr"/>
    </row>
    <row r="187">
      <c r="A187" s="3" t="n">
        <v>900</v>
      </c>
      <c r="B187" s="3" t="inlineStr">
        <is>
          <t>Icomein (Itraconazole) (ICO01)</t>
        </is>
      </c>
      <c r="C187" s="7" t="inlineStr">
        <is>
          <t>High</t>
        </is>
      </c>
      <c r="D187" s="3" t="inlineStr">
        <is>
          <t>Adverse effects</t>
        </is>
      </c>
      <c r="E187" s="3" t="inlineStr">
        <is>
          <t>Missing boxed warning</t>
        </is>
      </c>
      <c r="F187" s="3" t="inlineStr">
        <is>
          <t>Add CHF boxed warning, fatal hepatotoxicity, neuropathy, hearing loss, pseudoaldosteronism, SJS/TEN</t>
        </is>
      </c>
      <c r="G187" s="3" t="inlineStr">
        <is>
          <t>GI, edema, headache, rash, abnormal LFTs, rhinitis/URTI/sinusitis, fever</t>
        </is>
      </c>
      <c r="H187" s="3" t="inlineStr">
        <is>
          <t>Leaves out label-level serious warnings: CHF (FDA boxed warning), serious or fatal hepatotoxicity, peripheral neuropathy, transient or permanent hearing loss, pseudoaldosteronism/hypokalemia, SJS/TEN.</t>
        </is>
      </c>
      <c r="I187" s="3" t="inlineStr">
        <is>
          <t>FDA BOXED WARNING/WARNINGS/PRECAUTIONS; TW §5.1, §8</t>
        </is>
      </c>
      <c r="J187" s="3" t="inlineStr">
        <is>
          <t>Open</t>
        </is>
      </c>
      <c r="K187" s="3" t="inlineStr"/>
    </row>
    <row r="188">
      <c r="A188" s="3" t="n">
        <v>885</v>
      </c>
      <c r="B188" s="3" t="inlineStr">
        <is>
          <t>Icomein (Itraconazole) (ICO01)</t>
        </is>
      </c>
      <c r="C188" s="7" t="inlineStr">
        <is>
          <t>High</t>
        </is>
      </c>
      <c r="D188" s="3" t="inlineStr">
        <is>
          <t>Dosing – hepatic</t>
        </is>
      </c>
      <c r="E188" s="3" t="inlineStr"/>
      <c r="F188" s="3" t="inlineStr">
        <is>
          <t>Add hepatotoxicity caution: avoid with raised LFTs/liver disease unless life-threatening; monitor LFTs, levels in cirrhosis</t>
        </is>
      </c>
      <c r="G188" s="3" t="inlineStr">
        <is>
          <t>Dose adjustment is not required</t>
        </is>
      </c>
      <c r="H188" s="3" t="inlineStr">
        <is>
          <t>Both labels: use with caution and monitor LFTs. Use is strongly discouraged with raised LFTs, active liver disease or previous drug hepatotoxicity unless the infection is serious or life-threatening. Cirrhosis doubles the half-life. Taiwan: monitor levels and adjust the dose if needed.</t>
        </is>
      </c>
      <c r="I188" s="3" t="inlineStr">
        <is>
          <t>US label Hepatic Impairment/WARNINGS Hepatic Effects; Taiwan insert §5.1.8, §6.6 (hospital wording per source brief)</t>
        </is>
      </c>
      <c r="J188" s="3" t="inlineStr">
        <is>
          <t>Open</t>
        </is>
      </c>
      <c r="K188" s="3" t="inlineStr"/>
    </row>
    <row r="189">
      <c r="A189" s="3" t="n">
        <v>892</v>
      </c>
      <c r="B189" s="3" t="inlineStr">
        <is>
          <t>Icomein (Itraconazole) (ICO01)</t>
        </is>
      </c>
      <c r="C189" s="7" t="inlineStr">
        <is>
          <t>High</t>
        </is>
      </c>
      <c r="D189" s="3" t="inlineStr">
        <is>
          <t>Dosing – hepatic</t>
        </is>
      </c>
      <c r="E189" s="3" t="inlineStr"/>
      <c r="F189" s="3" t="inlineStr">
        <is>
          <t>Add hepatic caution: discourage use with raised LFTs/active liver disease; monitor; fatal hepatotoxicity reported</t>
        </is>
      </c>
      <c r="G189" s="3" t="inlineStr">
        <is>
          <t>Dose adjustment is not required</t>
        </is>
      </c>
      <c r="H189" s="3" t="inlineStr">
        <is>
          <t>Use with caution and monitor carefully. Strongly discouraged if LFTs are elevated, liver disease is active or there was prior drug hepatotoxicity, unless the infection is serious or life-threatening. TW 5.1.8: in cirrhosis, check levels and adjust the dose if needed. Rare fatal hepatotoxicity.</t>
        </is>
      </c>
      <c r="I189" s="3" t="inlineStr">
        <is>
          <t>TW §5.1.8/§6.6; FDA WARNINGS Hepatic Effects, PRECAUTIONS Hepatic Impairment — https://dailymed.nlm.nih.gov/dailymed/drugInfo.cfm?setid=a4d555fa-787c-40fb-bb7d-b0d4f7318fd0</t>
        </is>
      </c>
      <c r="J189" s="3" t="inlineStr">
        <is>
          <t>Open</t>
        </is>
      </c>
      <c r="K189" s="3" t="inlineStr"/>
    </row>
    <row r="190">
      <c r="A190" s="3" t="n">
        <v>13</v>
      </c>
      <c r="B190" s="3" t="inlineStr">
        <is>
          <t>Imipenem/Cilastatin (CUL01)</t>
        </is>
      </c>
      <c r="C190" s="7" t="inlineStr">
        <is>
          <t>High</t>
        </is>
      </c>
      <c r="D190" s="3" t="inlineStr">
        <is>
          <t>Contraindication/warning</t>
        </is>
      </c>
      <c r="E190" s="3" t="inlineStr"/>
      <c r="F190" s="3" t="inlineStr">
        <is>
          <t>Add seizure/myoclonus/CNS warning (higher risk in renal impairment, CNS disease); not for meningitis</t>
        </is>
      </c>
      <c r="G190" s="3" t="inlineStr">
        <is>
          <t>Lists rash, GI, local reactions, leukopenia only</t>
        </is>
      </c>
      <c r="H190" s="3" t="inlineStr">
        <is>
          <t>**Seizures**, myoclonus, confusion (↑ with renal impairment, CNS disease); not for meningitis or pediatric CNS infections</t>
        </is>
      </c>
      <c r="I190" s="3" t="inlineStr">
        <is>
          <t>US label §1.9, §5.2</t>
        </is>
      </c>
      <c r="J190" s="3" t="inlineStr">
        <is>
          <t>Open</t>
        </is>
      </c>
      <c r="K190" s="3" t="inlineStr"/>
    </row>
    <row r="191">
      <c r="A191" s="3" t="n">
        <v>15</v>
      </c>
      <c r="B191" s="3" t="inlineStr">
        <is>
          <t>Imipenem/Cilastatin (CUL01)</t>
        </is>
      </c>
      <c r="C191" s="7" t="inlineStr">
        <is>
          <t>High</t>
        </is>
      </c>
      <c r="D191" s="3" t="inlineStr">
        <is>
          <t>Dosing – adult</t>
        </is>
      </c>
      <c r="E191" s="3" t="inlineStr"/>
      <c r="F191" s="3" t="inlineStr">
        <is>
          <t>Add maximum dose 4 g/day</t>
        </is>
      </c>
      <c r="G191" s="3" t="inlineStr">
        <is>
          <t>No maximum stated</t>
        </is>
      </c>
      <c r="H191" s="3" t="inlineStr">
        <is>
          <t>Max 4 g/day</t>
        </is>
      </c>
      <c r="I191" s="3" t="inlineStr">
        <is>
          <t>US label §2.1</t>
        </is>
      </c>
      <c r="J191" s="3" t="inlineStr">
        <is>
          <t>Open</t>
        </is>
      </c>
      <c r="K191" s="3" t="inlineStr"/>
    </row>
    <row r="192">
      <c r="A192" s="3" t="n">
        <v>11</v>
      </c>
      <c r="B192" s="3" t="inlineStr">
        <is>
          <t>Imipenem/Cilastatin (CUL01)</t>
        </is>
      </c>
      <c r="C192" s="7" t="inlineStr">
        <is>
          <t>High</t>
        </is>
      </c>
      <c r="D192" s="3" t="inlineStr">
        <is>
          <t>Dosing – renal/dialysis</t>
        </is>
      </c>
      <c r="E192" s="3" t="inlineStr">
        <is>
          <t>Renal table outdated</t>
        </is>
      </c>
      <c r="F192" s="3" t="inlineStr">
        <is>
          <t>Update renal table to US Table 3: reduce from CrCl 60–&lt;90; 30–&lt;60 and 15–&lt;30 doses revised</t>
        </is>
      </c>
      <c r="G192" s="3" t="inlineStr">
        <is>
          <t>CrCl 60–&lt;130: no adjustment; 30–60: 250 mg q6h or 500 mg q8h; 15–30: 250 mg q8h or 500 mg q12h</t>
        </is>
      </c>
      <c r="H192" s="3" t="inlineStr">
        <is>
          <t>CrCl 60–&lt;90 **requires reduction** (400 mg q6h, or 500 mg q6h / 750 mg q8h); 30–&lt;60: 300 mg q6h or 500 mg q8h; 15–&lt;30: 200 mg q6h or 500 mg q12h</t>
        </is>
      </c>
      <c r="I192" s="3" t="inlineStr">
        <is>
          <t>US label Table 3 (Primaxin, DailyMed 2025)</t>
        </is>
      </c>
      <c r="J192" s="3" t="inlineStr">
        <is>
          <t>Open</t>
        </is>
      </c>
      <c r="K192" s="3" t="inlineStr"/>
    </row>
    <row r="193">
      <c r="A193" s="3" t="n">
        <v>12</v>
      </c>
      <c r="B193" s="3" t="inlineStr">
        <is>
          <t>Imipenem/Cilastatin (CUL01)</t>
        </is>
      </c>
      <c r="C193" s="7" t="inlineStr">
        <is>
          <t>High</t>
        </is>
      </c>
      <c r="D193" s="3" t="inlineStr">
        <is>
          <t>Dosing – renal/dialysis</t>
        </is>
      </c>
      <c r="E193" s="3" t="inlineStr">
        <is>
          <t>Renal table outdated</t>
        </is>
      </c>
      <c r="F193" s="3" t="inlineStr">
        <is>
          <t>Add CrCl &lt;15 (avoid unless HD within 48 h) and HD dosing (15–&lt;30 dose, after HD)</t>
        </is>
      </c>
      <c r="G193" s="3" t="inlineStr">
        <is>
          <t>No guidance for CrCl &lt;15 or HD</t>
        </is>
      </c>
      <c r="H193" s="3" t="inlineStr">
        <is>
          <t>CrCl &lt;15: do not give unless HD within 48 h; HD: use the 15–&lt;30 dose, give after HD</t>
        </is>
      </c>
      <c r="I193" s="3" t="inlineStr">
        <is>
          <t>US label §2.3–2.4</t>
        </is>
      </c>
      <c r="J193" s="3" t="inlineStr">
        <is>
          <t>Open</t>
        </is>
      </c>
      <c r="K193" s="3" t="inlineStr"/>
    </row>
    <row r="194">
      <c r="A194" s="3" t="n">
        <v>14</v>
      </c>
      <c r="B194" s="3" t="inlineStr">
        <is>
          <t>Imipenem/Cilastatin (CUL01)</t>
        </is>
      </c>
      <c r="C194" s="7" t="inlineStr">
        <is>
          <t>High</t>
        </is>
      </c>
      <c r="D194" s="3" t="inlineStr">
        <is>
          <t>Drug interaction</t>
        </is>
      </c>
      <c r="E194" s="3" t="inlineStr">
        <is>
          <t>Interaction list incomplete</t>
        </is>
      </c>
      <c r="F194" s="3" t="inlineStr">
        <is>
          <t>Add interactions: valproate (avoid, seizure risk), ganciclovir (seizures), probenecid (not recommended)</t>
        </is>
      </c>
      <c r="G194" s="3" t="inlineStr">
        <is>
          <t>No interaction field</t>
        </is>
      </c>
      <c r="H194" s="3" t="inlineStr">
        <is>
          <t>Valproic acid/divalproex (generally not recommended), ganciclovir (seizures), probenecid (not recommended)</t>
        </is>
      </c>
      <c r="I194" s="3" t="inlineStr">
        <is>
          <t>US label §7</t>
        </is>
      </c>
      <c r="J194" s="3" t="inlineStr">
        <is>
          <t>Open</t>
        </is>
      </c>
      <c r="K194" s="3" t="inlineStr"/>
    </row>
    <row r="195">
      <c r="A195" s="3" t="n">
        <v>1093</v>
      </c>
      <c r="B195" s="3" t="inlineStr">
        <is>
          <t>Isoniazid (INAH) (ISO06, ISO07)</t>
        </is>
      </c>
      <c r="C195" s="7" t="inlineStr">
        <is>
          <t>High</t>
        </is>
      </c>
      <c r="D195" s="3" t="inlineStr">
        <is>
          <t>Administration/compatibility</t>
        </is>
      </c>
      <c r="E195" s="3" t="inlineStr"/>
      <c r="F195" s="3" t="inlineStr">
        <is>
          <t>Remove IM/IV routes; stocked ISO06/ISO07 are oral tablets only.</t>
        </is>
      </c>
      <c r="G195" s="3" t="inlineStr">
        <is>
          <t>ISO06: '900 mg … orally/IM 3 days/week'; '300 mg … orally/IM once daily'; rifampin 'orally/IV'. ISO07: 'Oral, IM' for active TB and LTBI; 藥動學 'Absorption: Oral, IM'.</t>
        </is>
      </c>
      <c r="H195" s="3" t="inlineStr">
        <is>
          <t>Both stocked products are oral tablets. The US label describes tablets 'for oral administration' and the UK SmPC says 'given by mouth'. The IM route does not apply to ISO06 or ISO07.</t>
        </is>
      </c>
      <c r="I195" s="3" t="inlineStr">
        <is>
          <t>US label DESCRIPTION/D&amp;A — https://dailymed.nlm.nih.gov/dailymed/drugInfo.cfm?setid=6dab7b7b-a3a9-47ef-b423-134bc6970d8b; UK SmPC 4.2 — https://www.medicines.org.uk/emc/product/14798/smpc</t>
        </is>
      </c>
      <c r="J195" s="3" t="inlineStr">
        <is>
          <t>Open</t>
        </is>
      </c>
      <c r="K195" s="3" t="inlineStr"/>
    </row>
    <row r="196">
      <c r="A196" s="3" t="n">
        <v>1101</v>
      </c>
      <c r="B196" s="3" t="inlineStr">
        <is>
          <t>Isoniazid (INAH) (ISO06, ISO07)</t>
        </is>
      </c>
      <c r="C196" s="7" t="inlineStr">
        <is>
          <t>High</t>
        </is>
      </c>
      <c r="D196" s="3" t="inlineStr">
        <is>
          <t>Administration/compatibility</t>
        </is>
      </c>
      <c r="E196" s="3" t="inlineStr"/>
      <c r="F196" s="3" t="inlineStr">
        <is>
          <t>Delete IM/IV route text copied from multi-formulation monograph; tablets are oral only.</t>
        </is>
      </c>
      <c r="G196" s="3" t="inlineStr">
        <is>
          <t>'900 mg orally/IM 3 days/week', '300 mg orally/IM once daily', rifampin 'orally/IV'; ISO07 'Tuberculosis, active: Oral, IM', 'LTBI: Oral, IM'; ISO07 PK 'Absorption: Oral, IM'</t>
        </is>
      </c>
      <c r="H196" s="3" t="inlineStr">
        <is>
          <t>Both stocked products are tablets, and the label route is oral only. IM/IV text was copied from a multi-formulation monograph and does not apply.</t>
        </is>
      </c>
      <c r="I196" s="3" t="inlineStr">
        <is>
          <t>DailyMed isoniazid DESCRIPTION ('tablets for oral administration'); UK SmPC 4.2</t>
        </is>
      </c>
      <c r="J196" s="3" t="inlineStr">
        <is>
          <t>Open</t>
        </is>
      </c>
      <c r="K196" s="3" t="inlineStr"/>
    </row>
    <row r="197">
      <c r="A197" s="3" t="n">
        <v>1107</v>
      </c>
      <c r="B197" s="3" t="inlineStr">
        <is>
          <t>Isoniazid (INAH) (ISO06, ISO07)</t>
        </is>
      </c>
      <c r="C197" s="7" t="inlineStr">
        <is>
          <t>High</t>
        </is>
      </c>
      <c r="D197" s="3" t="inlineStr">
        <is>
          <t>Adverse effects</t>
        </is>
      </c>
      <c r="E197" s="3" t="inlineStr">
        <is>
          <t>Missing boxed warning</t>
        </is>
      </c>
      <c r="F197" s="3" t="inlineStr">
        <is>
          <t>Add boxed fatal hepatitis, neuropathy, seizures, optic neuritis, SCAR, blood dyscrasias, lupus-like syndrome.</t>
        </is>
      </c>
      <c r="G197" s="3" t="inlineStr">
        <is>
          <t>Only 'Increased serum transaminases (mild and transient 10% to 20%)'</t>
        </is>
      </c>
      <c r="H197" s="3" t="inlineStr">
        <is>
          <t>Incomplete. The label lists severe/fatal hepatitis (boxed), peripheral neuropathy, seizures/psychosis, optic neuritis, SCAR (SJS/TEN/DRESS/AGEP), blood dyscrasias, lupus-like syndrome and cerebellar syndrome.</t>
        </is>
      </c>
      <c r="I197" s="3" t="inlineStr">
        <is>
          <t>DailyMed ADVERSE REACTIONS / WARNINGS; UK SmPC 4.8</t>
        </is>
      </c>
      <c r="J197" s="3" t="inlineStr">
        <is>
          <t>Open</t>
        </is>
      </c>
      <c r="K197" s="3" t="inlineStr"/>
    </row>
    <row r="198">
      <c r="A198" s="3" t="n">
        <v>1104</v>
      </c>
      <c r="B198" s="3" t="inlineStr">
        <is>
          <t>Isoniazid (INAH) (ISO06, ISO07)</t>
        </is>
      </c>
      <c r="C198" s="7" t="inlineStr">
        <is>
          <t>High</t>
        </is>
      </c>
      <c r="D198" s="3" t="inlineStr">
        <is>
          <t>Dosing – adult</t>
        </is>
      </c>
      <c r="E198" s="3" t="inlineStr"/>
      <c r="F198" s="3" t="inlineStr">
        <is>
          <t>Remove unrestricted once-weekly INH; note twice-weekly not generally recommended per ATS 2016.</t>
        </is>
      </c>
      <c r="G198" s="3" t="inlineStr">
        <is>
          <t>Lists 'Once-weekly DOT: 15 mg/kg/dose (usual 900 mg) once weekly' and twice-weekly as unrestricted options</t>
        </is>
      </c>
      <c r="H198" s="3" t="inlineStr">
        <is>
          <t>ATS 2016 recommends against once-weekly INH 900 mg + rifapentine 600 mg continuation except HIV-negative, non-cavitary disease, and says twice-weekly is not generally recommended. INH once weekly is never used alone for active TB. US label intermittent dosing is 2–3×/week only.</t>
        </is>
      </c>
      <c r="I198" s="3" t="inlineStr">
        <is>
          <t>Nahid 2016 PMID 27516382 Recommendations 3–4c; DailyMed DOSAGE AND ADMINISTRATION</t>
        </is>
      </c>
      <c r="J198" s="3" t="inlineStr">
        <is>
          <t>Open</t>
        </is>
      </c>
      <c r="K198" s="3" t="inlineStr"/>
    </row>
    <row r="199">
      <c r="A199" s="3" t="n">
        <v>1092</v>
      </c>
      <c r="B199" s="3" t="inlineStr">
        <is>
          <t>Isoniazid (INAH) (ISO06, ISO07)</t>
        </is>
      </c>
      <c r="C199" s="7" t="inlineStr">
        <is>
          <t>High</t>
        </is>
      </c>
      <c r="D199" s="3" t="inlineStr">
        <is>
          <t>Dosing – hepatic</t>
        </is>
      </c>
      <c r="E199" s="3" t="inlineStr"/>
      <c r="F199" s="3" t="inlineStr">
        <is>
          <t>Rewrite hepatic text: contraindicated in acute liver disease; stop if ALT &gt;3x ULN with symptoms or &gt;5x ULN.</t>
        </is>
      </c>
      <c r="G199" s="3" t="inlineStr">
        <is>
          <t>'(advanced disease or AST greater than 3 times ULN and not due to TB): Isoniazid-based regimens are preferred if possible; expert consultation and dosage adjustments may be necessary. If isoniazid cannot be used, consider regimens with fewer potentially hepatotoxic drugs.'</t>
        </is>
      </c>
      <c r="H199" s="3" t="inlineStr">
        <is>
          <t>INH is contraindicated in acute liver disease of any cause. In chronic liver disease, use with careful monitoring. Stop if transaminases are &gt;3–5× ULN or symptoms appear (US). UK 4.4: special precautions in impaired liver function, and any deterioration is a reason to stop. ATS 2006: interrupt if ALT &gt;3× ULN with symptoms or &gt;5× ULN without. No source prefers an INH-based regimen in advanced liver disease; the hospital text looks garbled.</t>
        </is>
      </c>
      <c r="I199" s="3" t="inlineStr">
        <is>
          <t>US label CONTRAINDICATIONS, BOXED WARNING, PRECAUTIONS; UK SmPC 4.3/4.4; Saukkonen 2006 PMID 17021358 — https://pubmed.ncbi.nlm.nih.gov/17021358/</t>
        </is>
      </c>
      <c r="J199" s="3" t="inlineStr">
        <is>
          <t>Open</t>
        </is>
      </c>
      <c r="K199" s="3" t="inlineStr"/>
    </row>
    <row r="200">
      <c r="A200" s="3" t="n">
        <v>1100</v>
      </c>
      <c r="B200" s="3" t="inlineStr">
        <is>
          <t>Isoniazid (INAH) (ISO06, ISO07)</t>
        </is>
      </c>
      <c r="C200" s="7" t="inlineStr">
        <is>
          <t>High</t>
        </is>
      </c>
      <c r="D200" s="3" t="inlineStr">
        <is>
          <t>Dosing – hepatic</t>
        </is>
      </c>
      <c r="E200" s="3" t="inlineStr"/>
      <c r="F200" s="3" t="inlineStr">
        <is>
          <t>Correct hepatic advice: prefer fewer hepatotoxic drugs, use ALT, note contraindication in acute liver disease.</t>
        </is>
      </c>
      <c r="G200" s="3" t="inlineStr">
        <is>
          <t>(advanced disease or AST &gt;3× ULN not due to TB): 'Isoniazid-based regimens are preferred if possible; expert consultation... If isoniazid cannot be used, consider treatment regimens with fewer potentially hepatotoxic drugs.'</t>
        </is>
      </c>
      <c r="H200" s="3" t="inlineStr">
        <is>
          <t>ATS 2016 makes 'regimens with fewer potentially hepatotoxic agents' the primary advice in advanced liver disease or baseline ALT &gt;3× ULN, while retaining INH and especially RIF if at all possible. The hospital text reverses this order and uses AST instead of ALT. It is a compressed paraphrase rather than pure garble, but it is misleading. US label: contraindicated in acute liver disease.</t>
        </is>
      </c>
      <c r="I200" s="3" t="inlineStr">
        <is>
          <t>Nahid 2016 PMID 27516382 Hepatic Disease section (idsociety.org full text); DailyMed CONTRAINDICATIONS</t>
        </is>
      </c>
      <c r="J200" s="3" t="inlineStr">
        <is>
          <t>Open</t>
        </is>
      </c>
      <c r="K200" s="3" t="inlineStr"/>
    </row>
    <row r="201">
      <c r="A201" s="3" t="n">
        <v>1102</v>
      </c>
      <c r="B201" s="3" t="inlineStr">
        <is>
          <t>Isoniazid (INAH) (ISO06, ISO07)</t>
        </is>
      </c>
      <c r="C201" s="7" t="inlineStr">
        <is>
          <t>High</t>
        </is>
      </c>
      <c r="D201" s="3" t="inlineStr">
        <is>
          <t>Dosing – pediatric</t>
        </is>
      </c>
      <c r="E201" s="3" t="inlineStr"/>
      <c r="F201" s="3" t="inlineStr">
        <is>
          <t>Correct thrice-weekly 4-month continuation to 54 doses; 126 doses is the daily regimen.</t>
        </is>
      </c>
      <c r="G201" s="3" t="inlineStr">
        <is>
          <t>'900 mg ... 3 days/week for 4 months (126 doses)'</t>
        </is>
      </c>
      <c r="H201" s="3" t="inlineStr">
        <is>
          <t>Internal inconsistency: 3×/week for 4 months is about 54 doses, which is what the hospital's own adult row says. 126 doses corresponds to daily dosing.</t>
        </is>
      </c>
      <c r="I201" s="3" t="inlineStr">
        <is>
          <t>Nahid 2016 PMID 27516382 (dose counts); ISO06 adult row</t>
        </is>
      </c>
      <c r="J201" s="3" t="inlineStr">
        <is>
          <t>Open</t>
        </is>
      </c>
      <c r="K201" s="3" t="inlineStr"/>
    </row>
    <row r="202">
      <c r="A202" s="3" t="n">
        <v>1106</v>
      </c>
      <c r="B202" s="3" t="inlineStr">
        <is>
          <t>Isoniazid (INAH) (ISO06, ISO07)</t>
        </is>
      </c>
      <c r="C202" s="7" t="inlineStr">
        <is>
          <t>High</t>
        </is>
      </c>
      <c r="D202" s="3" t="inlineStr">
        <is>
          <t>Dosing – pediatric</t>
        </is>
      </c>
      <c r="E202" s="3" t="inlineStr"/>
      <c r="F202" s="3" t="inlineStr">
        <is>
          <t>Restore missing child dose 10–15 mg/kg daily (max 300 mg) for &lt;40 kg/&lt;15 y.</t>
        </is>
      </c>
      <c r="G202" s="3" t="inlineStr">
        <is>
          <t>'Infants, Children and Adolescents 40 kg and Adolescents ?15 years: 5 mg/kg/dose once daily' (the &lt;40 kg dose is missing)</t>
        </is>
      </c>
      <c r="H202" s="3" t="inlineStr">
        <is>
          <t>Children: 10–15 mg/kg QD (max 300 mg). Adult dose (5 mg/kg, 300 mg) only for ≥15 y or &gt;40 kg. The text is truncated and could lead to under-dosing of small children.</t>
        </is>
      </c>
      <c r="I202" s="3" t="inlineStr">
        <is>
          <t>DailyMed DOSAGE AND ADMINISTRATION (Children 10–15 mg/kg); UK SmPC 4.2</t>
        </is>
      </c>
      <c r="J202" s="3" t="inlineStr">
        <is>
          <t>Open</t>
        </is>
      </c>
      <c r="K202" s="3" t="inlineStr"/>
    </row>
    <row r="203">
      <c r="A203" s="3" t="n">
        <v>1258</v>
      </c>
      <c r="B203" s="3" t="inlineStr">
        <is>
          <t>Juluca (Dolutegravir/Rilpivirine) (JUL01)</t>
        </is>
      </c>
      <c r="C203" s="7" t="inlineStr">
        <is>
          <t>High</t>
        </is>
      </c>
      <c r="D203" s="3" t="inlineStr">
        <is>
          <t>Administration/compatibility</t>
        </is>
      </c>
      <c r="E203" s="3" t="inlineStr"/>
      <c r="F203" s="3" t="inlineStr">
        <is>
          <t>Add 'must be taken with a meal' to dosing.</t>
        </is>
      </c>
      <c r="G203" s="3" t="inlineStr">
        <is>
          <t>One tablet once daily (no mention of food)</t>
        </is>
      </c>
      <c r="H203" s="3" t="inlineStr">
        <is>
          <t>One tablet once daily WITH A MEAL (US §2.1; 仿單 §3.1 每日一次隨餐服用; UK 4.2 'must be taken with a meal')</t>
        </is>
      </c>
      <c r="I203" s="3" t="inlineStr">
        <is>
          <t>US §2.1 https://dailymed.nlm.nih.gov/dailymed/drugInfo.cfm?setid=806653d1-bf35-4924-b999-ad5d21821cc1 ; 仿單 §3.1 https://mcp.fda.gov.tw/im_detail_1/%E8%A1%9B%E9%83%A8%E8%97%A5%E8%BC%B8%E5%AD%97%E7%AC%AC027514%E8%99%9F</t>
        </is>
      </c>
      <c r="J203" s="3" t="inlineStr">
        <is>
          <t>Open</t>
        </is>
      </c>
      <c r="K203" s="3" t="inlineStr"/>
    </row>
    <row r="204">
      <c r="A204" s="3" t="n">
        <v>1268</v>
      </c>
      <c r="B204" s="3" t="inlineStr">
        <is>
          <t>Juluca (Dolutegravir/Rilpivirine) (JUL01)</t>
        </is>
      </c>
      <c r="C204" s="7" t="inlineStr">
        <is>
          <t>High</t>
        </is>
      </c>
      <c r="D204" s="3" t="inlineStr">
        <is>
          <t>Administration/compatibility</t>
        </is>
      </c>
      <c r="E204" s="3" t="inlineStr">
        <is>
          <t>Interaction list incomplete</t>
        </is>
      </c>
      <c r="F204" s="3" t="inlineStr">
        <is>
          <t>Add 'take with a meal' and rifabutin extra rilpivirine 25 mg daily.</t>
        </is>
      </c>
      <c r="G204" s="3" t="inlineStr">
        <is>
          <t>One tablet once daily (no food instruction, no rifabutin adjustment)</t>
        </is>
      </c>
      <c r="H204" s="3" t="inlineStr">
        <is>
          <t>One tablet once daily WITH A MEAL. With rifabutin, add rilpivirine 25 mg once daily with a meal.</t>
        </is>
      </c>
      <c r="I204" s="3" t="inlineStr">
        <is>
          <t>TW insert 3.1; US label 2.1/2.2 https://dailymed.nlm.nih.gov/dailymed/drugInfo.cfm?setid=806653d1-bf35-4924-b999-ad5d21821cc1</t>
        </is>
      </c>
      <c r="J204" s="3" t="inlineStr">
        <is>
          <t>Open</t>
        </is>
      </c>
      <c r="K204" s="3" t="inlineStr"/>
    </row>
    <row r="205">
      <c r="A205" s="3" t="n">
        <v>1259</v>
      </c>
      <c r="B205" s="3" t="inlineStr">
        <is>
          <t>Juluca (Dolutegravir/Rilpivirine) (JUL01)</t>
        </is>
      </c>
      <c r="C205" s="7" t="inlineStr">
        <is>
          <t>High</t>
        </is>
      </c>
      <c r="D205" s="3" t="inlineStr">
        <is>
          <t>Drug interaction</t>
        </is>
      </c>
      <c r="E205" s="3" t="inlineStr">
        <is>
          <t>Interaction list incomplete</t>
        </is>
      </c>
      <c r="F205" s="3" t="inlineStr">
        <is>
          <t>Add rilpivirine 25 mg daily with a meal during rifabutin co-administration.</t>
        </is>
      </c>
      <c r="G205" s="3" t="inlineStr">
        <is>
          <t>No rifabutin dose adjustment</t>
        </is>
      </c>
      <c r="H205" s="3" t="inlineStr">
        <is>
          <t>With rifabutin, add rilpivirine 25 mg once daily with a meal for the duration of rifabutin (US §2.2, 仿單 §3.1)</t>
        </is>
      </c>
      <c r="I205" s="3" t="inlineStr">
        <is>
          <t>US §2.2 / 仿單 §3.1 (URLs above)</t>
        </is>
      </c>
      <c r="J205" s="3" t="inlineStr">
        <is>
          <t>Open</t>
        </is>
      </c>
      <c r="K205" s="3" t="inlineStr"/>
    </row>
    <row r="206">
      <c r="A206" s="3" t="n">
        <v>717</v>
      </c>
      <c r="B206" s="3" t="inlineStr">
        <is>
          <t>Klaricid (Clarithromycin) (KLA02, KLA03)</t>
        </is>
      </c>
      <c r="C206" s="7" t="inlineStr">
        <is>
          <t>High</t>
        </is>
      </c>
      <c r="D206" s="3" t="inlineStr">
        <is>
          <t>Dosing – pediatric</t>
        </is>
      </c>
      <c r="E206" s="3" t="inlineStr"/>
      <c r="F206" s="3" t="inlineStr">
        <is>
          <t>Remove oral peds dose from IV page; IV not recommended &lt;12 y, insufficient data &lt;18 y</t>
        </is>
      </c>
      <c r="G206" s="3" t="inlineStr">
        <is>
          <t>Infants, Children, and Adolescents: Immediate release: Oral: 7.5 mg/kg/dose every 12 hours; max 500 mg/dose</t>
        </is>
      </c>
      <c r="H206" s="3" t="inlineStr">
        <is>
          <t>This is an oral dose shown on an IV product page. The TW IV insert and UK IV SmPC say IV clarithromycin is not recommended under 12 years and there are insufficient data under 18 years.</t>
        </is>
      </c>
      <c r="I206" s="3" t="inlineStr">
        <is>
          <t>TW 仿單 Klaricid IV 8 d. 兒童; UK SmPC 9235 4.2 Paediatric population: https://www.medicines.org.uk/emc/product/9235/smpc</t>
        </is>
      </c>
      <c r="J206" s="3" t="inlineStr">
        <is>
          <t>Open</t>
        </is>
      </c>
      <c r="K206" s="3" t="inlineStr"/>
    </row>
    <row r="207">
      <c r="A207" s="3" t="n">
        <v>721</v>
      </c>
      <c r="B207" s="3" t="inlineStr">
        <is>
          <t>Klaricid (Clarithromycin) (KLA02, KLA03)</t>
        </is>
      </c>
      <c r="C207" s="7" t="inlineStr">
        <is>
          <t>High</t>
        </is>
      </c>
      <c r="D207" s="3" t="inlineStr">
        <is>
          <t>Dosing – pediatric</t>
        </is>
      </c>
      <c r="E207" s="3" t="inlineStr"/>
      <c r="F207" s="3" t="inlineStr">
        <is>
          <t>Remove oral peds dose from IV page; state IV not recommended &lt;12 y</t>
        </is>
      </c>
      <c r="G207" s="3" t="inlineStr">
        <is>
          <t>Infants, children, adolescents: Immediate release: Oral: 7.5 mg/kg/dose every 12 hours; max 500 mg/dose (an oral dose shown on the IV product page)</t>
        </is>
      </c>
      <c r="H207" s="3" t="inlineStr">
        <is>
          <t>There are insufficient data for the IV formulation under 18 y (仿單 IV, paediatric ADR section d; UK IV SmPC 4.2). It is not recommended under 12 y, who should use the oral paediatric suspension (UK 4.2). The 仿單 IV adult dose is defined for ≥18 y.</t>
        </is>
      </c>
      <c r="I207" s="3" t="inlineStr">
        <is>
          <t>仿單 IV https://mcp.fda.gov.tw/im_detail_1/%E8%A1%9B%E9%83%A8%E8%97%A5%E8%BC%B8%E5%AD%97%E7%AC%AC026747%E8%99%9F ; UK SmPC 4.2 https://www.medicines.org.uk/emc/product/9235/smpc</t>
        </is>
      </c>
      <c r="J207" s="3" t="inlineStr">
        <is>
          <t>Open</t>
        </is>
      </c>
      <c r="K207" s="3" t="inlineStr"/>
    </row>
    <row r="208">
      <c r="A208" s="3" t="n">
        <v>716</v>
      </c>
      <c r="B208" s="3" t="inlineStr">
        <is>
          <t>Klaricid (Clarithromycin) (KLA02, KLA03)</t>
        </is>
      </c>
      <c r="C208" s="7" t="inlineStr">
        <is>
          <t>High</t>
        </is>
      </c>
      <c r="D208" s="3" t="inlineStr">
        <is>
          <t>Dosing – renal/dialysis</t>
        </is>
      </c>
      <c r="E208" s="3" t="inlineStr">
        <is>
          <t>Renal table outdated</t>
        </is>
      </c>
      <c r="F208" s="3" t="inlineStr">
        <is>
          <t>Replace IV renal table: TW avoid in renal impairment; UK CrCl &lt;30 half dose</t>
        </is>
      </c>
      <c r="G208" s="3" t="inlineStr">
        <is>
          <t>CrCl &gt;50: no adjustment; CrCl 10–50: 500 mg q12–24h; CrCl &lt;10: 500 mg q24h (the &lt;10 tier is per the source brief; the page fetch truncated after 'CrCl')</t>
        </is>
      </c>
      <c r="H208" s="3" t="inlineStr">
        <is>
          <t>TW Klaricid IV 仿單 3.1: 不建議腎功能不全病人使用本品 (avoid in renal impairment). UK IV SmPC 4.2: CrCl &lt;30 → half the normal dose. The hospital's CrCl cut-offs (&gt;50, 10–50) and 'q12–24h at CrCl 10–50' match neither label. The US label also starts adjustment only below 30 (or 30–60 with atazanavir/ritonavir).</t>
        </is>
      </c>
      <c r="I208" s="3" t="inlineStr">
        <is>
          <t>TW 仿單 Klaricid IV: https://mcp.fda.gov.tw/im_detail_1/%E8%A1%9B%E9%83%A8%E8%97%A5%E8%BC%B8%E5%AD%97%E7%AC%AC026747%E8%99%9F; UK SmPC 9235 4.2: https://www.medicines.org.uk/emc/product/9235/smpc</t>
        </is>
      </c>
      <c r="J208" s="3" t="inlineStr">
        <is>
          <t>Open</t>
        </is>
      </c>
      <c r="K208" s="3" t="inlineStr"/>
    </row>
    <row r="209">
      <c r="A209" s="3" t="n">
        <v>720</v>
      </c>
      <c r="B209" s="3" t="inlineStr">
        <is>
          <t>Klaricid (Clarithromycin) (KLA02, KLA03)</t>
        </is>
      </c>
      <c r="C209" s="7" t="inlineStr">
        <is>
          <t>High</t>
        </is>
      </c>
      <c r="D209" s="3" t="inlineStr">
        <is>
          <t>Dosing – renal/dialysis</t>
        </is>
      </c>
      <c r="E209" s="3" t="inlineStr">
        <is>
          <t>Renal table outdated</t>
        </is>
      </c>
      <c r="F209" s="3" t="inlineStr">
        <is>
          <t>Replace IV renal scheme: avoid in renal impairment (TW); CrCl &lt;30 half dose (UK)</t>
        </is>
      </c>
      <c r="G209" s="3" t="inlineStr">
        <is>
          <t>CrCl &gt;50: no dosage adjustment; CrCl 10–50: 500 mg q12–24h; CrCl &lt;10: (q24h, truncated on page)</t>
        </is>
      </c>
      <c r="H209" s="3" t="inlineStr">
        <is>
          <t>The Taiwan Klaricid IV insert §3.1 says 不建議腎功能不全病人使用本品, and §5.1 says 對腎功能不全的病人應避免使用. The UK IV SmPC 4.2 says CrCl &lt;30 → half dose. Neither label has a CrCl &gt;50 / 10–50 / &lt;10 scheme, and the hospital's 500 mg q12h at CrCl 30–50 is twice what the UK label would give below 30.</t>
        </is>
      </c>
      <c r="I209" s="3" t="inlineStr">
        <is>
          <t>仿單 衛部藥輸字第026747號 https://mcp.fda.gov.tw/im_detail_1/%E8%A1%9B%E9%83%A8%E8%97%A5%E8%BC%B8%E5%AD%97%E7%AC%AC026747%E8%99%9F ; UK SmPC https://www.medicines.org.uk/emc/product/9235/smpc</t>
        </is>
      </c>
      <c r="J209" s="3" t="inlineStr">
        <is>
          <t>Open</t>
        </is>
      </c>
      <c r="K209" s="3" t="inlineStr"/>
    </row>
    <row r="210">
      <c r="A210" s="3" t="n">
        <v>789</v>
      </c>
      <c r="B210" s="3" t="inlineStr">
        <is>
          <t>LinDACIN (Clindamycin) (LIN01, BB901)</t>
        </is>
      </c>
      <c r="C210" s="7" t="inlineStr">
        <is>
          <t>High</t>
        </is>
      </c>
      <c r="D210" s="3" t="inlineStr">
        <is>
          <t>Administration/compatibility</t>
        </is>
      </c>
      <c r="E210" s="3" t="inlineStr"/>
      <c r="F210" s="3" t="inlineStr">
        <is>
          <t>Add stocked-product limits: ≤12 mg/mL, ≤30 mg/min, ≤1200 mg per hour infusion</t>
        </is>
      </c>
      <c r="G210" s="3" t="inlineStr">
        <is>
          <t>IVD over 10–60 min (Handbook); no maximum concentration stated</t>
        </is>
      </c>
      <c r="H210" s="3" t="inlineStr">
        <is>
          <t>The B.B. TW insert says 300–1200 mg over 10–40 min, concentration ≤12 mg/mL, ≤30 mg/min and ≤1200 mg per hour. US/UK say ≤18 mg/mL and infuse over 10–60 min. The page should give the stocked product's 12 mg/mL limit.</t>
        </is>
      </c>
      <c r="I210" s="3" t="inlineStr">
        <is>
          <t>TW 仿單 B.B. 用法用量 – https://mcp.fda.gov.tw/insert/pdfcasefile/i_a1c8370b-3c6f-4d31-b8c1-9f12610c3e9e</t>
        </is>
      </c>
      <c r="J210" s="3" t="inlineStr">
        <is>
          <t>Open</t>
        </is>
      </c>
      <c r="K210" s="3" t="inlineStr"/>
    </row>
    <row r="211">
      <c r="A211" s="3" t="n">
        <v>781</v>
      </c>
      <c r="B211" s="3" t="inlineStr">
        <is>
          <t>LinDACIN (Clindamycin) (LIN01, BB901)</t>
        </is>
      </c>
      <c r="C211" s="7" t="inlineStr">
        <is>
          <t>High</t>
        </is>
      </c>
      <c r="D211" s="3" t="inlineStr">
        <is>
          <t>Contraindication/warning</t>
        </is>
      </c>
      <c r="E211" s="3" t="inlineStr"/>
      <c r="F211" s="3" t="inlineStr">
        <is>
          <t>Add benzyl alcohol warning: gasping syndrome; not for premature babies/neonates (BB901)</t>
        </is>
      </c>
      <c r="G211" s="3" t="inlineStr">
        <is>
          <t>Not mentioned</t>
        </is>
      </c>
      <c r="H211" s="3" t="inlineStr">
        <is>
          <t>B.B. contains benzyl alcohol (TW 仿單【成份】). The US label warns of 'gasping syndrome' and death in neonates. The UK Dalacin C Phosphate SmPC 4.3 says it 'must not be given to premature babies or neonates'.</t>
        </is>
      </c>
      <c r="I211" s="3" t="inlineStr">
        <is>
          <t>US injection WARNINGS - https://dailymed.nlm.nih.gov/dailymed/drugInfo.cfm?setid=7a6967b3-5563-4bed-9eee-d400f800e799; UK SmPC 1078 4.3 - https://www.medicines.org.uk/emc/product/1078/smpc</t>
        </is>
      </c>
      <c r="J211" s="3" t="inlineStr">
        <is>
          <t>Open</t>
        </is>
      </c>
      <c r="K211" s="3" t="inlineStr"/>
    </row>
    <row r="212">
      <c r="A212" s="3" t="n">
        <v>785</v>
      </c>
      <c r="B212" s="3" t="inlineStr">
        <is>
          <t>LinDACIN (Clindamycin) (LIN01, BB901)</t>
        </is>
      </c>
      <c r="C212" s="7" t="inlineStr">
        <is>
          <t>High</t>
        </is>
      </c>
      <c r="D212" s="3" t="inlineStr">
        <is>
          <t>Contraindication/warning</t>
        </is>
      </c>
      <c r="E212" s="3" t="inlineStr"/>
      <c r="F212" s="3" t="inlineStr">
        <is>
          <t>Remove 'diarrhea states' as CI (make it caution); add neonate/premature CI for benzyl-alcohol BB901</t>
        </is>
      </c>
      <c r="G212" s="3" t="inlineStr">
        <is>
          <t>Hypersensitivity, diarrhea states.</t>
        </is>
      </c>
      <c r="H212" s="3" t="inlineStr">
        <is>
          <t>The only contraindication in the US, UK and TW labels is hypersensitivity to clindamycin or lincomycin. 'Diarrhea states' is not a labelled contraindication; GI/colitis history is a caution. The UK IV SmPC also contraindicates the benzyl-alcohol product in premature babies and neonates, which the BB901 page omits.</t>
        </is>
      </c>
      <c r="I212" s="3" t="inlineStr">
        <is>
          <t>US label CONTRAINDICATIONS – https://dailymed.nlm.nih.gov/dailymed/drugInfo.cfm?setid=7a6967b3-5563-4bed-9eee-d400f800e799; UK Dalacin C Phosphate §4.3 – https://www.medicines.org.uk/emc/product/1078/smpc; TW B.B. 仿單 注意事項1 – https://mcp.fda.gov.tw/insert/pdfcasefile/i_a1c8370b-3c6f-4d31-b8c1-9f12610c3e9e</t>
        </is>
      </c>
      <c r="J212" s="3" t="inlineStr">
        <is>
          <t>Open</t>
        </is>
      </c>
      <c r="K212" s="3" t="inlineStr"/>
    </row>
    <row r="213">
      <c r="A213" s="3" t="n">
        <v>790</v>
      </c>
      <c r="B213" s="3" t="inlineStr">
        <is>
          <t>LinDACIN (Clindamycin) (LIN01, BB901)</t>
        </is>
      </c>
      <c r="C213" s="7" t="inlineStr">
        <is>
          <t>High</t>
        </is>
      </c>
      <c r="D213" s="3" t="inlineStr">
        <is>
          <t>Contraindication/warning</t>
        </is>
      </c>
      <c r="E213" s="3" t="inlineStr">
        <is>
          <t>Missing SCAR (SJS/TEN/DRESS)</t>
        </is>
      </c>
      <c r="F213" s="3" t="inlineStr">
        <is>
          <t>Add AKI, SCAR (DRESS/SJS/TEN/AGEP) warnings, and neonatal benzyl-alcohol warning for BB901</t>
        </is>
      </c>
      <c r="G213" s="3" t="inlineStr">
        <is>
          <t>Diarrhea, pseudomembranous colitis, hypersensitivity, agranulocytosis, thrombocytopenia (no renal or severe-skin warnings)</t>
        </is>
      </c>
      <c r="H213" s="3" t="inlineStr">
        <is>
          <t>The US/UK labels carry a nephrotoxicity/AKI warning (monitor renal function with pre-existing dysfunction or nephrotoxins) and severe cutaneous reactions (DRESS, SJS/TEN, AGEP). The BB901 page also lacks the benzyl-alcohol 'gasping syndrome' warning for neonates.</t>
        </is>
      </c>
      <c r="I213" s="3" t="inlineStr">
        <is>
          <t>US label WARNINGS – https://dailymed.nlm.nih.gov/dailymed/drugInfo.cfm?setid=7a6967b3-5563-4bed-9eee-d400f800e799; UK caps §4.4 – https://www.medicines.org.uk/emc/product/100601/smpc</t>
        </is>
      </c>
      <c r="J213" s="3" t="inlineStr">
        <is>
          <t>Open</t>
        </is>
      </c>
      <c r="K213" s="3" t="inlineStr"/>
    </row>
    <row r="214">
      <c r="A214" s="3" t="n">
        <v>779</v>
      </c>
      <c r="B214" s="3" t="inlineStr">
        <is>
          <t>LinDACIN (Clindamycin) (LIN01, BB901)</t>
        </is>
      </c>
      <c r="C214" s="7" t="inlineStr">
        <is>
          <t>High</t>
        </is>
      </c>
      <c r="D214" s="3" t="inlineStr">
        <is>
          <t>Dosing – pediatric</t>
        </is>
      </c>
      <c r="E214" s="3" t="inlineStr"/>
      <c r="F214" s="3" t="inlineStr">
        <is>
          <t>Split peds IV dose: &gt;1 mo 20–40 mg/kg/day ÷3–4; &lt;1 mo 15–20; remove adult 2.7–4.8 g/day max</t>
        </is>
      </c>
      <c r="G214" s="3" t="inlineStr">
        <is>
          <t>Children: 15–40 mg/kg/day in divided doses IM or slow IV, maximum dose 2.7–4.8 g/day</t>
        </is>
      </c>
      <c r="H214" s="3" t="inlineStr">
        <is>
          <t>The TW B.B. 仿單 and the US label give 20–40 mg/kg/day ÷3–4 for children over 1 month and 15–20 mg/kg/day for those under 1 month. The hospital merges these into one 15–40 range. No label gives a paediatric maximum of 2.7–4.8 g/day; 4.8 g/day is the adult IV ceiling for life-threatening infection. The UK range is 15–25 mg/kg/day (25–40 if severe).</t>
        </is>
      </c>
      <c r="I214" s="3" t="inlineStr">
        <is>
          <t>TW B.B. 仿單【用法用量】 - https://mcp.fda.gov.tw/insert/pdfcasefile/i_a1c8370b-3c6f-4d31-b8c1-9f12610c3e9e; US injection D&amp;A - https://dailymed.nlm.nih.gov/dailymed/drugInfo.cfm?setid=7a6967b3-5563-4bed-9eee-d400f800e799</t>
        </is>
      </c>
      <c r="J214" s="3" t="inlineStr">
        <is>
          <t>Open</t>
        </is>
      </c>
      <c r="K214" s="3" t="inlineStr"/>
    </row>
    <row r="215">
      <c r="A215" s="3" t="n">
        <v>780</v>
      </c>
      <c r="B215" s="3" t="inlineStr">
        <is>
          <t>LinDACIN (Clindamycin) (LIN01, BB901)</t>
        </is>
      </c>
      <c r="C215" s="7" t="inlineStr">
        <is>
          <t>High</t>
        </is>
      </c>
      <c r="D215" s="3" t="inlineStr">
        <is>
          <t>Dosing – pediatric</t>
        </is>
      </c>
      <c r="E215" s="3" t="inlineStr"/>
      <c r="F215" s="3" t="inlineStr">
        <is>
          <t>Remove unsupported caps (2.7 g, 1.8 g/day), 30–40 mg/kg/day oral dose, and oral regimen from injection page</t>
        </is>
      </c>
      <c r="G215" s="3" t="inlineStr">
        <is>
          <t>IM/IV 20–40 mg/kg/day q6–8h, max 2,700 mg/day; Oral 10–25 mg/kg/day q8h, 30–40 mg/kg/day for some infections, max 1,800 mg/day</t>
        </is>
      </c>
      <c r="H215" s="3" t="inlineStr">
        <is>
          <t>No label states the 2,700 mg/day or 1,800 mg/day caps or the 30–40 mg/kg/day oral dose. Oral labels say 8–16 (16–20 if severe) ÷3–4 (US), 8–25 ÷3–4 (TW LinDACIN) and 12–25 q6h (UK). The oral dosing also appears on an injection product page.</t>
        </is>
      </c>
      <c r="I215" s="3" t="inlineStr">
        <is>
          <t>US CLEOCIN HCl - https://dailymed.nlm.nih.gov/dailymed/drugInfo.cfm?setid=df9a2a41-b132-4f43-8940-b2d773b1369a; TW LinDACIN 仿單; UK SmPC 100601 - https://www.medicines.org.uk/emc/product/100601/smpc</t>
        </is>
      </c>
      <c r="J215" s="3" t="inlineStr">
        <is>
          <t>Open</t>
        </is>
      </c>
      <c r="K215" s="3" t="inlineStr"/>
    </row>
    <row r="216">
      <c r="A216" s="3" t="n">
        <v>787</v>
      </c>
      <c r="B216" s="3" t="inlineStr">
        <is>
          <t>LinDACIN (Clindamycin) (LIN01, BB901)</t>
        </is>
      </c>
      <c r="C216" s="7" t="inlineStr">
        <is>
          <t>High</t>
        </is>
      </c>
      <c r="D216" s="3" t="inlineStr">
        <is>
          <t>Dosing – pediatric</t>
        </is>
      </c>
      <c r="E216" s="3" t="inlineStr"/>
      <c r="F216" s="3" t="inlineStr">
        <is>
          <t>Correct peds IV dose by age band; delete adult 4.8 g/day max presented as paediatric maximum</t>
        </is>
      </c>
      <c r="G216" s="3" t="inlineStr">
        <is>
          <t>Children: 15–40 mg/kg/day IM or slow IV, maximum dose 2.7–4.8 g/day</t>
        </is>
      </c>
      <c r="H216" s="3" t="inlineStr">
        <is>
          <t>Children &gt;1 month: 20–40 mg/kg/day ÷3–4 (TW B.B. insert, US); UK gives 15–25 (serious) / 25–40 (severe). Neonates &lt;1 month: 15–20 mg/kg/day. The 4.8 g/day figure is the ADULT life-threatening IV maximum (US/UK). No label gives a paediatric maximum of 2.7–4.8 g/day.</t>
        </is>
      </c>
      <c r="I216" s="3" t="inlineStr">
        <is>
          <t>TW 仿單 B.B. 用法用量 – https://mcp.fda.gov.tw/insert/pdfcasefile/i_a1c8370b-3c6f-4d31-b8c1-9f12610c3e9e; US label D&amp;A – https://dailymed.nlm.nih.gov/dailymed/drugInfo.cfm?setid=7a6967b3-5563-4bed-9eee-d400f800e799</t>
        </is>
      </c>
      <c r="J216" s="3" t="inlineStr">
        <is>
          <t>Open</t>
        </is>
      </c>
      <c r="K216" s="3" t="inlineStr"/>
    </row>
    <row r="217">
      <c r="A217" s="3" t="n">
        <v>788</v>
      </c>
      <c r="B217" s="3" t="inlineStr">
        <is>
          <t>LinDACIN (Clindamycin) (LIN01, BB901)</t>
        </is>
      </c>
      <c r="C217" s="7" t="inlineStr">
        <is>
          <t>High</t>
        </is>
      </c>
      <c r="D217" s="3" t="inlineStr">
        <is>
          <t>Dosing – pediatric</t>
        </is>
      </c>
      <c r="E217" s="3" t="inlineStr"/>
      <c r="F217" s="3" t="inlineStr">
        <is>
          <t>Delete unsupported oral regimen (10–25, 30–40 mg/kg/day, max 1.8 g) from injection page</t>
        </is>
      </c>
      <c r="G217" s="3" t="inlineStr">
        <is>
          <t>Oral: 10–25 mg/kg/day divided q8h; 30–40 mg/kg/day for some infections; max 1,800 mg/day</t>
        </is>
      </c>
      <c r="H217" s="3" t="inlineStr">
        <is>
          <t>No label supports these numbers. US caps: 8–16 / 16–20 mg/kg/day ÷3–4. UK caps: 12–25 mg/kg/day q6h. TW LinDACIN: 8–25 mg/kg/day ÷3–4. An oral regimen is also out of place on the injection page.</t>
        </is>
      </c>
      <c r="I217" s="3" t="inlineStr">
        <is>
          <t>US CLEOCIN HCl D&amp;A – https://dailymed.nlm.nih.gov/dailymed/drugInfo.cfm?setid=df9a2a41-b132-4f43-8940-b2d773b1369a; UK caps §4.2 – https://www.medicines.org.uk/emc/product/100601/smpc</t>
        </is>
      </c>
      <c r="J217" s="3" t="inlineStr">
        <is>
          <t>Open</t>
        </is>
      </c>
      <c r="K217" s="3" t="inlineStr"/>
    </row>
    <row r="218">
      <c r="A218" s="3" t="n">
        <v>926</v>
      </c>
      <c r="B218" s="3" t="inlineStr">
        <is>
          <t>Liposomal Amphotericin B (AmBisome / Ampholipad) (AMB02, AMB10)</t>
        </is>
      </c>
      <c r="C218" s="7" t="inlineStr">
        <is>
          <t>High</t>
        </is>
      </c>
      <c r="D218" s="3" t="inlineStr">
        <is>
          <t>Administration/compatibility</t>
        </is>
      </c>
      <c r="E218" s="3" t="inlineStr">
        <is>
          <t>Missing boxed warning</t>
        </is>
      </c>
      <c r="F218" s="3" t="inlineStr">
        <is>
          <t>Add warning: not interchangeable mg-for-mg with other amphotericin B products; under/overdose risk</t>
        </is>
      </c>
      <c r="G218" s="3" t="inlineStr">
        <is>
          <t>No interchangeability warning recorded in the hospital clinical text (per source brief summary)</t>
        </is>
      </c>
      <c r="H218" s="3" t="inlineStr">
        <is>
          <t>The US label and UK SmPC 4.2 say liposomal amphotericin is not interchangeable mg-for-mg with other amphotericin products. The UK adds a warning about under-dosing if conventional-amphotericin doses are used. This matters more because the hospital stocks two liposomal brands and flags the drug as high-alert.</t>
        </is>
      </c>
      <c r="I218" s="3" t="inlineStr">
        <is>
          <t>US label DOSAGE AND ADMINISTRATION; UK SmPC 4.2: https://www.medicines.org.uk/emc/product/1022/smpc</t>
        </is>
      </c>
      <c r="J218" s="3" t="inlineStr">
        <is>
          <t>Open</t>
        </is>
      </c>
      <c r="K218" s="3" t="inlineStr"/>
    </row>
    <row r="219">
      <c r="A219" s="3" t="n">
        <v>922</v>
      </c>
      <c r="B219" s="3" t="inlineStr">
        <is>
          <t>Liposomal Amphotericin B (AmBisome / Ampholipad) (AMB02, AMB10)</t>
        </is>
      </c>
      <c r="C219" s="7" t="inlineStr">
        <is>
          <t>High</t>
        </is>
      </c>
      <c r="D219" s="3" t="inlineStr">
        <is>
          <t>Dosing – adult</t>
        </is>
      </c>
      <c r="E219" s="3" t="inlineStr"/>
      <c r="F219" s="3" t="inlineStr">
        <is>
          <t>Add indication-specific doses incl. mucormycosis 5–10 mg/kg/day and cryptococcal 6 mg/kg; VL schedules</t>
        </is>
      </c>
      <c r="G219" s="3" t="inlineStr">
        <is>
          <t>Usual dose 3–6 mg/kg/day</t>
        </is>
      </c>
      <c r="H219" s="3" t="inlineStr">
        <is>
          <t>The range is incomplete. The UK SmPC gives mucormycosis 5–10 mg/kg/d (10 mg/kg with brain involvement or after solid-organ transplant) and HIV cryptococcal meningitis as a single 10 mg/kg dose on day 1. The TW AmBisome insert gives mucormycosis 5 mg/kg, with limited data up to 10 mg/kg. Indication-specific doses (empirical 3, systemic 3–5, cryptococcal 6 mg/kg/d) and the VL schedules are not separated out.</t>
        </is>
      </c>
      <c r="I219" s="3" t="inlineStr">
        <is>
          <t>UK SmPC 4.2: https://www.medicines.org.uk/emc/product/1022/smpc ; TW AmBisome insert 3.1: https://mcp.fda.gov.tw/im_detail_1/%E8%A1%9B%E7%BD%B2%E8%97%A5%E8%BC%B8%E5%AD%97%E7%AC%AC023388%E8%99%9F</t>
        </is>
      </c>
      <c r="J219" s="3" t="inlineStr">
        <is>
          <t>Open</t>
        </is>
      </c>
      <c r="K219" s="3" t="inlineStr"/>
    </row>
    <row r="220">
      <c r="A220" s="3" t="n">
        <v>929</v>
      </c>
      <c r="B220" s="3" t="inlineStr">
        <is>
          <t>Liposomal Amphotericin B (AmBisome / Ampholipad) (AMB02, AMB10)</t>
        </is>
      </c>
      <c r="C220" s="7" t="inlineStr">
        <is>
          <t>High</t>
        </is>
      </c>
      <c r="D220" s="3" t="inlineStr">
        <is>
          <t>Dosing – adult</t>
        </is>
      </c>
      <c r="E220" s="3" t="inlineStr"/>
      <c r="F220" s="3" t="inlineStr">
        <is>
          <t>Replace 3–6 range with indication-specific doses incl. crypto 6 and mucormycosis 5–10 mg/kg/day</t>
        </is>
      </c>
      <c r="G220" s="3" t="inlineStr">
        <is>
          <t>Usual dosage range: 3 to 6 mg/kg/day</t>
        </is>
      </c>
      <c r="H220" s="3" t="inlineStr">
        <is>
          <t>Indication-specific doses: empirical 3; systemic 3–5; HIV cryptococcal meningitis 6 (US/TW); VL fixed-day schedules. UK SmPC: mucormycosis 5–10 mg/kg/day and a single 10 mg/kg cryptococcal dose. TW AmBisome insert: mucormycosis starting dose 5 mg/kg/day, with limited data up to 10. Correction to the brief: the TW AmBisome insert does NOT contain the single-dose 10 mg/kg cryptococcal regimen; that regimen is UK-only.</t>
        </is>
      </c>
      <c r="I220" s="3" t="inlineStr">
        <is>
          <t>US label DOSAGE AND ADMINISTRATION; UK SmPC §4.2; TW insert 衛署藥輸字第023388號 §3.1</t>
        </is>
      </c>
      <c r="J220" s="3" t="inlineStr">
        <is>
          <t>Open</t>
        </is>
      </c>
      <c r="K220" s="3" t="inlineStr"/>
    </row>
    <row r="221">
      <c r="A221" s="3" t="n">
        <v>931</v>
      </c>
      <c r="B221" s="3" t="inlineStr">
        <is>
          <t>Liposomal Amphotericin B (AmBisome / Ampholipad) (AMB02, AMB10)</t>
        </is>
      </c>
      <c r="C221" s="7" t="inlineStr">
        <is>
          <t>High</t>
        </is>
      </c>
      <c r="D221" s="3" t="inlineStr">
        <is>
          <t>Dosing – pediatric</t>
        </is>
      </c>
      <c r="E221" s="3" t="inlineStr"/>
      <c r="F221" s="3" t="inlineStr">
        <is>
          <t>Add all pediatric indications ≥1 month at adult mg/kg doses (systemic 3–5, crypto 6, VL)</t>
        </is>
      </c>
      <c r="G221" s="3" t="inlineStr">
        <is>
          <t>Empiric therapy: 3 mg/kg/dose once daily (only)</t>
        </is>
      </c>
      <c r="H221" s="3" t="inlineStr">
        <is>
          <t>For ages ≥1 month, all indications use the same mg/kg doses as adults (systemic 3–5, cryptococcal 6, VL schedules). Under 1 month: not established.</t>
        </is>
      </c>
      <c r="I221" s="3" t="inlineStr">
        <is>
          <t>US label, Pediatric Use; UK SmPC §4.2 Paediatric population</t>
        </is>
      </c>
      <c r="J221" s="3" t="inlineStr">
        <is>
          <t>Open</t>
        </is>
      </c>
      <c r="K221" s="3" t="inlineStr"/>
    </row>
    <row r="222">
      <c r="A222" s="3" t="n">
        <v>1429</v>
      </c>
      <c r="B222" s="3" t="inlineStr">
        <is>
          <t>Maviret (Glecaprevir/Pibrentasvir) (MAV01)</t>
        </is>
      </c>
      <c r="C222" s="7" t="inlineStr">
        <is>
          <t>High</t>
        </is>
      </c>
      <c r="D222" s="3" t="inlineStr">
        <is>
          <t>Contraindication/warning</t>
        </is>
      </c>
      <c r="E222" s="3" t="inlineStr"/>
      <c r="F222" s="3" t="inlineStr">
        <is>
          <t>Specify Child-Pugh B/C or prior decompensation contraindicated; add contraindicated drugs (atazanavir, rifampicin, etc.).</t>
        </is>
      </c>
      <c r="G222" s="3" t="inlineStr">
        <is>
          <t>1. Hypersensitivity 2. Severe liver disease</t>
        </is>
      </c>
      <c r="H222" s="3" t="inlineStr">
        <is>
          <t>Contraindicated in moderate or severe hepatic impairment (Child-Pugh B or C) or any prior hepatic decompensation. Also contraindicated with atazanavir-containing products, simvastatin, dabigatran etexilate, ethinyl oestradiol &gt;20 µg, and rifampicin. 'Severe liver disease' is vague and leaves out Child-Pugh B, prior decompensation and every contraindicated drug.</t>
        </is>
      </c>
      <c r="I222" s="3" t="inlineStr">
        <is>
          <t>Taiwan insert 4 禁忌 — https://mcp.fda.gov.tw/im_detail_1/%E8%A1%9B%E9%83%A8%E8%97%A5%E8%BC%B8%E5%AD%97%E7%AC%AC027323%E8%99%9F</t>
        </is>
      </c>
      <c r="J222" s="3" t="inlineStr">
        <is>
          <t>Open</t>
        </is>
      </c>
      <c r="K222" s="3" t="inlineStr"/>
    </row>
    <row r="223">
      <c r="A223" s="3" t="n">
        <v>1430</v>
      </c>
      <c r="B223" s="3" t="inlineStr">
        <is>
          <t>Maviret (Glecaprevir/Pibrentasvir) (MAV01)</t>
        </is>
      </c>
      <c r="C223" s="7" t="inlineStr">
        <is>
          <t>High</t>
        </is>
      </c>
      <c r="D223" s="3" t="inlineStr">
        <is>
          <t>Contraindication/warning</t>
        </is>
      </c>
      <c r="E223" s="3" t="inlineStr">
        <is>
          <t>Missing boxed warning</t>
        </is>
      </c>
      <c r="F223" s="3" t="inlineStr">
        <is>
          <t>Add HBV reactivation boxed warning; test HBsAg/anti-HBc before treatment.</t>
        </is>
      </c>
      <c r="G223" s="3" t="inlineStr">
        <is>
          <t>No HBV screening or HBV reactivation warning anywhere on the page (注意事項 is empty).</t>
        </is>
      </c>
      <c r="H223" s="3" t="inlineStr">
        <is>
          <t>US Boxed Warning: risk of HBV reactivation in HCV/HBV coinfected patients. Test HBsAg and anti-HBc before starting. TW 3.1.1 and 5.1.1 require the same screening and monitoring.</t>
        </is>
      </c>
      <c r="I223" s="3" t="inlineStr">
        <is>
          <t>US FDA label Boxed Warning and 5.1 — https://dailymed.nlm.nih.gov/dailymed/drugInfo.cfm?setid=7bf99777-0401-9095-8645-16c6e907fcc0 ; Taiwan insert 3.1.1, 5.1.1</t>
        </is>
      </c>
      <c r="J223" s="3" t="inlineStr">
        <is>
          <t>Open</t>
        </is>
      </c>
      <c r="K223" s="3" t="inlineStr"/>
    </row>
    <row r="224">
      <c r="A224" s="3" t="n">
        <v>1438</v>
      </c>
      <c r="B224" s="3" t="inlineStr">
        <is>
          <t>Maviret (Glecaprevir/Pibrentasvir) (MAV01)</t>
        </is>
      </c>
      <c r="C224" s="7" t="inlineStr">
        <is>
          <t>High</t>
        </is>
      </c>
      <c r="D224" s="3" t="inlineStr">
        <is>
          <t>Contraindication/warning</t>
        </is>
      </c>
      <c r="E224" s="3" t="inlineStr"/>
      <c r="F224" s="3" t="inlineStr">
        <is>
          <t>Replace 'severe liver disease' with Child-Pugh B/C or prior decompensation; list contraindicated drugs.</t>
        </is>
      </c>
      <c r="G224" s="3" t="inlineStr">
        <is>
          <t>1. Hypersensitivity 2. Severe liver disease</t>
        </is>
      </c>
      <c r="H224" s="3" t="inlineStr">
        <is>
          <t>Should read: moderate or severe hepatic impairment (Child-Pugh B or C) OR any prior hepatic decompensation. Also contraindicated with atazanavir, simvastatin, dabigatran etexilate, EE &gt;20 µg, and rifampicin. 'Severe liver disease' is vague and could imply CP-B is allowed. The page's own 肝功能調整劑量 field correctly says CP-B is contraindicated.</t>
        </is>
      </c>
      <c r="I224" s="3" t="inlineStr">
        <is>
          <t>TW insert §4; US label §4</t>
        </is>
      </c>
      <c r="J224" s="3" t="inlineStr">
        <is>
          <t>Open</t>
        </is>
      </c>
      <c r="K224" s="3" t="inlineStr"/>
    </row>
    <row r="225">
      <c r="A225" s="3" t="n">
        <v>1439</v>
      </c>
      <c r="B225" s="3" t="inlineStr">
        <is>
          <t>Maviret (Glecaprevir/Pibrentasvir) (MAV01)</t>
        </is>
      </c>
      <c r="C225" s="7" t="inlineStr">
        <is>
          <t>High</t>
        </is>
      </c>
      <c r="D225" s="3" t="inlineStr">
        <is>
          <t>Contraindication/warning</t>
        </is>
      </c>
      <c r="E225" s="3" t="inlineStr">
        <is>
          <t>Missing boxed warning</t>
        </is>
      </c>
      <c r="F225" s="3" t="inlineStr">
        <is>
          <t>Add HBV reactivation boxed warning, hepatic decompensation and hypoglycaemia warnings.</t>
        </is>
      </c>
      <c r="G225" s="3" t="inlineStr">
        <is>
          <t>No HBV screening or reactivation warning; no hepatic decompensation warning; no hypoglycaemia warning</t>
        </is>
      </c>
      <c r="H225" s="3" t="inlineStr">
        <is>
          <t>US boxed warning and TW 5.1.1: test HBsAg and anti-HBc before treatment and monitor for HBV reactivation (fatal cases reported). TW 5.1.2: risk of decompensation or failure, mostly in the first 4 wk. TW 5.1.4: hypoglycaemia in diabetics.</t>
        </is>
      </c>
      <c r="I225" s="3" t="inlineStr">
        <is>
          <t>TW insert 3.1.1, 5.1.1, 5.1.2, 5.1.4; US label Boxed Warning/5.1</t>
        </is>
      </c>
      <c r="J225" s="3" t="inlineStr">
        <is>
          <t>Open</t>
        </is>
      </c>
      <c r="K225" s="3" t="inlineStr"/>
    </row>
    <row r="226">
      <c r="A226" s="3" t="n">
        <v>1427</v>
      </c>
      <c r="B226" s="3" t="inlineStr">
        <is>
          <t>Maviret (Glecaprevir/Pibrentasvir) (MAV01)</t>
        </is>
      </c>
      <c r="C226" s="7" t="inlineStr">
        <is>
          <t>High</t>
        </is>
      </c>
      <c r="D226" s="3" t="inlineStr">
        <is>
          <t>Dosing – adult</t>
        </is>
      </c>
      <c r="E226" s="3" t="inlineStr"/>
      <c r="F226" s="3" t="inlineStr">
        <is>
          <t>Add treatment-naïve 8-week GT1–6 regimen, transplant regimen, and take with food.</t>
        </is>
      </c>
      <c r="G226" s="3" t="inlineStr">
        <is>
          <t>Lists only treatment-experienced regimens: GT1 NS5A-experienced 16 wk; GT1 PI-experienced 12 wk; PRS-experienced GT1,2,4,5,6 8/12 wk; GT3 16 wk. 'Three tablets once daily', with no 'with food'.</t>
        </is>
      </c>
      <c r="H226" s="3" t="inlineStr">
        <is>
          <t>TW 表1: treatment-naïve GT1–6, 8 wk with or without compensated cirrhosis (the most common use). 3.3.1: liver or kidney transplant 12 wk (16 wk in the GT1 NS5A-experienced or GT3 PRS-experienced subgroups). 3.1.2: take with food (隨餐一次服用三顆錠劑).</t>
        </is>
      </c>
      <c r="I226" s="3" t="inlineStr">
        <is>
          <t>Taiwan insert 3.1.2 and 3.3.1 — https://mcp.fda.gov.tw/im_detail_1/%E8%A1%9B%E9%83%A8%E8%97%A5%E8%BC%B8%E5%AD%97%E7%AC%AC027323%E8%99%9F ; US FDA label 2.2, 2.3, 2.6 — https://dailymed.nlm.nih.gov/dailymed/drugInfo.cfm?setid=7bf99777-0401-9095-8645-16c6e907fcc0</t>
        </is>
      </c>
      <c r="J226" s="3" t="inlineStr">
        <is>
          <t>Open</t>
        </is>
      </c>
      <c r="K226" s="3" t="inlineStr"/>
    </row>
    <row r="227">
      <c r="A227" s="3" t="n">
        <v>1437</v>
      </c>
      <c r="B227" s="3" t="inlineStr">
        <is>
          <t>Maviret (Glecaprevir/Pibrentasvir) (MAV01)</t>
        </is>
      </c>
      <c r="C227" s="7" t="inlineStr">
        <is>
          <t>High</t>
        </is>
      </c>
      <c r="D227" s="3" t="inlineStr">
        <is>
          <t>Dosing – adult</t>
        </is>
      </c>
      <c r="E227" s="3" t="inlineStr"/>
      <c r="F227" s="3" t="inlineStr">
        <is>
          <t>Add treatment-naïve 8-wk regimen, transplant regimen, and instruction to take with food.</t>
        </is>
      </c>
      <c r="G227" s="3" t="inlineStr">
        <is>
          <t>Lists only treatment-experienced regimens (GT1 NS5A-exp 16 wk; PI-exp 12 wk; GT1,2,4,5,6 PRS 8/12 wk; GT3 PRS 16 wk). Does not say 'with food'.</t>
        </is>
      </c>
      <c r="H227" s="3" t="inlineStr">
        <is>
          <t>The treatment-naive regimen, which covers most patients, is missing: GT1–6 for 8 wk with or without compensated cirrhosis. The transplant regimen is also missing: 12 wk, or 16 wk for GT1 NS5A-exp/GT3 PRS-exp. Tablets must be taken with food.</t>
        </is>
      </c>
      <c r="I227" s="3" t="inlineStr">
        <is>
          <t>TW insert 3.1.2 表1, 3.3.1; US label 2.2–2.3, 2.6</t>
        </is>
      </c>
      <c r="J227" s="3" t="inlineStr">
        <is>
          <t>Open</t>
        </is>
      </c>
      <c r="K227" s="3" t="inlineStr"/>
    </row>
    <row r="228">
      <c r="A228" s="3" t="n">
        <v>1431</v>
      </c>
      <c r="B228" s="3" t="inlineStr">
        <is>
          <t>Maviret (Glecaprevir/Pibrentasvir) (MAV01)</t>
        </is>
      </c>
      <c r="C228" s="7" t="inlineStr">
        <is>
          <t>High</t>
        </is>
      </c>
      <c r="D228" s="3" t="inlineStr">
        <is>
          <t>Dosing – hepatic</t>
        </is>
      </c>
      <c r="E228" s="3" t="inlineStr"/>
      <c r="F228" s="3" t="inlineStr">
        <is>
          <t>Add contraindication for any prior hepatic decompensation, even if Child-Pugh A.</t>
        </is>
      </c>
      <c r="G228" s="3" t="inlineStr">
        <is>
          <t>Child-Pugh A no adjustment; Child-Pugh B and C contraindicated.</t>
        </is>
      </c>
      <c r="H228" s="3" t="inlineStr">
        <is>
          <t>Correct, but it omits that the drug is also contraindicated after any prior hepatic decompensation, even in Child-Pugh A.</t>
        </is>
      </c>
      <c r="I228" s="3" t="inlineStr">
        <is>
          <t>Taiwan insert 3.3.2 and 4 — https://mcp.fda.gov.tw/im_detail_1/%E8%A1%9B%E9%83%A8%E8%97%A5%E8%BC%B8%E5%AD%97%E7%AC%AC027323%E8%99%9F</t>
        </is>
      </c>
      <c r="J228" s="3" t="inlineStr">
        <is>
          <t>Open</t>
        </is>
      </c>
      <c r="K228" s="3" t="inlineStr"/>
    </row>
    <row r="229">
      <c r="A229" s="3" t="n">
        <v>1440</v>
      </c>
      <c r="B229" s="3" t="inlineStr">
        <is>
          <t>Maviret (Glecaprevir/Pibrentasvir) (MAV01)</t>
        </is>
      </c>
      <c r="C229" s="7" t="inlineStr">
        <is>
          <t>High</t>
        </is>
      </c>
      <c r="D229" s="3" t="inlineStr">
        <is>
          <t>Drug interaction</t>
        </is>
      </c>
      <c r="E229" s="3" t="inlineStr">
        <is>
          <t>Interaction list incomplete</t>
        </is>
      </c>
      <c r="F229" s="3" t="inlineStr">
        <is>
          <t>Add interactions: contraindicated rifampicin, atazanavir, simvastatin, dabigatran, EE &gt;20 µg; statin limits, digoxin, INR.</t>
        </is>
      </c>
      <c r="G229" s="3" t="inlineStr">
        <is>
          <t>No interaction information</t>
        </is>
      </c>
      <c r="H229" s="3" t="inlineStr">
        <is>
          <t>Contraindicated: rifampicin and atazanavir (all labels); simvastatin, dabigatran, EE &gt;20 µg (TW). Not recommended: carbamazepine, phenytoin, efavirenz, St John's wort, darunavir, lopinavir/r, atorvastatin, lovastatin, ciclosporin &gt;100 mg/d. Dose limits: pravastatin ≤20 mg, rosuvastatin ≤10 mg. Monitor digoxin and INR.</t>
        </is>
      </c>
      <c r="I229" s="3" t="inlineStr">
        <is>
          <t>TW insert §4, 5.1.3, 7.3 表3</t>
        </is>
      </c>
      <c r="J229" s="3" t="inlineStr">
        <is>
          <t>Open</t>
        </is>
      </c>
      <c r="K229" s="3" t="inlineStr"/>
    </row>
    <row r="230">
      <c r="A230" s="3" t="n">
        <v>397</v>
      </c>
      <c r="B230" s="3" t="inlineStr">
        <is>
          <t>Menocik (minocycline) (MEN04, MER01)</t>
        </is>
      </c>
      <c r="C230" s="7" t="inlineStr">
        <is>
          <t>High</t>
        </is>
      </c>
      <c r="D230" s="3" t="inlineStr">
        <is>
          <t>Contraindication/warning</t>
        </is>
      </c>
      <c r="E230" s="3" t="inlineStr"/>
      <c r="F230" s="3" t="inlineStr">
        <is>
          <t>Add TW insert contraindication: avoid in pregnancy, infants and children (fetal toxicity, tooth discoloration)</t>
        </is>
      </c>
      <c r="G230" s="3" t="inlineStr">
        <is>
          <t>Hypersensitivity to any tetracycline or any component of the product (only)</t>
        </is>
      </c>
      <c r="H230" s="3" t="inlineStr">
        <is>
          <t>Mero Taiwan insert §4 禁忌 also lists '孕婦、嬰兒和孩童應避免使用本品，因四環素類製品具胎兒毒害，且會造成發育期牙齒的永久變色'.</t>
        </is>
      </c>
      <c r="I230" s="3" t="inlineStr">
        <is>
          <t>https://mcp.fda.gov.tw/im_detail_1/%E8%A1%9B%E7%BD%B2%E8%97%A5%E8%A3%BD%E5%AD%97%E7%AC%AC036940%E8%99%9F</t>
        </is>
      </c>
      <c r="J230" s="3" t="inlineStr">
        <is>
          <t>Open</t>
        </is>
      </c>
      <c r="K230" s="3" t="inlineStr"/>
    </row>
    <row r="231">
      <c r="A231" s="3" t="n">
        <v>391</v>
      </c>
      <c r="B231" s="3" t="inlineStr">
        <is>
          <t>Menocik (minocycline) (MEN04, MER01)</t>
        </is>
      </c>
      <c r="C231" s="7" t="inlineStr">
        <is>
          <t>High</t>
        </is>
      </c>
      <c r="D231" s="3" t="inlineStr">
        <is>
          <t>Dosing – pediatric</t>
        </is>
      </c>
      <c r="E231" s="3" t="inlineStr"/>
      <c r="F231" s="3" t="inlineStr">
        <is>
          <t>Pediatric max: not to exceed usual adult dose (200 mg load, then 100 mg q12h), not 400 mg/day</t>
        </is>
      </c>
      <c r="G231" s="3" t="inlineStr">
        <is>
          <t>Children &gt;8 y: 4 mg/kg once, then 2 mg/kg q12h (maximum: 400 mg daily)</t>
        </is>
      </c>
      <c r="H231" s="3" t="inlineStr">
        <is>
          <t>US FDA IV label: 'not to exceed the usual adult dose', i.e. 200 mg initially, then 100 mg q12h. The Menocik insert gives no pediatric maximum.</t>
        </is>
      </c>
      <c r="I231" s="3" t="inlineStr">
        <is>
          <t>https://dailymed.nlm.nih.gov/dailymed/drugInfo.cfm?setid=e415c323-8219-464b-9e3e-72c5a796cdaa</t>
        </is>
      </c>
      <c r="J231" s="3" t="inlineStr">
        <is>
          <t>Open</t>
        </is>
      </c>
      <c r="K231" s="3" t="inlineStr"/>
    </row>
    <row r="232">
      <c r="A232" s="3" t="n">
        <v>396</v>
      </c>
      <c r="B232" s="3" t="inlineStr">
        <is>
          <t>Menocik (minocycline) (MEN04, MER01)</t>
        </is>
      </c>
      <c r="C232" s="7" t="inlineStr">
        <is>
          <t>High</t>
        </is>
      </c>
      <c r="D232" s="3" t="inlineStr">
        <is>
          <t>Dosing – pediatric</t>
        </is>
      </c>
      <c r="E232" s="3" t="inlineStr"/>
      <c r="F232" s="3" t="inlineStr">
        <is>
          <t>Pediatric max: not to exceed usual adult dose (100 mg q12h after 200 mg load)</t>
        </is>
      </c>
      <c r="G232" s="3" t="inlineStr">
        <is>
          <t>Children &gt;8 y: 4 mg/kg once, then 2 mg/kg q12h (maximum: 400 mg daily) (UTD)</t>
        </is>
      </c>
      <c r="H232" s="3" t="inlineStr">
        <is>
          <t>US FDA oral label: '4 mg/kg initially followed by 2 mg/kg every 12 hours, not to exceed the usual adult dose', i.e. 200 mg initially, then 100 mg q12h. The Mero insert gives no maximum.</t>
        </is>
      </c>
      <c r="I232" s="3" t="inlineStr">
        <is>
          <t>https://dailymed.nlm.nih.gov/dailymed/drugInfo.cfm?setid=a5fc4d50-50b2-46e0-b722-4c6b2ec47d06</t>
        </is>
      </c>
      <c r="J232" s="3" t="inlineStr">
        <is>
          <t>Open</t>
        </is>
      </c>
      <c r="K232" s="3" t="inlineStr"/>
    </row>
    <row r="233">
      <c r="A233" s="3" t="n">
        <v>399</v>
      </c>
      <c r="B233" s="3" t="inlineStr">
        <is>
          <t>Menocik (minocycline) (MEN04, MER01)</t>
        </is>
      </c>
      <c r="C233" s="7" t="inlineStr">
        <is>
          <t>High</t>
        </is>
      </c>
      <c r="D233" s="3" t="inlineStr">
        <is>
          <t>Dosing – pediatric</t>
        </is>
      </c>
      <c r="E233" s="3" t="inlineStr"/>
      <c r="F233" s="3" t="inlineStr">
        <is>
          <t>Change pediatric max from 400 mg/day to usual adult dose (200 mg/day maintenance)</t>
        </is>
      </c>
      <c r="G233" s="3" t="inlineStr">
        <is>
          <t>Children &gt;8 y: 4 mg/kg then 2 mg/kg q12h (maximum: 400 mg daily)</t>
        </is>
      </c>
      <c r="H233" s="3" t="inlineStr">
        <is>
          <t>FDA IV and oral labels say 'not to exceed the usual adult dose' (usual adult maintenance is 100 mg q12h, i.e. 200 mg/day after the loading dose). The TW inserts give no pediatric maximum. A 400 mg/day maximum is the adult ceiling, not the usual adult dose.</t>
        </is>
      </c>
      <c r="I233" s="3" t="inlineStr">
        <is>
          <t>FDA MINOCIN IV label D&amp;A https://dailymed.nlm.nih.gov/dailymed/drugInfo.cfm?setid=e415c323-8219-464b-9e3e-72c5a796cdaa ; FDA oral label D&amp;A https://dailymed.nlm.nih.gov/dailymed/drugInfo.cfm?setid=a5fc4d50-50b2-46e0-b722-4c6b2ec47d06</t>
        </is>
      </c>
      <c r="J233" s="3" t="inlineStr">
        <is>
          <t>Open</t>
        </is>
      </c>
      <c r="K233" s="3" t="inlineStr"/>
    </row>
    <row r="234">
      <c r="A234" s="3" t="n">
        <v>3</v>
      </c>
      <c r="B234" s="3" t="inlineStr">
        <is>
          <t>Meropenem (MER02)</t>
        </is>
      </c>
      <c r="C234" s="7" t="inlineStr">
        <is>
          <t>High</t>
        </is>
      </c>
      <c r="D234" s="3" t="inlineStr">
        <is>
          <t>Administration/compatibility</t>
        </is>
      </c>
      <c r="E234" s="3" t="inlineStr"/>
      <c r="F234" s="3" t="inlineStr">
        <is>
          <t>Shorten stability: NS 1 h at ≤25 °C / 15 h at ≤5 °C; D5W use immediately (US label)</t>
        </is>
      </c>
      <c r="G234" s="3" t="inlineStr">
        <is>
          <t>NS: 2 h at 15–25 °C / 18 h at 4 °C; D5W: 1 h / 8 h</t>
        </is>
      </c>
      <c r="H234" s="3" t="inlineStr">
        <is>
          <t>Infusion in NS: 1 h at ≤25 °C / 15 h at ≤5 °C; in D5W: use immediately. Bolus vial in SWFI: 3 h / 13 h</t>
        </is>
      </c>
      <c r="I234" s="3" t="inlineStr">
        <is>
          <t>US label §2 (DailyMed 2026)</t>
        </is>
      </c>
      <c r="J234" s="3" t="inlineStr">
        <is>
          <t>Open</t>
        </is>
      </c>
      <c r="K234" s="3" t="inlineStr"/>
    </row>
    <row r="235">
      <c r="A235" s="3" t="n">
        <v>680</v>
      </c>
      <c r="B235" s="3" t="inlineStr">
        <is>
          <t>Mosflow (Moxifloxacin) (MOS04, FLO02)</t>
        </is>
      </c>
      <c r="C235" s="7" t="inlineStr">
        <is>
          <t>High</t>
        </is>
      </c>
      <c r="D235" s="3" t="inlineStr">
        <is>
          <t>Breastfeeding</t>
        </is>
      </c>
      <c r="E235" s="3" t="inlineStr"/>
      <c r="F235" s="3" t="inlineStr">
        <is>
          <t>Fill MOS04 lactation: contraindicated per TW §6.2; FLO02 'Avoided' → contraindicated</t>
        </is>
      </c>
      <c r="G235" s="3" t="inlineStr">
        <is>
          <t>(blank)</t>
        </is>
      </c>
      <c r="H235" s="3" t="inlineStr">
        <is>
          <t>TW insert 6.2: 哺乳婦女禁止使用 (contraindicated in breastfeeding). LactMed has no human data and prefers an alternative. FLO02 says 'Avoided', which is closer, but the insert says contraindicated.</t>
        </is>
      </c>
      <c r="I235" s="3" t="inlineStr">
        <is>
          <t>Mosflow 仿單 6.2; LactMed NBK501040 https://www.ncbi.nlm.nih.gov/books/NBK501040/</t>
        </is>
      </c>
      <c r="J235" s="3" t="inlineStr">
        <is>
          <t>Open</t>
        </is>
      </c>
      <c r="K235" s="3" t="inlineStr"/>
    </row>
    <row r="236">
      <c r="A236" s="3" t="n">
        <v>688</v>
      </c>
      <c r="B236" s="3" t="inlineStr">
        <is>
          <t>Mosflow (Moxifloxacin) (MOS04, FLO02)</t>
        </is>
      </c>
      <c r="C236" s="7" t="inlineStr">
        <is>
          <t>High</t>
        </is>
      </c>
      <c r="D236" s="3" t="inlineStr">
        <is>
          <t>Breastfeeding</t>
        </is>
      </c>
      <c r="E236" s="3" t="inlineStr"/>
      <c r="F236" s="3" t="inlineStr">
        <is>
          <t>Fill MOS04 lactation: contraindicated (TW §6.2); LactMed prefers cipro/levofloxacin</t>
        </is>
      </c>
      <c r="G236" s="3" t="inlineStr">
        <is>
          <t>(blank)</t>
        </is>
      </c>
      <c r="H236" s="3" t="inlineStr">
        <is>
          <t>Mosflow TW insert §6.2: 使用moxifloxacin於哺乳婦女是禁止的. LactMed: no data; prefer an alternative (ciprofloxacin/levofloxacin).</t>
        </is>
      </c>
      <c r="I236" s="3" t="inlineStr">
        <is>
          <t>https://mcp.fda.gov.tw/im_detail_1/%E8%A1%9B%E7%BD%B2%E8%97%A5%E8%A3%BD%E5%AD%97%E7%AC%AC057910%E8%99%9F ; https://www.ncbi.nlm.nih.gov/books/NBK501040/</t>
        </is>
      </c>
      <c r="J236" s="3" t="inlineStr">
        <is>
          <t>Open</t>
        </is>
      </c>
      <c r="K236" s="3" t="inlineStr"/>
    </row>
    <row r="237">
      <c r="A237" s="3" t="n">
        <v>679</v>
      </c>
      <c r="B237" s="3" t="inlineStr">
        <is>
          <t>Mosflow (Moxifloxacin) (MOS04, FLO02)</t>
        </is>
      </c>
      <c r="C237" s="7" t="inlineStr">
        <is>
          <t>High</t>
        </is>
      </c>
      <c r="D237" s="3" t="inlineStr">
        <is>
          <t>Contraindication/warning</t>
        </is>
      </c>
      <c r="E237" s="3" t="inlineStr"/>
      <c r="F237" s="3" t="inlineStr">
        <is>
          <t>Add pregnancy and breastfeeding as contraindications for MOS04 and FLO02 (TW §4)</t>
        </is>
      </c>
      <c r="G237" s="3" t="inlineStr">
        <is>
          <t>Hypersensitivity only.</t>
        </is>
      </c>
      <c r="H237" s="3" t="inlineStr">
        <is>
          <t>Both TW inserts (section 4) also contraindicate use in pregnant and breastfeeding women (懷孕和哺乳婦女).</t>
        </is>
      </c>
      <c r="I237" s="3" t="inlineStr">
        <is>
          <t>Mosflow/Floxsafe 仿單 4 禁忌 (URLs above)</t>
        </is>
      </c>
      <c r="J237" s="3" t="inlineStr">
        <is>
          <t>Open</t>
        </is>
      </c>
      <c r="K237" s="3" t="inlineStr"/>
    </row>
    <row r="238">
      <c r="A238" s="3" t="n">
        <v>686</v>
      </c>
      <c r="B238" s="3" t="inlineStr">
        <is>
          <t>Mosflow (Moxifloxacin) (MOS04, FLO02)</t>
        </is>
      </c>
      <c r="C238" s="7" t="inlineStr">
        <is>
          <t>High</t>
        </is>
      </c>
      <c r="D238" s="3" t="inlineStr">
        <is>
          <t>Contraindication/warning</t>
        </is>
      </c>
      <c r="E238" s="3" t="inlineStr"/>
      <c r="F238" s="3" t="inlineStr">
        <is>
          <t>Add pregnancy/lactation contraindication; add avoid in QT prolongation, hypokalaemia, class IA/III antiarrhythmics</t>
        </is>
      </c>
      <c r="G238" s="3" t="inlineStr">
        <is>
          <t>Hypersensitivity to moxifloxacin, other quinolone antibiotics, or any component of the formulation (only)</t>
        </is>
      </c>
      <c r="H238" s="3" t="inlineStr">
        <is>
          <t>Mosflow TW insert §4 also lists 懷孕和哺乳婦女. Under §5.1, use must be avoided in known QT prolongation, uncorrected hypokalaemia, and with class IA/III antiarrhythmics.</t>
        </is>
      </c>
      <c r="I238" s="3" t="inlineStr">
        <is>
          <t>https://mcp.fda.gov.tw/im_detail_1/%E8%A1%9B%E7%BD%B2%E8%97%A5%E8%A3%BD%E5%AD%97%E7%AC%AC057910%E8%99%9F</t>
        </is>
      </c>
      <c r="J238" s="3" t="inlineStr">
        <is>
          <t>Open</t>
        </is>
      </c>
      <c r="K238" s="3" t="inlineStr"/>
    </row>
    <row r="239">
      <c r="A239" s="3" t="n">
        <v>687</v>
      </c>
      <c r="B239" s="3" t="inlineStr">
        <is>
          <t>Mosflow (Moxifloxacin) (MOS04, FLO02)</t>
        </is>
      </c>
      <c r="C239" s="7" t="inlineStr">
        <is>
          <t>High</t>
        </is>
      </c>
      <c r="D239" s="3" t="inlineStr">
        <is>
          <t>Contraindication/warning</t>
        </is>
      </c>
      <c r="E239" s="3" t="inlineStr"/>
      <c r="F239" s="3" t="inlineStr">
        <is>
          <t>Add pregnancy and breastfeeding contraindication to FLO02 (Floxsafe TW §4)</t>
        </is>
      </c>
      <c r="G239" s="3" t="inlineStr">
        <is>
          <t>Hypersensitivity to moxifloxacin or quinolones (only)</t>
        </is>
      </c>
      <c r="H239" s="3" t="inlineStr">
        <is>
          <t>Floxsafe TW insert §4 also lists 懷孕和哺乳婦女.</t>
        </is>
      </c>
      <c r="I239" s="3" t="inlineStr">
        <is>
          <t>https://mcp.fda.gov.tw/im_detail_1/%E8%A1%9B%E9%83%A8%E8%97%A5%E8%BC%B8%E5%AD%97%E7%AC%AC026701%E8%99%9F</t>
        </is>
      </c>
      <c r="J239" s="3" t="inlineStr">
        <is>
          <t>Open</t>
        </is>
      </c>
      <c r="K239" s="3" t="inlineStr"/>
    </row>
    <row r="240">
      <c r="A240" s="3" t="n">
        <v>691</v>
      </c>
      <c r="B240" s="3" t="inlineStr">
        <is>
          <t>Mosflow (Moxifloxacin) (MOS04, FLO02)</t>
        </is>
      </c>
      <c r="C240" s="7" t="inlineStr">
        <is>
          <t>High</t>
        </is>
      </c>
      <c r="D240" s="3" t="inlineStr">
        <is>
          <t>Contraindication/warning</t>
        </is>
      </c>
      <c r="E240" s="3" t="inlineStr">
        <is>
          <t>Missing boxed warning</t>
        </is>
      </c>
      <c r="F240" s="3" t="inlineStr">
        <is>
          <t>Add fluoroquinolone boxed warning: reserve AECB/sinusitis for no alternative (both MOS04, FLO02)</t>
        </is>
      </c>
      <c r="G240" s="3" t="inlineStr">
        <is>
          <t>Indication list has no reserve/boxed-warning qualifier</t>
        </is>
      </c>
      <c r="H240" s="3" t="inlineStr">
        <is>
          <t>The TW 特殊警語 says AECB and acute sinusitis are reserved for when there is no alternative. The FLO02 list names both without that restriction; MOS04 has the same omission.</t>
        </is>
      </c>
      <c r="I240" s="3" t="inlineStr">
        <is>
          <t>https://mcp.fda.gov.tw/im_detail_1/%E8%A1%9B%E9%83%A8%E8%97%A5%E8%BC%B8%E5%AD%97%E7%AC%AC026701%E8%99%9F</t>
        </is>
      </c>
      <c r="J240" s="3" t="inlineStr">
        <is>
          <t>Open</t>
        </is>
      </c>
      <c r="K240" s="3" t="inlineStr"/>
    </row>
    <row r="241">
      <c r="A241" s="3" t="n">
        <v>676</v>
      </c>
      <c r="B241" s="3" t="inlineStr">
        <is>
          <t>Mosflow (Moxifloxacin) (MOS04, FLO02)</t>
        </is>
      </c>
      <c r="C241" s="7" t="inlineStr">
        <is>
          <t>High</t>
        </is>
      </c>
      <c r="D241" s="3" t="inlineStr">
        <is>
          <t>Pregnancy</t>
        </is>
      </c>
      <c r="E241" s="3" t="inlineStr">
        <is>
          <t>FDA letter category</t>
        </is>
      </c>
      <c r="F241" s="3" t="inlineStr">
        <is>
          <t>Replace category C with: contraindicated in pregnancy (TW insert §4/§6.1, UK SmPC)</t>
        </is>
      </c>
      <c r="G241" s="3" t="inlineStr">
        <is>
          <t>C</t>
        </is>
      </c>
      <c r="H241" s="3" t="inlineStr">
        <is>
          <t>The FDA retired letter categories. US 8.1 is narrative (may cause fetal harm based on animal data). The Mosflow and Floxsafe TW inserts (4 禁忌, 6.1) and UK SmPC 4.3/4.6 contraindicate use in pregnancy.</t>
        </is>
      </c>
      <c r="I241" s="3" t="inlineStr">
        <is>
          <t>Mosflow 仿單 https://mcp.fda.gov.tw/im_detail_1/%E8%A1%9B%E7%BD%B2%E8%97%A5%E8%A3%BD%E5%AD%97%E7%AC%AC057910%E8%99%9F ; US label 8.1 https://dailymed.nlm.nih.gov/dailymed/drugInfo.cfm?setid=656f582c-ecba-4ec8-9420-9562114d889b</t>
        </is>
      </c>
      <c r="J241" s="3" t="inlineStr">
        <is>
          <t>Open</t>
        </is>
      </c>
      <c r="K241" s="3" t="inlineStr"/>
    </row>
    <row r="242">
      <c r="A242" s="3" t="n">
        <v>684</v>
      </c>
      <c r="B242" s="3" t="inlineStr">
        <is>
          <t>Mosflow (Moxifloxacin) (MOS04, FLO02)</t>
        </is>
      </c>
      <c r="C242" s="7" t="inlineStr">
        <is>
          <t>High</t>
        </is>
      </c>
      <c r="D242" s="3" t="inlineStr">
        <is>
          <t>Pregnancy</t>
        </is>
      </c>
      <c r="E242" s="3" t="inlineStr">
        <is>
          <t>FDA letter category</t>
        </is>
      </c>
      <c r="F242" s="3" t="inlineStr">
        <is>
          <t>Replace MOS04 category C with: contraindicated in pregnancy (TW §4/§6.1)</t>
        </is>
      </c>
      <c r="G242" s="3" t="inlineStr">
        <is>
          <t>C</t>
        </is>
      </c>
      <c r="H242" s="3" t="inlineStr">
        <is>
          <t>FDA letter categories are retired; US 8.1 is a PLLR narrative ('may cause fetal harm'). The Mosflow TW insert (§4 禁忌, §6.1) and UK SmPC 4.3/4.6 contraindicate use in pregnancy.</t>
        </is>
      </c>
      <c r="I242" s="3" t="inlineStr">
        <is>
          <t>https://mcp.fda.gov.tw/im_detail_1/%E8%A1%9B%E7%BD%B2%E8%97%A5%E8%A3%BD%E5%AD%97%E7%AC%AC057910%E8%99%9F ; https://dailymed.nlm.nih.gov/dailymed/drugInfo.cfm?setid=656f582c-ecba-4ec8-9420-9562114d889b ; hospital page https://pharmacy.fjuh.fju.edu.tw/Key_Search/P4?query=MOS04</t>
        </is>
      </c>
      <c r="J242" s="3" t="inlineStr">
        <is>
          <t>Open</t>
        </is>
      </c>
      <c r="K242" s="3" t="inlineStr"/>
    </row>
    <row r="243">
      <c r="A243" s="3" t="n">
        <v>685</v>
      </c>
      <c r="B243" s="3" t="inlineStr">
        <is>
          <t>Mosflow (Moxifloxacin) (MOS04, FLO02)</t>
        </is>
      </c>
      <c r="C243" s="7" t="inlineStr">
        <is>
          <t>High</t>
        </is>
      </c>
      <c r="D243" s="3" t="inlineStr">
        <is>
          <t>Pregnancy</t>
        </is>
      </c>
      <c r="E243" s="3" t="inlineStr">
        <is>
          <t>FDA letter category</t>
        </is>
      </c>
      <c r="F243" s="3" t="inlineStr">
        <is>
          <t>Replace FLO02 category C with: contraindicated in pregnancy (Floxsafe TW §4/§6.1)</t>
        </is>
      </c>
      <c r="G243" s="3" t="inlineStr">
        <is>
          <t>C</t>
        </is>
      </c>
      <c r="H243" s="3" t="inlineStr">
        <is>
          <t>Letter category retired. The Floxsafe TW insert §4/§6.1: 懷孕婦女禁用. UK SmPC 4.3 also contraindicates it.</t>
        </is>
      </c>
      <c r="I243" s="3" t="inlineStr">
        <is>
          <t>https://mcp.fda.gov.tw/im_detail_1/%E8%A1%9B%E9%83%A8%E8%97%A5%E8%BC%B8%E5%AD%97%E7%AC%AC026701%E8%99%9F ; hospital page https://pharmacy.fjuh.fju.edu.tw/Key_Search/P4?query=FLO02</t>
        </is>
      </c>
      <c r="J243" s="3" t="inlineStr">
        <is>
          <t>Open</t>
        </is>
      </c>
      <c r="K243" s="3" t="inlineStr"/>
    </row>
    <row r="244">
      <c r="A244" s="3" t="n">
        <v>1135</v>
      </c>
      <c r="B244" s="3" t="inlineStr">
        <is>
          <t>Mycobutin (Rifabutin) (MYC07)</t>
        </is>
      </c>
      <c r="C244" s="7" t="inlineStr">
        <is>
          <t>High</t>
        </is>
      </c>
      <c r="D244" s="3" t="inlineStr">
        <is>
          <t>Dosing – adult</t>
        </is>
      </c>
      <c r="E244" s="3" t="inlineStr">
        <is>
          <t>Interaction list incomplete</t>
        </is>
      </c>
      <c r="F244" s="3" t="inlineStr">
        <is>
          <t>Add TB/NTM doses (150–600 mg) and reductions with clarithromycin, fluconazole, boosted PIs.</t>
        </is>
      </c>
      <c r="G244" s="3" t="inlineStr">
        <is>
          <t>300 mg/day PO only.</t>
        </is>
      </c>
      <c r="H244" s="3" t="inlineStr">
        <is>
          <t>300 mg QD applies only to MAC prophylaxis. In combination therapy TW gives 150 mg QD for new pulmonary TB, 300–450 mg for MDR chronic TB and 450–600 mg for NTM; UK gives 150–450 mg for TB and 450–600 mg for NTM. Doses must be reduced with clarithromycin, fluconazole and boosted PIs.</t>
        </is>
      </c>
      <c r="I244" s="3" t="inlineStr">
        <is>
          <t>TW 仿單 §3.1; UK SmPC §4.2</t>
        </is>
      </c>
      <c r="J244" s="3" t="inlineStr">
        <is>
          <t>Open</t>
        </is>
      </c>
      <c r="K244" s="3" t="inlineStr"/>
    </row>
    <row r="245">
      <c r="A245" s="3" t="n">
        <v>1132</v>
      </c>
      <c r="B245" s="3" t="inlineStr">
        <is>
          <t>Mycobutin (Rifabutin) (MYC07)</t>
        </is>
      </c>
      <c r="C245" s="7" t="inlineStr">
        <is>
          <t>High</t>
        </is>
      </c>
      <c r="D245" s="3" t="inlineStr">
        <is>
          <t>Dosing – renal/dialysis</t>
        </is>
      </c>
      <c r="E245" s="3" t="inlineStr">
        <is>
          <t>Renal table outdated</t>
        </is>
      </c>
      <c r="F245" s="3" t="inlineStr">
        <is>
          <t>Add: halve dose when CrCl &lt;30 mL/min per TW insert and UK SmPC.</t>
        </is>
      </c>
      <c r="G245" s="3" t="inlineStr">
        <is>
          <t>No dosage adjustment necessary; manufacturer recommends considering a 50% reduction if toxicity is suspected (US wording).</t>
        </is>
      </c>
      <c r="H245" s="3" t="inlineStr">
        <is>
          <t>The stocked product's TW insert, and the UK SmPC, require halving the dose when CrCl is below 30 mL/min. 'No adjustment' applies only to mild–moderate impairment.</t>
        </is>
      </c>
      <c r="I245" s="3" t="inlineStr">
        <is>
          <t>TW 仿單 §5.1 https://mcp.fda.gov.tw/im_detail_1/%E8%A1%9B%E7%BD%B2%E8%97%A5%E8%BC%B8%E5%AD%97%E7%AC%AC020999%E8%99%9F; UK SmPC §4.4</t>
        </is>
      </c>
      <c r="J245" s="3" t="inlineStr">
        <is>
          <t>Open</t>
        </is>
      </c>
      <c r="K245" s="3" t="inlineStr"/>
    </row>
    <row r="246">
      <c r="A246" s="3" t="n">
        <v>1140</v>
      </c>
      <c r="B246" s="3" t="inlineStr">
        <is>
          <t>Mycobutin (Rifabutin) (MYC07)</t>
        </is>
      </c>
      <c r="C246" s="7" t="inlineStr">
        <is>
          <t>High</t>
        </is>
      </c>
      <c r="D246" s="3" t="inlineStr">
        <is>
          <t>Dosing – renal/dialysis</t>
        </is>
      </c>
      <c r="E246" s="3" t="inlineStr">
        <is>
          <t>Renal table outdated</t>
        </is>
      </c>
      <c r="F246" s="3" t="inlineStr">
        <is>
          <t>Add: CrCl &lt;30 mL/min requires halving the dose (TW insert §5.1, UK §4.4).</t>
        </is>
      </c>
      <c r="G246" s="3" t="inlineStr">
        <is>
          <t>No dosage adjustment necessary; consider a 50% reduction if toxicity is suspected (US generic-label wording)</t>
        </is>
      </c>
      <c r="H246" s="3" t="inlineStr">
        <is>
          <t>仿單 §5.1 (stocked product) and UK §4.4: CrCl &lt;30 → dose must be halved (劑量需減半); no change for mild–moderate impairment</t>
        </is>
      </c>
      <c r="I246" s="3" t="inlineStr">
        <is>
          <t>仿單 §5.1 https://mcp.fda.gov.tw/im_detail_1/%E8%A1%9B%E7%BD%B2%E8%97%A5%E8%BC%B8%E5%AD%97%E7%AC%AC020999%E8%99%9F ; UK SmPC §4.4 https://www.medicines.org.uk/emc/product/1088/smpc</t>
        </is>
      </c>
      <c r="J246" s="3" t="inlineStr">
        <is>
          <t>Open</t>
        </is>
      </c>
      <c r="K246" s="3" t="inlineStr"/>
    </row>
    <row r="247">
      <c r="A247" s="3" t="n">
        <v>1134</v>
      </c>
      <c r="B247" s="3" t="inlineStr">
        <is>
          <t>Mycobutin (Rifabutin) (MYC07)</t>
        </is>
      </c>
      <c r="C247" s="7" t="inlineStr">
        <is>
          <t>High</t>
        </is>
      </c>
      <c r="D247" s="3" t="inlineStr">
        <is>
          <t>Drug interaction</t>
        </is>
      </c>
      <c r="E247" s="3" t="inlineStr">
        <is>
          <t>Interaction list incomplete</t>
        </is>
      </c>
      <c r="F247" s="3" t="inlineStr">
        <is>
          <t>Add contraindications: cabotegravir/rilpivirine LA injection, delavirdine, voriconazole; UK pregnancy/breastfeeding.</t>
        </is>
      </c>
      <c r="G247" s="3" t="inlineStr">
        <is>
          <t>Hypersensitivity to rifamycins (only).</t>
        </is>
      </c>
      <c r="H247" s="3" t="inlineStr">
        <is>
          <t>All three labels also contraindicate co-administration with long-acting injectable (cabotegravir/)rilpivirine. US Table 2 additionally marks delavirdine and voriconazole CONTRAINDICATED, and UK §4.3 lists pregnancy and breastfeeding.</t>
        </is>
      </c>
      <c r="I247" s="3" t="inlineStr">
        <is>
          <t>US label CONTRAINDICATIONS + Table 2; UK SmPC §4.3; TW 仿單 §4</t>
        </is>
      </c>
      <c r="J247" s="3" t="inlineStr">
        <is>
          <t>Open</t>
        </is>
      </c>
      <c r="K247" s="3" t="inlineStr"/>
    </row>
    <row r="248">
      <c r="A248" s="3" t="n">
        <v>1143</v>
      </c>
      <c r="B248" s="3" t="inlineStr">
        <is>
          <t>Mycobutin (Rifabutin) (MYC07)</t>
        </is>
      </c>
      <c r="C248" s="7" t="inlineStr">
        <is>
          <t>High</t>
        </is>
      </c>
      <c r="D248" s="3" t="inlineStr">
        <is>
          <t>Drug interaction</t>
        </is>
      </c>
      <c r="E248" s="3" t="inlineStr">
        <is>
          <t>Interaction list incomplete</t>
        </is>
      </c>
      <c r="F248" s="3" t="inlineStr">
        <is>
          <t>Add cabotegravir/rilpivirine LA, delavirdine and voriconazole contraindications; UK pregnancy/lactation.</t>
        </is>
      </c>
      <c r="G248" s="3" t="inlineStr">
        <is>
          <t>Hypersensitivity to rifamycins (only)</t>
        </is>
      </c>
      <c r="H248" s="3" t="inlineStr">
        <is>
          <t>Also contraindicated with cabotegravir/rilpivirine long-acting injection (仿單 §4; UK §4.3; US). US Table 2 also lists delavirdine and voriconazole as contraindicated. UK also lists pregnancy and breastfeeding.</t>
        </is>
      </c>
      <c r="I248" s="3" t="inlineStr">
        <is>
          <t>仿單 §4 https://mcp.fda.gov.tw/im_detail_1/%E8%A1%9B%E7%BD%B2%E8%97%A5%E8%BC%B8%E5%AD%97%E7%AC%AC020999%E8%99%9F ; US label Contraindications/Table 2 https://dailymed.nlm.nih.gov/dailymed/drugInfo.cfm?setid=baf8ec98-bd0c-4b87-a7ee-813335431b89 ; UK §4.3 https://www.medicines.org.uk/emc/product/1088/smpc</t>
        </is>
      </c>
      <c r="J248" s="3" t="inlineStr">
        <is>
          <t>Open</t>
        </is>
      </c>
      <c r="K248" s="3" t="inlineStr"/>
    </row>
    <row r="249">
      <c r="A249" s="3" t="n">
        <v>1286</v>
      </c>
      <c r="B249" s="3" t="inlineStr">
        <is>
          <t>Odefsey (Rilpivirine/Emtricitabine/TAF) (ODE01)</t>
        </is>
      </c>
      <c r="C249" s="7" t="inlineStr">
        <is>
          <t>High</t>
        </is>
      </c>
      <c r="D249" s="3" t="inlineStr">
        <is>
          <t>Contraindication/warning</t>
        </is>
      </c>
      <c r="E249" s="3" t="inlineStr">
        <is>
          <t>Interaction list incomplete</t>
        </is>
      </c>
      <c r="F249" s="3" t="inlineStr">
        <is>
          <t>Add rifabutin to contraindications per TW insert and UK SmPC.</t>
        </is>
      </c>
      <c r="G249" s="3" t="inlineStr">
        <is>
          <t>Carbamazepine, dexamethasone &gt;1 dose, oxcarbazepine, phenobarbital, phenytoin, PPIs, rifampin, rifapentine, St John's wort (rifabutin not listed)</t>
        </is>
      </c>
      <c r="H249" s="3" t="inlineStr">
        <is>
          <t>The TW insert for the stocked product and the UK SmPC also list rifabutin as contraindicated. Only the US label calls it 'not recommended'.</t>
        </is>
      </c>
      <c r="I249" s="3" t="inlineStr">
        <is>
          <t>TW insert 4 禁忌 — https://mcp.fda.gov.tw/im_detail_1/%E8%A1%9B%E9%83%A8%E8%97%A5%E8%BC%B8%E5%AD%97%E7%AC%AC027505%E8%99%9F ; UK SmPC 4.3 — https://www.medicines.org.uk/emc/product/7262/smpc</t>
        </is>
      </c>
      <c r="J249" s="3" t="inlineStr">
        <is>
          <t>Open</t>
        </is>
      </c>
      <c r="K249" s="3" t="inlineStr"/>
    </row>
    <row r="250">
      <c r="A250" s="3" t="n">
        <v>1293</v>
      </c>
      <c r="B250" s="3" t="inlineStr">
        <is>
          <t>Odefsey (Rilpivirine/Emtricitabine/TAF) (ODE01)</t>
        </is>
      </c>
      <c r="C250" s="7" t="inlineStr">
        <is>
          <t>High</t>
        </is>
      </c>
      <c r="D250" s="3" t="inlineStr">
        <is>
          <t>Contraindication/warning</t>
        </is>
      </c>
      <c r="E250" s="3" t="inlineStr">
        <is>
          <t>Missing boxed warning</t>
        </is>
      </c>
      <c r="F250" s="3" t="inlineStr">
        <is>
          <t>Add boxed warning: post-treatment HBV exacerbation; test for HBV before starting.</t>
        </is>
      </c>
      <c r="G250" s="3" t="inlineStr">
        <is>
          <t>No mention of the HBV flare on stopping or of HBV testing before starting</t>
        </is>
      </c>
      <c r="H250" s="3" t="inlineStr">
        <is>
          <t>US boxed warning: post-treatment acute exacerbation of hepatitis B. Test for HBV before starting (US 2.1/5.1; TW 5.1).</t>
        </is>
      </c>
      <c r="I250" s="3" t="inlineStr">
        <is>
          <t>US label Boxed Warning — https://dailymed.nlm.nih.gov/dailymed/drugInfo.cfm?setid=ea3b9ec8-e04a-412c-8b3f-e5cbc7e641d5</t>
        </is>
      </c>
      <c r="J250" s="3" t="inlineStr">
        <is>
          <t>Open</t>
        </is>
      </c>
      <c r="K250" s="3" t="inlineStr"/>
    </row>
    <row r="251">
      <c r="A251" s="3" t="n">
        <v>1279</v>
      </c>
      <c r="B251" s="3" t="inlineStr">
        <is>
          <t>Odefsey (Rilpivirine/Emtricitabine/TAF) (ODE01)</t>
        </is>
      </c>
      <c r="C251" s="7" t="inlineStr">
        <is>
          <t>High</t>
        </is>
      </c>
      <c r="D251" s="3" t="inlineStr">
        <is>
          <t>Dosing – renal/dialysis</t>
        </is>
      </c>
      <c r="E251" s="3" t="inlineStr">
        <is>
          <t>Renal table outdated</t>
        </is>
      </c>
      <c r="F251" s="3" t="inlineStr">
        <is>
          <t>Fix truncated CrCl&lt;30 line; state HD use generally avoided, dose after HD, stop if CrCl falls below 30.</t>
        </is>
      </c>
      <c r="G251" s="3" t="inlineStr">
        <is>
          <t>ESRD on hemodialysis: One tablet once daily, after HD; the CrCl &lt;30 line is cut off at '&lt;' ('2. CrCl  not recommended')</t>
        </is>
      </c>
      <c r="H251" s="3" t="inlineStr">
        <is>
          <t>TW: on chronic HD, 'generally avoid' (通常應避免使用), use only if benefit &gt; risk, give after HD. Discontinue if CrCl falls below 30 during treatment; avoid at CrCl 15–29 or &lt;15 without HD</t>
        </is>
      </c>
      <c r="I251" s="3" t="inlineStr">
        <is>
          <t>TW 仿單 §3.3 腎功能不全, §5.1</t>
        </is>
      </c>
      <c r="J251" s="3" t="inlineStr">
        <is>
          <t>Open</t>
        </is>
      </c>
      <c r="K251" s="3" t="inlineStr"/>
    </row>
    <row r="252">
      <c r="A252" s="3" t="n">
        <v>1290</v>
      </c>
      <c r="B252" s="3" t="inlineStr">
        <is>
          <t>Odefsey (Rilpivirine/Emtricitabine/TAF) (ODE01)</t>
        </is>
      </c>
      <c r="C252" s="7" t="inlineStr">
        <is>
          <t>High</t>
        </is>
      </c>
      <c r="D252" s="3" t="inlineStr">
        <is>
          <t>Dosing – renal/dialysis</t>
        </is>
      </c>
      <c r="E252" s="3" t="inlineStr">
        <is>
          <t>Renal table outdated</t>
        </is>
      </c>
      <c r="F252" s="3" t="inlineStr">
        <is>
          <t>Add: avoid on chronic HD unless benefit outweighs risk; stop if CrCl falls below 30 on treatment.</t>
        </is>
      </c>
      <c r="G252" s="3" t="inlineStr">
        <is>
          <t>ESRD on HD: one tablet once daily, after HD on dialysis days. No stop rule for CrCl falling below 30.</t>
        </is>
      </c>
      <c r="H252" s="3" t="inlineStr">
        <is>
          <t>TW/UK: on chronic HD, generally avoid and use with caution only if benefit outweighs risk. Stop Odefsey if CrCl falls below 30 during treatment.</t>
        </is>
      </c>
      <c r="I252" s="3" t="inlineStr">
        <is>
          <t>TW insert 3.3, 5.1 — https://mcp.fda.gov.tw/im_detail_1/%E8%A1%9B%E9%83%A8%E8%97%A5%E8%BC%B8%E5%AD%97%E7%AC%AC027505%E8%99%9F</t>
        </is>
      </c>
      <c r="J252" s="3" t="inlineStr">
        <is>
          <t>Open</t>
        </is>
      </c>
      <c r="K252" s="3" t="inlineStr"/>
    </row>
    <row r="253">
      <c r="A253" s="3" t="n">
        <v>1277</v>
      </c>
      <c r="B253" s="3" t="inlineStr">
        <is>
          <t>Odefsey (Rilpivirine/Emtricitabine/TAF) (ODE01)</t>
        </is>
      </c>
      <c r="C253" s="7" t="inlineStr">
        <is>
          <t>High</t>
        </is>
      </c>
      <c r="D253" s="3" t="inlineStr">
        <is>
          <t>Drug interaction</t>
        </is>
      </c>
      <c r="E253" s="3" t="inlineStr">
        <is>
          <t>Interaction list incomplete</t>
        </is>
      </c>
      <c r="F253" s="3" t="inlineStr">
        <is>
          <t>Add rifabutin as contraindicated (TW/UK) to contraindication list.</t>
        </is>
      </c>
      <c r="G253" s="3" t="inlineStr">
        <is>
          <t>US list only: carbamazepine, dexamethasone &gt;1 dose, oxcarbazepine, phenobarbital, phenytoin, PPIs, rifampin, rifapentine, St John's wort (no rifabutin)</t>
        </is>
      </c>
      <c r="H253" s="3" t="inlineStr">
        <is>
          <t>The TW insert for the stocked product (§4) and the UK SmPC (§4.3) also contraindicate rifabutin; the US label calls it 'not recommended'</t>
        </is>
      </c>
      <c r="I253" s="3" t="inlineStr">
        <is>
          <t>TW 仿單 §4/§7 表1; UK SmPC §4.3 https://www.medicines.org.uk/emc/product/7262/smpc</t>
        </is>
      </c>
      <c r="J253" s="3" t="inlineStr">
        <is>
          <t>Open</t>
        </is>
      </c>
      <c r="K253" s="3" t="inlineStr"/>
    </row>
    <row r="254">
      <c r="A254" s="3" t="n">
        <v>605</v>
      </c>
      <c r="B254" s="3" t="inlineStr">
        <is>
          <t>Oxacillin (OXA10)</t>
        </is>
      </c>
      <c r="C254" s="7" t="inlineStr">
        <is>
          <t>High</t>
        </is>
      </c>
      <c r="D254" s="3" t="inlineStr">
        <is>
          <t>Dosing – pediatric</t>
        </is>
      </c>
      <c r="E254" s="3" t="inlineStr"/>
      <c r="F254" s="3" t="inlineStr">
        <is>
          <t>Use label pediatric doses (50/100 mg/kg/day); add neonate 25 mg/kg/day; fix caps</t>
        </is>
      </c>
      <c r="G254" s="3" t="inlineStr">
        <is>
          <t>Mild–moderate 100–150 mg/kg/day q6h, max 4,000 mg/day; severe 150–200 mg/kg/day q4–6h, max 12 g/day. No neonatal dose is given.</t>
        </is>
      </c>
      <c r="H254" s="3" t="inlineStr">
        <is>
          <t>Under 40 kg: mild–moderate 50 mg/kg/day q6h; severe 100 mg/kg/day q4–6h (TW: 'or higher'). Premature infants and neonates: 25 mg/kg/day. The hospital's 4 g/day cap for mild–moderate also sits oddly beside its 12 g/day cap for severe.</t>
        </is>
      </c>
      <c r="I254" s="3" t="inlineStr">
        <is>
          <t>US FDA label DOSAGE AND ADMINISTRATION table; TW 仿單 §3.1</t>
        </is>
      </c>
      <c r="J254" s="3" t="inlineStr">
        <is>
          <t>Open</t>
        </is>
      </c>
      <c r="K254" s="3" t="inlineStr"/>
    </row>
    <row r="255">
      <c r="A255" s="3" t="n">
        <v>613</v>
      </c>
      <c r="B255" s="3" t="inlineStr">
        <is>
          <t>Oxacillin (OXA10)</t>
        </is>
      </c>
      <c r="C255" s="7" t="inlineStr">
        <is>
          <t>High</t>
        </is>
      </c>
      <c r="D255" s="3" t="inlineStr">
        <is>
          <t>Dosing – pediatric</t>
        </is>
      </c>
      <c r="E255" s="3" t="inlineStr"/>
      <c r="F255" s="3" t="inlineStr">
        <is>
          <t>Correct pediatric doses to label (50/100 mg/kg/day); add neonatal 25 mg/kg/day</t>
        </is>
      </c>
      <c r="G255" s="3" t="inlineStr">
        <is>
          <t>Mild to moderate: 100–150 mg/kg/day q6h, max 4,000 mg/day; severe 150–200 mg/kg/day q4–6h, max 12 g/day</t>
        </is>
      </c>
      <c r="H255" s="3" t="inlineStr">
        <is>
          <t>Labels: mild–moderate 50 mg/kg/day q6h; severe 100 mg/kg/day q4–6h (TW: or higher); premature infants and neonates 25 mg/kg/day, which the hospital page omits. The mild–moderate dose is 2–3 times the label dose.</t>
        </is>
      </c>
      <c r="I255" s="3" t="inlineStr">
        <is>
          <t>US FDA label D&amp;A table; TW 仿單 §3.1</t>
        </is>
      </c>
      <c r="J255" s="3" t="inlineStr">
        <is>
          <t>Open</t>
        </is>
      </c>
      <c r="K255" s="3" t="inlineStr"/>
    </row>
    <row r="256">
      <c r="A256" s="3" t="n">
        <v>412</v>
      </c>
      <c r="B256" s="3" t="inlineStr">
        <is>
          <t>Pipe Tazo (Piperacillin/Tazobactam) (PIP01, TAP02)</t>
        </is>
      </c>
      <c r="C256" s="7" t="inlineStr">
        <is>
          <t>High</t>
        </is>
      </c>
      <c r="D256" s="3" t="inlineStr">
        <is>
          <t>Administration/compatibility</t>
        </is>
      </c>
      <c r="E256" s="3" t="inlineStr"/>
      <c r="F256" s="3" t="inlineStr">
        <is>
          <t>Add: stocked products lack EDTA—do not Y-site with aminoglycosides; give separately</t>
        </is>
      </c>
      <c r="G256" s="3" t="inlineStr">
        <is>
          <t>(no statement)</t>
        </is>
      </c>
      <c r="H256" s="3" t="inlineStr">
        <is>
          <t>Both stocked products contain no excipients, so no EDTA. Their inserts allow amikacin/gentamicin Y-site only for EDTA-containing formulations, so these products must be given separately from aminoglycosides.</t>
        </is>
      </c>
      <c r="I256" s="3" t="inlineStr">
        <is>
          <t>TW insert 帝斯坦 §1.2, §3.1.2; TW insert 達比黴素 §1.2, §3</t>
        </is>
      </c>
      <c r="J256" s="3" t="inlineStr">
        <is>
          <t>Open</t>
        </is>
      </c>
      <c r="K256" s="3" t="inlineStr"/>
    </row>
    <row r="257">
      <c r="A257" s="3" t="n">
        <v>410</v>
      </c>
      <c r="B257" s="3" t="inlineStr">
        <is>
          <t>Pipe Tazo (Piperacillin/Tazobactam) (PIP01, TAP02)</t>
        </is>
      </c>
      <c r="C257" s="7" t="inlineStr">
        <is>
          <t>High</t>
        </is>
      </c>
      <c r="D257" s="3" t="inlineStr">
        <is>
          <t>Contraindication/warning</t>
        </is>
      </c>
      <c r="E257" s="3" t="inlineStr">
        <is>
          <t>Interaction list incomplete</t>
        </is>
      </c>
      <c r="F257" s="3" t="inlineStr">
        <is>
          <t>Add HLH warning and vancomycin combination AKI interaction</t>
        </is>
      </c>
      <c r="G257" s="3" t="inlineStr">
        <is>
          <t>No HLH warning and no vancomycin–AKI interaction.</t>
        </is>
      </c>
      <c r="H257" s="3" t="inlineStr">
        <is>
          <t>HLH: US §5.3, SmPC §4.4, Tapimycin insert §5. Vancomycin combination increases AKI: US §5.7/§7.3, both Taiwan inserts §7.3. The Pipe Tazo insert (2024-01-24 PDF) still lacks the HLH warning even though the US label has it.</t>
        </is>
      </c>
      <c r="I257" s="3" t="inlineStr">
        <is>
          <t>US FDA label §5.3, §7.3 https://dailymed.nlm.nih.gov/dailymed/drugInfo.cfm?setid=a798faf5-cd97-4e35-a700-94c372978c46; TW insert 達比黴素 https://mcp.fda.gov.tw/im_detail_1/%E8%A1%9B%E7%BD%B2%E8%97%A5%E8%A3%BD%E5%AD%97%E7%AC%AC045704%E8%99%9F</t>
        </is>
      </c>
      <c r="J257" s="3" t="inlineStr">
        <is>
          <t>Open</t>
        </is>
      </c>
      <c r="K257" s="3" t="inlineStr"/>
    </row>
    <row r="258">
      <c r="A258" s="3" t="n">
        <v>419</v>
      </c>
      <c r="B258" s="3" t="inlineStr">
        <is>
          <t>Pipe Tazo (Piperacillin/Tazobactam) (PIP01, TAP02)</t>
        </is>
      </c>
      <c r="C258" s="7" t="inlineStr">
        <is>
          <t>High</t>
        </is>
      </c>
      <c r="D258" s="3" t="inlineStr">
        <is>
          <t>Contraindication/warning</t>
        </is>
      </c>
      <c r="E258" s="3" t="inlineStr">
        <is>
          <t>Interaction list incomplete</t>
        </is>
      </c>
      <c r="F258" s="3" t="inlineStr">
        <is>
          <t>Add HLH, rhabdomyolysis warnings and vancomycin–AKI interaction</t>
        </is>
      </c>
      <c r="G258" s="3" t="inlineStr">
        <is>
          <t>No mention of HLH, rhabdomyolysis, or the pip-tazo + vancomycin AKI interaction.</t>
        </is>
      </c>
      <c r="H258" s="3" t="inlineStr">
        <is>
          <t>FDA §5.3 HLH, §5.4 rhabdomyolysis, §7.3 vancomycin AKI; Tapimycin insert includes HLH (5.1.3) and the vancomycin–AKI interaction; Pipe Tazo insert includes the vancomycin–AKI interaction (§7.3) and critically-ill nephrotoxicity (§5.1.5).</t>
        </is>
      </c>
      <c r="I258" s="3" t="inlineStr">
        <is>
          <t>https://dailymed.nlm.nih.gov/dailymed/drugInfo.cfm?setid=a798faf5-cd97-4e35-a700-94c372978c46; https://mcp.fda.gov.tw/im_detail_1/%E8%A1%9B%E7%BD%B2%E8%97%A5%E8%A3%BD%E5%AD%97%E7%AC%AC045704%E8%99%9F</t>
        </is>
      </c>
      <c r="J258" s="3" t="inlineStr">
        <is>
          <t>Open</t>
        </is>
      </c>
      <c r="K258" s="3" t="inlineStr"/>
    </row>
    <row r="259">
      <c r="A259" s="3" t="n">
        <v>418</v>
      </c>
      <c r="B259" s="3" t="inlineStr">
        <is>
          <t>Pipe Tazo (Piperacillin/Tazobactam) (PIP01, TAP02)</t>
        </is>
      </c>
      <c r="C259" s="7" t="inlineStr">
        <is>
          <t>High</t>
        </is>
      </c>
      <c r="D259" s="3" t="inlineStr">
        <is>
          <t>Dosing – pediatric</t>
        </is>
      </c>
      <c r="E259" s="3" t="inlineStr"/>
      <c r="F259" s="3" t="inlineStr">
        <is>
          <t>Fix to label: &lt;2 mo not established; 2–9 mo 80 mg/kg q8h; &gt;9 mo 100 mg/kg q8h</t>
        </is>
      </c>
      <c r="G259" s="3" t="inlineStr">
        <is>
          <t>'Infants 6 months: IV: 240 to 300 mg piperacillin/kg/day...' followed by a separate 'Infants &gt;6 months' row; the '&lt;' sign is missing, so the first row reads as exactly 6 months.</t>
        </is>
      </c>
      <c r="H259" s="3" t="inlineStr">
        <is>
          <t>FDA §2.4/TW §3.1.4: 2–9 months 80 mg/kg pip q8h (IAI; q6h NP per FDA); &gt;9 months 100 mg/kg q8h (IAI; q6h NP per FDA); &lt;2 months not established.</t>
        </is>
      </c>
      <c r="I259" s="3" t="inlineStr">
        <is>
          <t>https://dailymed.nlm.nih.gov/dailymed/drugInfo.cfm?setid=a798faf5-cd97-4e35-a700-94c372978c46 (§2.4, §8.4)</t>
        </is>
      </c>
      <c r="J259" s="3" t="inlineStr">
        <is>
          <t>Open</t>
        </is>
      </c>
      <c r="K259" s="3" t="inlineStr"/>
    </row>
    <row r="260">
      <c r="A260" s="3" t="n">
        <v>406</v>
      </c>
      <c r="B260" s="3" t="inlineStr">
        <is>
          <t>Pipe Tazo (Piperacillin/Tazobactam) (PIP01, TAP02)</t>
        </is>
      </c>
      <c r="C260" s="7" t="inlineStr">
        <is>
          <t>High</t>
        </is>
      </c>
      <c r="D260" s="3" t="inlineStr">
        <is>
          <t>Dosing – renal/dialysis</t>
        </is>
      </c>
      <c r="E260" s="3" t="inlineStr">
        <is>
          <t>Renal table outdated</t>
        </is>
      </c>
      <c r="F260" s="3" t="inlineStr">
        <is>
          <t>Replace Lexicomp table with insert Table 1 incl. HD/CAPD rows and 0.75 g post-HD dose</t>
        </is>
      </c>
      <c r="G260" s="3" t="inlineStr">
        <is>
          <t>Lexicomp-style table (CrCl 100–&lt;130, 40–&lt;100, 20–&lt;40, &lt;20). For the 4.5 g q6h column: CrCl 20–&lt;40 → '4.5 g q8h or 3.375 g q6h'; CrCl &lt;20 → '4.5 g q12h or 2.25 g q6h'. No HD or CAPD rows and no post-HD 0.75 g dose.</t>
        </is>
      </c>
      <c r="H260" s="3" t="inlineStr">
        <is>
          <t>Stocked-product inserts (same as US Table 1): non-NP 20–40 → 2.25 g q6h; &lt;20 → 2.25 g q8h; HD/CAPD → 2.25 g q12h. NP 20–40 → 3.375 g q6h; &lt;20 → 2.25 g q6h; HD/CAPD → 2.25 g q8h. Plus 0.75 g after each HD session; no CAPD supplement.</t>
        </is>
      </c>
      <c r="I260" s="3" t="inlineStr">
        <is>
          <t>TW insert 帝斯坦 §3.1.3 表二 https://mcp.fda.gov.tw/im_detail_1/%E8%A1%9B%E7%BD%B2%E8%97%A5%E8%A3%BD%E5%AD%97%E7%AC%AC056759%E8%99%9F; TW insert 達比黴素 用法用量 腎功能不全 https://mcp.fda.gov.tw/im_detail_1/%E8%A1%9B%E7%BD%B2%E8%97%A5%E8%A3%BD%E5%AD%97%E7%AC%AC045704%E8%99%9F; US §2.3</t>
        </is>
      </c>
      <c r="J260" s="3" t="inlineStr">
        <is>
          <t>Open</t>
        </is>
      </c>
      <c r="K260" s="3" t="inlineStr"/>
    </row>
    <row r="261">
      <c r="A261" s="3" t="n">
        <v>415</v>
      </c>
      <c r="B261" s="3" t="inlineStr">
        <is>
          <t>Pipe Tazo (Piperacillin/Tazobactam) (PIP01, TAP02)</t>
        </is>
      </c>
      <c r="C261" s="7" t="inlineStr">
        <is>
          <t>High</t>
        </is>
      </c>
      <c r="D261" s="3" t="inlineStr">
        <is>
          <t>Dosing – renal/dialysis</t>
        </is>
      </c>
      <c r="E261" s="3" t="inlineStr">
        <is>
          <t>Renal table outdated</t>
        </is>
      </c>
      <c r="F261" s="3" t="inlineStr">
        <is>
          <t>Use insert/FDA Table 1 renal doses incl. HD/CAPD rows and 0.75 g post-HD supplement</t>
        </is>
      </c>
      <c r="G261" s="3" t="inlineStr">
        <is>
          <t>Lexicomp-style table by usual dose. For a usual 4.5 g q6h: CrCl 20–&lt;40 → '4.5 g every 8 hours or 3.375 g every 6 hours'; &lt;20 → '4.5 g every 12 hours or 2.25 g every 6 hours'. Extended-infusion column. No HD or CAPD rows, no 0.75 g post-HD supplement.</t>
        </is>
      </c>
      <c r="H261" s="3" t="inlineStr">
        <is>
          <t>Taiwan inserts (both products) = FDA Table 1. Non-NP: 20–40 2.25 g q6h; &lt;20 2.25 g q8h; HD 2.25 g q12h; CAPD 2.25 g q12h. NP: 20–40 3.375 g q6h; &lt;20 2.25 g q6h; HD/CAPD 2.25 g q8h. HD: +0.75 g after each session; CAPD: no supplement. (UK SmPC instead: 20–40 max 4.5 g q8h; &lt;20 max 4.5 g q12h; +2.25 g post-HD.)</t>
        </is>
      </c>
      <c r="I261" s="3" t="inlineStr">
        <is>
          <t>Taiwan insert Pipe Tazo 3.1.3 表二 – https://mcp.fda.gov.tw/im_detail_1/%E8%A1%9B%E7%BD%B2%E8%97%A5%E8%A3%BD%E5%AD%97%E7%AC%AC056759%E8%99%9F; FDA §2.3 – https://dailymed.nlm.nih.gov/dailymed/drugInfo.cfm?setid=a798faf5-cd97-4e35-a700-94c372978c46</t>
        </is>
      </c>
      <c r="J261" s="3" t="inlineStr">
        <is>
          <t>Open</t>
        </is>
      </c>
      <c r="K261" s="3" t="inlineStr"/>
    </row>
    <row r="262">
      <c r="A262" s="3" t="n">
        <v>881</v>
      </c>
      <c r="B262" s="3" t="inlineStr">
        <is>
          <t>Posanol (Posaconazole) (POS01)</t>
        </is>
      </c>
      <c r="C262" s="7" t="inlineStr">
        <is>
          <t>High</t>
        </is>
      </c>
      <c r="D262" s="3" t="inlineStr">
        <is>
          <t>Dosing – pediatric</t>
        </is>
      </c>
      <c r="E262" s="3" t="inlineStr"/>
      <c r="F262" s="3" t="inlineStr">
        <is>
          <t>Fill pediatric dose: ≥2 yr and &gt;40 kg adult tablet dose; not recommended ≤40 kg; TW &lt;13 yr not established</t>
        </is>
      </c>
      <c r="G262" s="3" t="inlineStr">
        <is>
          <t>(blank), while the indication field claims use from ≥2 yr</t>
        </is>
      </c>
      <c r="H262" s="3" t="inlineStr">
        <is>
          <t>TW: &lt;13 yr safety and efficacy not established. US/UK tablet: ≥2 yr and &gt;40 kg take the adult dose (300 mg BID day 1, then QD); not recommended ≤40 kg.</t>
        </is>
      </c>
      <c r="I262" s="3" t="inlineStr">
        <is>
          <t>TW 仿單 §3.3; US §2.3; UK §4.2</t>
        </is>
      </c>
      <c r="J262" s="3" t="inlineStr">
        <is>
          <t>Open</t>
        </is>
      </c>
      <c r="K262" s="3" t="inlineStr"/>
    </row>
    <row r="263">
      <c r="A263" s="3" t="n">
        <v>872</v>
      </c>
      <c r="B263" s="3" t="inlineStr">
        <is>
          <t>Posanol (Posaconazole) (POS01)</t>
        </is>
      </c>
      <c r="C263" s="7" t="inlineStr">
        <is>
          <t>High</t>
        </is>
      </c>
      <c r="D263" s="3" t="inlineStr">
        <is>
          <t>Drug interaction</t>
        </is>
      </c>
      <c r="E263" s="3" t="inlineStr">
        <is>
          <t>Interaction list incomplete</t>
        </is>
      </c>
      <c r="F263" s="3" t="inlineStr">
        <is>
          <t>Add venetoclax (CLL ramp-up) CI, terfenadine/astemizole/cisapride; TW sirolimus: reduce to 1/10, monitor</t>
        </is>
      </c>
      <c r="G263" s="3" t="inlineStr">
        <is>
          <t>US list: ergot alkaloids, CYP3A4 statins, sirolimus, pimozide/quinidine, hypersensitivity.</t>
        </is>
      </c>
      <c r="H263" s="3" t="inlineStr">
        <is>
          <t>TW insert (stocked product) does not contraindicate sirolimus; it says reduce the dose to about 1/10 and monitor troughs. TW also lists terfenadine, astemizole and cisapride. US/UK also contraindicate venetoclax during CLL/SLL initiation/ramp-up, which the hospital list omits.</t>
        </is>
      </c>
      <c r="I263" s="3" t="inlineStr">
        <is>
          <t>TW 仿單 §4, §7 (Sirolimus); US §4.6; UK SmPC §4.3</t>
        </is>
      </c>
      <c r="J263" s="3" t="inlineStr">
        <is>
          <t>Open</t>
        </is>
      </c>
      <c r="K263" s="3" t="inlineStr"/>
    </row>
    <row r="264">
      <c r="A264" s="3" t="n">
        <v>880</v>
      </c>
      <c r="B264" s="3" t="inlineStr">
        <is>
          <t>Posanol (Posaconazole) (POS01)</t>
        </is>
      </c>
      <c r="C264" s="7" t="inlineStr">
        <is>
          <t>High</t>
        </is>
      </c>
      <c r="D264" s="3" t="inlineStr">
        <is>
          <t>Drug interaction</t>
        </is>
      </c>
      <c r="E264" s="3" t="inlineStr">
        <is>
          <t>Interaction list incomplete</t>
        </is>
      </c>
      <c r="F264" s="3" t="inlineStr">
        <is>
          <t>Align CIs to TW insert: sirolimus dose reduce/monitor; add terfenadine/astemizole/cisapride, venetoclax</t>
        </is>
      </c>
      <c r="G264" s="3" t="inlineStr">
        <is>
          <t>Lists sirolimus as contraindicated (US wording). Does not list venetoclax (CLL/SLL ramp-up) or terfenadine/astemizole/cisapride.</t>
        </is>
      </c>
      <c r="H264" s="3" t="inlineStr">
        <is>
          <t>TW insert (stocked product) does not contraindicate sirolimus; it says reduce to ~1/10 with trough monitoring. UK says avoid; US contraindicates. The TW contraindications include terfenadine, astemizole and cisapride. The US/UK contraindications include venetoclax during CLL initiation/ramp-up.</t>
        </is>
      </c>
      <c r="I264" s="3" t="inlineStr">
        <is>
          <t>TW 仿單 §4, §7 Sirolimus; US §4.2, §4.6; UK §4.3, §4.5</t>
        </is>
      </c>
      <c r="J264" s="3" t="inlineStr">
        <is>
          <t>Open</t>
        </is>
      </c>
      <c r="K264" s="3" t="inlineStr"/>
    </row>
    <row r="265">
      <c r="A265" s="3" t="n">
        <v>1183</v>
      </c>
      <c r="B265" s="3" t="inlineStr">
        <is>
          <t>Pyrazinamide (PYR03)</t>
        </is>
      </c>
      <c r="C265" s="7" t="inlineStr">
        <is>
          <t>High</t>
        </is>
      </c>
      <c r="D265" s="3" t="inlineStr">
        <is>
          <t>Contraindication/warning</t>
        </is>
      </c>
      <c r="E265" s="3" t="inlineStr"/>
      <c r="F265" s="3" t="inlineStr">
        <is>
          <t>Add hypersensitivity, acute porphyria, recent hepatitis, breastfeeding; specify acute gout/hyperuricaemia.</t>
        </is>
      </c>
      <c r="G265" s="3" t="inlineStr">
        <is>
          <t>'gout'; does not list hypersensitivity, acute porphyria, recent hepatitis or breastfeeding</t>
        </is>
      </c>
      <c r="H265" s="3" t="inlineStr">
        <is>
          <t>US: severe hepatic damage, hypersensitivity, ACUTE gout. UK: hypersensitivity; severe hepatic impairment, acute liver disease and up to 6 months after hepatitis; acute porphyria; hyperuricaemia and/or acute gouty arthritis; breastfeeding. 仿單: any 肝障害 is 禁忌, and a gout history is a caution only.</t>
        </is>
      </c>
      <c r="I265" s="3" t="inlineStr">
        <is>
          <t>US CONTRAINDICATIONS; UK SmPC §4.3; 仿單 【注意事項】1–2</t>
        </is>
      </c>
      <c r="J265" s="3" t="inlineStr">
        <is>
          <t>Open</t>
        </is>
      </c>
      <c r="K265" s="3" t="inlineStr"/>
    </row>
    <row r="266">
      <c r="A266" s="3" t="n">
        <v>1190</v>
      </c>
      <c r="B266" s="3" t="inlineStr">
        <is>
          <t>Pyrazinamide (PYR03)</t>
        </is>
      </c>
      <c r="C266" s="7" t="inlineStr">
        <is>
          <t>High</t>
        </is>
      </c>
      <c r="D266" s="3" t="inlineStr">
        <is>
          <t>Contraindication/warning</t>
        </is>
      </c>
      <c r="E266" s="3" t="inlineStr"/>
      <c r="F266" s="3" t="inlineStr">
        <is>
          <t>Remove renal failure as contraindication; specify acute gout; add hypersensitivity, acute porphyria, acute liver disease.</t>
        </is>
      </c>
      <c r="G266" s="3" t="inlineStr">
        <is>
          <t>Patients with severe hepatic damage, renal failure, gout.</t>
        </is>
      </c>
      <c r="H266" s="3" t="inlineStr">
        <is>
          <t>No label contraindicates renal failure: the US says no dose reduction appears required, the UK says emergencies only with intermittent dosing, and 仿單 says 慎重投與 only. Gout: the US contraindicates acute gout and the UK hyperuricaemia and/or acute gouty arthritis; 仿單 lists a gout history as caution only. Missing from the hospital list: hypersensitivity (US/UK), acute porphyria (UK), acute liver disease and ≤6 months after hepatitis (UK), breastfeeding (UK), and 仿單's broader 肝障害.</t>
        </is>
      </c>
      <c r="I266" s="3" t="inlineStr">
        <is>
          <t>US label CONTRAINDICATIONS https://dailymed.nlm.nih.gov/dailymed/drugInfo.cfm?setid=262d8829-728c-48db-b89b-88d13b87e684 ; UK SmPC §4.3 ; Taiwan 仿單 https://mcp.fda.gov.tw/insert/pdfcasefile/i_8de661ba-bced-4948-baae-5b4c4be371c3</t>
        </is>
      </c>
      <c r="J266" s="3" t="inlineStr">
        <is>
          <t>Open</t>
        </is>
      </c>
      <c r="K266" s="3" t="inlineStr"/>
    </row>
    <row r="267">
      <c r="A267" s="3" t="n">
        <v>1187</v>
      </c>
      <c r="B267" s="3" t="inlineStr">
        <is>
          <t>Pyrazinamide (PYR03)</t>
        </is>
      </c>
      <c r="C267" s="7" t="inlineStr">
        <is>
          <t>High</t>
        </is>
      </c>
      <c r="D267" s="3" t="inlineStr">
        <is>
          <t>Dosing – adult</t>
        </is>
      </c>
      <c r="E267" s="3" t="inlineStr"/>
      <c r="F267" s="3" t="inlineStr">
        <is>
          <t>Add label doses (仿單 1.5–2 g/day; US 15–30 mg/kg, max 3 g) and fix garbled 4-month regimen weight band.</t>
        </is>
      </c>
      <c r="G267" s="3" t="inlineStr">
        <is>
          <t>Guideline weight bands only. Three times weekly: 76–90 kg 3 g. Twice weekly: up to 4 g. The 4-month regimen band is printed as '40 to ≥55 to 75 kg: 1.5 g', which is garbled.</t>
        </is>
      </c>
      <c r="H267" s="3" t="inlineStr">
        <is>
          <t>仿單 (stocked product): 1.5–2 g/day in 1–3 divided doses. US: 15–30 mg/kg daily, max 3 g/day. UK: 3× weekly max 2.5 g for ≥50 kg. Both the 仿單 and label doses are missing from the hospital page, and the 4-month-regimen weight band text is malformed.</t>
        </is>
      </c>
      <c r="I267" s="3" t="inlineStr">
        <is>
          <t>仿單 【用法用量】; US DOSAGE &amp; ADMINISTRATION; UK SmPC §4.2</t>
        </is>
      </c>
      <c r="J267" s="3" t="inlineStr">
        <is>
          <t>Open</t>
        </is>
      </c>
      <c r="K267" s="3" t="inlineStr"/>
    </row>
    <row r="268">
      <c r="A268" s="3" t="n">
        <v>1194</v>
      </c>
      <c r="B268" s="3" t="inlineStr">
        <is>
          <t>Pyrazinamide (PYR03)</t>
        </is>
      </c>
      <c r="C268" s="7" t="inlineStr">
        <is>
          <t>High</t>
        </is>
      </c>
      <c r="D268" s="3" t="inlineStr">
        <is>
          <t>Dosing – adult</t>
        </is>
      </c>
      <c r="E268" s="3" t="inlineStr"/>
      <c r="F268" s="3" t="inlineStr">
        <is>
          <t>Restore three weight bands for 4-month regimen: 1 g 40–&lt;55 kg, 1.5 g 55–75 kg, 2 g &gt;75 kg (verify MMWR).</t>
        </is>
      </c>
      <c r="G268" s="3" t="inlineStr">
        <is>
          <t>40 to ≥55 to 75 kg: Oral: 1.5 g once daily. &gt;75 kg: 2 g once daily.</t>
        </is>
      </c>
      <c r="H268" s="3" t="inlineStr">
        <is>
          <t>The CDC interim guidance (PMID 35202353) uses three bands: 1 g for 40–&lt;55 kg, 1.5 g for 55–75 kg, 2 g for &gt;75 kg. The hospital text appears to have merged the bands and drops the 1 g band, which would give 40–54 kg patients 1.5 g. This is plausible but needs confirmation against the MMWR table, which is not reachable from this sandbox.</t>
        </is>
      </c>
      <c r="I268" s="3" t="inlineStr">
        <is>
          <t>Carr W et al. MMWR 2022, PMID 35202353 https://pubmed.ncbi.nlm.nih.gov/35202353/</t>
        </is>
      </c>
      <c r="J268" s="3" t="inlineStr">
        <is>
          <t>Open</t>
        </is>
      </c>
      <c r="K268" s="3" t="inlineStr"/>
    </row>
    <row r="269">
      <c r="A269" s="3" t="n">
        <v>1184</v>
      </c>
      <c r="B269" s="3" t="inlineStr">
        <is>
          <t>Pyrazinamide (PYR03)</t>
        </is>
      </c>
      <c r="C269" s="7" t="inlineStr">
        <is>
          <t>High</t>
        </is>
      </c>
      <c r="D269" s="3" t="inlineStr">
        <is>
          <t>Dosing – hepatic</t>
        </is>
      </c>
      <c r="E269" s="3" t="inlineStr"/>
      <c r="F269" s="3" t="inlineStr">
        <is>
          <t>Replace 'no adjustment' with contraindication in severe hepatic damage/acute liver disease and LFT monitoring.</t>
        </is>
      </c>
      <c r="G269" s="3" t="inlineStr">
        <is>
          <t>No dosage adjustment necessary.</t>
        </is>
      </c>
      <c r="H269" s="3" t="inlineStr">
        <is>
          <t>Contraindicated in severe hepatic damage (US/UK) and in any hepatic disorder (仿單). The UK also contraindicates it in acute liver disease and for 6 months after hepatitis. Pre-existing liver disease needs close follow-up and more frequent LFTs, and hepatic failure triples the AUC (UK §5.2).</t>
        </is>
      </c>
      <c r="I269" s="3" t="inlineStr">
        <is>
          <t>US CONTRAINDICATIONS/WARNINGS; UK SmPC §4.3/§4.4/§5.2; 仿單 禁忌</t>
        </is>
      </c>
      <c r="J269" s="3" t="inlineStr">
        <is>
          <t>Open</t>
        </is>
      </c>
      <c r="K269" s="3" t="inlineStr"/>
    </row>
    <row r="270">
      <c r="A270" s="3" t="n">
        <v>1191</v>
      </c>
      <c r="B270" s="3" t="inlineStr">
        <is>
          <t>Pyrazinamide (PYR03)</t>
        </is>
      </c>
      <c r="C270" s="7" t="inlineStr">
        <is>
          <t>High</t>
        </is>
      </c>
      <c r="D270" s="3" t="inlineStr">
        <is>
          <t>Dosing – hepatic</t>
        </is>
      </c>
      <c r="E270" s="3" t="inlineStr"/>
      <c r="F270" s="3" t="inlineStr">
        <is>
          <t>Replace 'no adjustment' with contraindication in severe hepatic damage/acute liver disease; note PZA-sparing regimens.</t>
        </is>
      </c>
      <c r="G270" s="3" t="inlineStr">
        <is>
          <t>No dosage adjustment necessary.</t>
        </is>
      </c>
      <c r="H270" s="3" t="inlineStr">
        <is>
          <t>All three labels contraindicate PZA in hepatic disease: 仿單 any 肝障害; US severe hepatic damage; UK severe impairment, acute liver disease and up to 6 months after hepatitis. UK §5.2 reports a 3× AUC rise in hepatic failure. The 2016 guideline recommends PZA-sparing regimens in advanced liver disease.</t>
        </is>
      </c>
      <c r="I270" s="3" t="inlineStr">
        <is>
          <t>US/UK/仿單 as above; PMID 27516382 'Hepatic Disease' section</t>
        </is>
      </c>
      <c r="J270" s="3" t="inlineStr">
        <is>
          <t>Open</t>
        </is>
      </c>
      <c r="K270" s="3" t="inlineStr"/>
    </row>
    <row r="271">
      <c r="A271" s="3" t="n">
        <v>1186</v>
      </c>
      <c r="B271" s="3" t="inlineStr">
        <is>
          <t>Pyrazinamide (PYR03)</t>
        </is>
      </c>
      <c r="C271" s="7" t="inlineStr">
        <is>
          <t>High</t>
        </is>
      </c>
      <c r="D271" s="3" t="inlineStr">
        <is>
          <t>Dosing – renal/dialysis</t>
        </is>
      </c>
      <c r="E271" s="3" t="inlineStr">
        <is>
          <t>Renal table outdated</t>
        </is>
      </c>
      <c r="F271" s="3" t="inlineStr">
        <is>
          <t>Replace fixed renal weight bands with 25–35 mg/kg 3x weekly after HD per ATS 2016; cite source.</t>
        </is>
      </c>
      <c r="G271" s="3" t="inlineStr">
        <is>
          <t>CrCl ≥30: no adjustment. CrCl &lt;30: 1 g / 1.5 g / 2 g 3× weekly by weight band (40–55 / 56–75 / 76–90 kg)</t>
        </is>
      </c>
      <c r="H271" s="3" t="inlineStr">
        <is>
          <t>No label gives a CrCl scheme. The stocked product's 仿單 says caution only; the US says no reduction appears required; the UK says emergencies only, intermittent. The guideline (ATS/CDC/IDSA 2016) says 25–35 mg/kg per dose 3× weekly after HD. The hospital's fixed bands can fall below that range at the top of each band: 55 kg on 1 g is about 18 mg/kg, and 90 kg on 2 g is about 22 mg/kg. The page also gives no source.</t>
        </is>
      </c>
      <c r="I271" s="3" t="inlineStr">
        <is>
          <t>US GERIATRIC USE; UK §4.4; PMID 27516382 https://pubmed.ncbi.nlm.nih.gov/27516382/</t>
        </is>
      </c>
      <c r="J271" s="3" t="inlineStr">
        <is>
          <t>Open</t>
        </is>
      </c>
      <c r="K271" s="3" t="inlineStr"/>
    </row>
    <row r="272">
      <c r="A272" s="3" t="n">
        <v>1193</v>
      </c>
      <c r="B272" s="3" t="inlineStr">
        <is>
          <t>Pyrazinamide (PYR03)</t>
        </is>
      </c>
      <c r="C272" s="7" t="inlineStr">
        <is>
          <t>High</t>
        </is>
      </c>
      <c r="D272" s="3" t="inlineStr">
        <is>
          <t>Dosing – renal/dialysis</t>
        </is>
      </c>
      <c r="E272" s="3" t="inlineStr">
        <is>
          <t>Renal table outdated</t>
        </is>
      </c>
      <c r="F272" s="3" t="inlineStr">
        <is>
          <t>Change CrCl&lt;30 flat doses to 25–35 mg/kg 3x weekly (verify Table 12) to avoid underdosing heavier patients.</t>
        </is>
      </c>
      <c r="G272" s="3" t="inlineStr">
        <is>
          <t>Three times weekly: 40–55 kg 1 g, 56–75 kg 1.5 g, 76–90 kg 2 g.</t>
        </is>
      </c>
      <c r="H272" s="3" t="inlineStr">
        <is>
          <t>This is not label content: the labels say no reduction (US), emergencies only with reduced dose or intermittent dosing (UK), or caution (仿單). The guideline (Table 12) gives 25–35 mg/kg per dose three times weekly. The hospital's flat doses fall below 25 mg/kg at the top of each band (1 g at 55 kg = 18 mg/kg; 1.5 g at 75 kg = 20 mg/kg; 2 g at 90 kg = 22 mg/kg), so they may under-dose heavier patients in each band. The Table 12 value still needs a PDF check.</t>
        </is>
      </c>
      <c r="I272" s="3" t="inlineStr">
        <is>
          <t>PMID 27516382 Table 12 https://www.idsociety.org/practice-guideline/treatment-of-drug-susceptible-tb/ ; US label Geriatric Use; UK SmPC §4.4</t>
        </is>
      </c>
      <c r="J272" s="3" t="inlineStr">
        <is>
          <t>Open</t>
        </is>
      </c>
      <c r="K272" s="3" t="inlineStr"/>
    </row>
    <row r="273">
      <c r="A273" s="3" t="n">
        <v>72</v>
      </c>
      <c r="B273" s="3" t="inlineStr">
        <is>
          <t>Rapiacta (Peramivir) (RAP02)</t>
        </is>
      </c>
      <c r="C273" s="7" t="inlineStr">
        <is>
          <t>High</t>
        </is>
      </c>
      <c r="D273" s="3" t="inlineStr">
        <is>
          <t>Dosing – renal/dialysis</t>
        </is>
      </c>
      <c r="E273" s="3" t="inlineStr">
        <is>
          <t>Renal table outdated</t>
        </is>
      </c>
      <c r="F273" s="3" t="inlineStr">
        <is>
          <t>Renal: single dose only (US 200 mg CrCl 30–49, 100 mg 10–29); remove daily dosing</t>
        </is>
      </c>
      <c r="G273" s="3" t="inlineStr">
        <is>
          <t>Per the source brief: CrCl 31–49: 150 mg daily; CrCl 10–30: 100 mg daily; HD: 100 mg on day 1, then after each session; the CrCl &lt;10 line is truncated on the page.</t>
        </is>
      </c>
      <c r="H273" s="3" t="inlineStr">
        <is>
          <t>US FDA: single dose; CrCl 30–49 gets 200 mg and CrCl 10–29 gets 100 mg (for the 600 mg dose). On HD, give after dialysis at the renally adjusted dose. There is no daily repeat dosing and no recommendation below CrCl 10. The Taiwan Rapiacta 仿單 could not be retrieved to check the 300 mg-based values.</t>
        </is>
      </c>
      <c r="I273" s="3" t="inlineStr">
        <is>
          <t>DailyMed RAPIVAB §2.2 Table 1, §8.6 https://dailymed.nlm.nih.gov/dailymed/drugInfo.cfm?setid=fe04f6cd-e71c-4bd4-abac-97720bba2a0d</t>
        </is>
      </c>
      <c r="J273" s="3" t="inlineStr">
        <is>
          <t>Open</t>
        </is>
      </c>
      <c r="K273" s="3" t="inlineStr"/>
    </row>
    <row r="274">
      <c r="A274" s="3" t="n">
        <v>80</v>
      </c>
      <c r="B274" s="3" t="inlineStr">
        <is>
          <t>Rapiacta (Peramivir) (RAP02)</t>
        </is>
      </c>
      <c r="C274" s="7" t="inlineStr">
        <is>
          <t>High</t>
        </is>
      </c>
      <c r="D274" s="3" t="inlineStr">
        <is>
          <t>Dosing – renal/dialysis</t>
        </is>
      </c>
      <c r="E274" s="3" t="inlineStr">
        <is>
          <t>Renal table outdated</t>
        </is>
      </c>
      <c r="F274" s="3" t="inlineStr">
        <is>
          <t>Replace renal table with TW single doses (≥50 300, 30–&lt;50 100, 10–&lt;30 50 mg); HD after dialysis</t>
        </is>
      </c>
      <c r="G274" s="3" t="inlineStr">
        <is>
          <t>CrCl 31–49: 150 mg daily; CrCl 10–30: 100 mg daily; item 3 'CrCl' is blank/truncated; ESRD on HD: 100 mg on day 1, then 100 mg 2 h after each HD session</t>
        </is>
      </c>
      <c r="H274" s="3" t="inlineStr">
        <is>
          <t>Taiwan insert (stocked product, 300 mg basis): CrCl ≥50 300 mg; 30–&lt;50 100 mg; 10–&lt;30 50 mg, as single doses. For CrCl &lt;10 and HD there is no fixed dose: adjust carefully and give after dialysis (drug is rapidly removed by HD). US label (600 mg basis): 30–49 200 mg; 10–29 100 mg; HD after dialysis. The hospital values match neither label, and the 'daily' frequency and the HD 100 mg day-1 regimen are not in either label.</t>
        </is>
      </c>
      <c r="I274" s="3" t="inlineStr">
        <is>
          <t>Taiwan insert 衛部藥輸字第026649號 v4 §2.3 Table 1 (https://mcp.fda.gov.tw/insert/pdfcasefile/d2a947d2-b3f0-49fa-bb7a-ef8b0f0cb3de); US RAPIVAB §2.2 (https://dailymed.nlm.nih.gov/dailymed/drugInfo.cfm?setid=fe04f6cd-e71c-4bd4-abac-97720bba2a0d)</t>
        </is>
      </c>
      <c r="J274" s="3" t="inlineStr">
        <is>
          <t>Open</t>
        </is>
      </c>
      <c r="K274" s="3" t="inlineStr"/>
    </row>
    <row r="275">
      <c r="A275" s="3" t="n">
        <v>1452</v>
      </c>
      <c r="B275" s="3" t="inlineStr">
        <is>
          <t>Ribarin (Ribavirin) (RIB01)</t>
        </is>
      </c>
      <c r="C275" s="7" t="inlineStr">
        <is>
          <t>High</t>
        </is>
      </c>
      <c r="D275" s="3" t="inlineStr">
        <is>
          <t>Breastfeeding</t>
        </is>
      </c>
      <c r="E275" s="3" t="inlineStr"/>
      <c r="F275" s="3" t="inlineStr">
        <is>
          <t>State breastfeeding contraindicated per TW insert/UK SmPC; stop nursing before treatment.</t>
        </is>
      </c>
      <c r="G275" s="3" t="inlineStr">
        <is>
          <t>Infant risk cannot be ruled out</t>
        </is>
      </c>
      <c r="H275" s="3" t="inlineStr">
        <is>
          <t>The Taiwan insert and UK SmPC contraindicate breastfeeding and say to stop nursing before treatment. LactMed notes the drug has not been studied in nursing mothers.</t>
        </is>
      </c>
      <c r="I275" s="3" t="inlineStr">
        <is>
          <t>Taiwan insert §4/§6.2; UK SmPC §4.3/§4.6; LactMed NBK500613</t>
        </is>
      </c>
      <c r="J275" s="3" t="inlineStr">
        <is>
          <t>Open</t>
        </is>
      </c>
      <c r="K275" s="3" t="inlineStr"/>
    </row>
    <row r="276">
      <c r="A276" s="3" t="n">
        <v>1460</v>
      </c>
      <c r="B276" s="3" t="inlineStr">
        <is>
          <t>Ribarin (Ribavirin) (RIB01)</t>
        </is>
      </c>
      <c r="C276" s="7" t="inlineStr">
        <is>
          <t>High</t>
        </is>
      </c>
      <c r="D276" s="3" t="inlineStr">
        <is>
          <t>Breastfeeding</t>
        </is>
      </c>
      <c r="E276" s="3" t="inlineStr"/>
      <c r="F276" s="3" t="inlineStr">
        <is>
          <t>State breastfeeding contraindicated per TW insert; stop nursing before treatment.</t>
        </is>
      </c>
      <c r="G276" s="3" t="inlineStr">
        <is>
          <t>Infant risk cannot be ruled out</t>
        </is>
      </c>
      <c r="H276" s="3" t="inlineStr">
        <is>
          <t>TW仿單 §4 and §6.2 contraindicate breastfeeding (開始治療前應停止哺乳). UK SmPC §4.3 and §4.6 contraindicate it. The hospital wording understates the label for the stocked product.</t>
        </is>
      </c>
      <c r="I276" s="3" t="inlineStr">
        <is>
          <t>TW仿單 §4/§6.2 ; UK SmPC §4.3/§4.6 https://www.medicines.org.uk/emc/product/7108/smpc</t>
        </is>
      </c>
      <c r="J276" s="3" t="inlineStr">
        <is>
          <t>Open</t>
        </is>
      </c>
      <c r="K276" s="3" t="inlineStr"/>
    </row>
    <row r="277">
      <c r="A277" s="3" t="n">
        <v>1448</v>
      </c>
      <c r="B277" s="3" t="inlineStr">
        <is>
          <t>Ribarin (Ribavirin) (RIB01)</t>
        </is>
      </c>
      <c r="C277" s="7" t="inlineStr">
        <is>
          <t>High</t>
        </is>
      </c>
      <c r="D277" s="3" t="inlineStr">
        <is>
          <t>Contraindication/warning</t>
        </is>
      </c>
      <c r="E277" s="3" t="inlineStr"/>
      <c r="F277" s="3" t="inlineStr">
        <is>
          <t>Fix truncated text: restore CrCl &lt;50 contraindication and &lt;75 kg / &lt;47 kg doses.</t>
        </is>
      </c>
      <c r="G277" s="3" t="inlineStr">
        <is>
          <t>'5. CrCl ' cut off; adult '1. ' (&lt;75 kg line) blank; pediatric '1. ' (&lt;47 kg line) blank; 'Low initial dose… (maximum: 1 g/day [' cut off; renal line 2 cut off</t>
        </is>
      </c>
      <c r="H277" s="3" t="inlineStr">
        <is>
          <t>Text with a '&lt;' character appears to be dropped in rendering (HTML escaping). Intended content: CrCl &lt;50 contraindicated; &lt;75 kg 1 g/day; &lt;47 kg 15 mg/kg/day.</t>
        </is>
      </c>
      <c r="I277" s="3" t="inlineStr">
        <is>
          <t>Hospital P4 page https://pharmacy.fjuh.fju.edu.tw/Key_Search/P4?query=RIB01 compared with DailyMed §4 and EPCLUSA §2.4</t>
        </is>
      </c>
      <c r="J277" s="3" t="inlineStr">
        <is>
          <t>Open</t>
        </is>
      </c>
      <c r="K277" s="3" t="inlineStr"/>
    </row>
    <row r="278">
      <c r="A278" s="3" t="n">
        <v>1458</v>
      </c>
      <c r="B278" s="3" t="inlineStr">
        <is>
          <t>Ribarin (Ribavirin) (RIB01)</t>
        </is>
      </c>
      <c r="C278" s="7" t="inlineStr">
        <is>
          <t>High</t>
        </is>
      </c>
      <c r="D278" s="3" t="inlineStr">
        <is>
          <t>Contraindication/warning</t>
        </is>
      </c>
      <c r="E278" s="3" t="inlineStr"/>
      <c r="F278" s="3" t="inlineStr">
        <is>
          <t>HTML-escape '&lt;' so CrCl &lt;50 contraindication and weight-based doses display.</t>
        </is>
      </c>
      <c r="G278" s="3" t="inlineStr">
        <is>
          <t>Displayed as '5. CrCl' (blank), adult '1.' (blank), pediatric '1.' (blank)</t>
        </is>
      </c>
      <c r="H278" s="3" t="inlineStr">
        <is>
          <t>The raw HTML holds 'CrCl &lt;50 mL/minute', '&lt;75 kg: 1 g/day…' and '&lt;47 kg: 15 mg/kg/day…'. The unescaped '&lt;' is parsed as a tag, so the text disappears. It should be HTML-escaped as &amp;lt;.</t>
        </is>
      </c>
      <c r="I278" s="3" t="inlineStr">
        <is>
          <t>https://pharmacy.fjuh.fju.edu.tw/Key_Search/P4?query=RIB01 (raw HTML inspected)</t>
        </is>
      </c>
      <c r="J278" s="3" t="inlineStr">
        <is>
          <t>Open</t>
        </is>
      </c>
      <c r="K278" s="3" t="inlineStr"/>
    </row>
    <row r="279">
      <c r="A279" s="3" t="n">
        <v>1464</v>
      </c>
      <c r="B279" s="3" t="inlineStr">
        <is>
          <t>Ribarin (Ribavirin) (RIB01)</t>
        </is>
      </c>
      <c r="C279" s="7" t="inlineStr">
        <is>
          <t>High</t>
        </is>
      </c>
      <c r="D279" s="3" t="inlineStr">
        <is>
          <t>Contraindication/warning</t>
        </is>
      </c>
      <c r="E279" s="3" t="inlineStr">
        <is>
          <t>Missing boxed warning</t>
        </is>
      </c>
      <c r="F279" s="3" t="inlineStr">
        <is>
          <t>Add boxed warning (embryo-fetal toxicity, haemolytic anaemia, no monotherapy), pregnancy testing and contraception.</t>
        </is>
      </c>
      <c r="G279" s="3" t="inlineStr">
        <is>
          <t>No licence number, no insert link, no pregnancy-prevention / contraception statement (only '懷孕分類 Contraindicated'), no boxed warning</t>
        </is>
      </c>
      <c r="H279" s="3" t="inlineStr">
        <is>
          <t>The licence is 衛署藥製字第048027號 (TFDA). The labels require a negative pregnancy test before starting, monthly tests, and contraception for 9 months after (female patients; FDA/SmPC; TW says 6 months) and 6 months after (female partners of male patients). The US boxed warning covers embryo-fetal toxicity, haemolytic anaemia and no monotherapy.</t>
        </is>
      </c>
      <c r="I279" s="3" t="inlineStr">
        <is>
          <t>TFDA https://mcp.fda.gov.tw/im_detail_1/%E8%A1%9B%E7%BD%B2%E8%97%A5%E8%A3%BD%E5%AD%97%E7%AC%AC048027%E8%99%9F ; US label Boxed Warning/§8.3</t>
        </is>
      </c>
      <c r="J279" s="3" t="inlineStr">
        <is>
          <t>Open</t>
        </is>
      </c>
      <c r="K279" s="3" t="inlineStr"/>
    </row>
    <row r="280">
      <c r="A280" s="3" t="n">
        <v>1450</v>
      </c>
      <c r="B280" s="3" t="inlineStr">
        <is>
          <t>Ribarin (Ribavirin) (RIB01)</t>
        </is>
      </c>
      <c r="C280" s="7" t="inlineStr">
        <is>
          <t>High</t>
        </is>
      </c>
      <c r="D280" s="3" t="inlineStr">
        <is>
          <t>Dosing – pediatric</t>
        </is>
      </c>
      <c r="E280" s="3" t="inlineStr"/>
      <c r="F280" s="3" t="inlineStr">
        <is>
          <t>Note TW insert not recommended &lt;18 y; bands from Epclusa label; &lt;47 kg needs unstocked solution.</t>
        </is>
      </c>
      <c r="G280" s="3" t="inlineStr">
        <is>
          <t>Children ≥3 y: weight bands 47–49 kg 600 mg, 50–65 kg 800 mg, 66–80 kg 1000 mg, &gt;80 kg 1200 mg</t>
        </is>
      </c>
      <c r="H280" s="3" t="inlineStr">
        <is>
          <t>The Taiwan insert (and UK SmPC) do not recommend use under 18 y. The bands match the US Epclusa+RBV pediatric table, not the stocked product's insert. Doses for children under 47 kg (15 mg/kg/day) cannot be given with 200 mg capsules, which must not be opened; the US label says to use the oral solution, which is not stocked.</t>
        </is>
      </c>
      <c r="I280" s="3" t="inlineStr">
        <is>
          <t>Taiwan insert §3.3; DailyMed ribavirin §2.1/§2.2 Table 2; EPCLUSA §2.4 Table 3</t>
        </is>
      </c>
      <c r="J280" s="3" t="inlineStr">
        <is>
          <t>Open</t>
        </is>
      </c>
      <c r="K280" s="3" t="inlineStr"/>
    </row>
    <row r="281">
      <c r="A281" s="3" t="n">
        <v>1461</v>
      </c>
      <c r="B281" s="3" t="inlineStr">
        <is>
          <t>Ribarin (Ribavirin) (RIB01)</t>
        </is>
      </c>
      <c r="C281" s="7" t="inlineStr">
        <is>
          <t>High</t>
        </is>
      </c>
      <c r="D281" s="3" t="inlineStr">
        <is>
          <t>Dosing – pediatric</t>
        </is>
      </c>
      <c r="E281" s="3" t="inlineStr"/>
      <c r="F281" s="3" t="inlineStr">
        <is>
          <t>Note bands from Epclusa label, TW not recommended &lt;18 y; &lt;47 kg needs unstocked solution.</t>
        </is>
      </c>
      <c r="G281" s="3" t="inlineStr">
        <is>
          <t>Children ≥3 y: &lt;47 kg 15 mg/kg/day; 47–49 kg 600 mg; 50–65 kg 800 mg; 66–80 kg 1000 mg; &gt;80 kg 1200 mg/day</t>
        </is>
      </c>
      <c r="H281" s="3" t="inlineStr">
        <is>
          <t>These bands match the EPCLUSA (SOF/VEL) label Table 3, not ribavirin's own labels. TW仿單 3.3: 不建議用於18歲以下. US capsule label (with PegIntron): 47–59 kg 800, 60–73 kg 1000, &gt;73 kg 1200 mg, and &lt;47 kg must use the oral solution, which is not stocked. The source and the TW off-label status should be stated.</t>
        </is>
      </c>
      <c r="I281" s="3" t="inlineStr">
        <is>
          <t>TW仿單 §3.3 ; US label §2.2 Table 2 ; EPCLUSA §2.4 Table 3 https://dailymed.nlm.nih.gov/dailymed/drugInfo.cfm?setid=7f30631a-ee3b-4cfe-866b-964df3f0a44f</t>
        </is>
      </c>
      <c r="J281" s="3" t="inlineStr">
        <is>
          <t>Open</t>
        </is>
      </c>
      <c r="K281" s="3" t="inlineStr"/>
    </row>
    <row r="282">
      <c r="A282" s="3" t="n">
        <v>1444</v>
      </c>
      <c r="B282" s="3" t="inlineStr">
        <is>
          <t>Ribarin (Ribavirin) (RIB01)</t>
        </is>
      </c>
      <c r="C282" s="7" t="inlineStr">
        <is>
          <t>High</t>
        </is>
      </c>
      <c r="D282" s="3" t="inlineStr">
        <is>
          <t>Dosing – renal/dialysis</t>
        </is>
      </c>
      <c r="E282" s="3" t="inlineStr">
        <is>
          <t>Renal table outdated</t>
        </is>
      </c>
      <c r="F282" s="3" t="inlineStr">
        <is>
          <t>Stocked product contraindicated at CrCl &lt;50; remove UK tablet alternate-day regimen.</t>
        </is>
      </c>
      <c r="G282" s="3" t="inlineStr">
        <is>
          <t>CrCl 30–50: 200 mg and 400 mg on alternate days; CrCl &lt;30 / HD: 200 mg daily (the second line is cut off in the rendered text)</t>
        </is>
      </c>
      <c r="H282" s="3" t="inlineStr">
        <is>
          <t>The labels for the stocked product (Taiwan Ribarin insert, and the US capsule label) contraindicate use at CrCl &lt;50 mL/min and say to stop if SCr &gt;2 mg/dL. The alternate-day regimen comes from the UK tablet SmPC Table 3 (old Copegus regimen).</t>
        </is>
      </c>
      <c r="I282" s="3" t="inlineStr">
        <is>
          <t>Taiwan insert §3.3/§4 https://mcp.fda.gov.tw/im_detail_1/%E8%A1%9B%E7%BD%B2%E8%97%A5%E8%A3%BD%E5%AD%97%E7%AC%AC048027%E8%99%9F ; DailyMed §4 https://dailymed.nlm.nih.gov/dailymed/drugInfo.cfm?setid=35f99f76-f2ef-4a81-91ff-285419664be3 ; UK SmPC §4.2 Table 3 https://www.medicines.org.uk/emc/product/7108/smpc</t>
        </is>
      </c>
      <c r="J282" s="3" t="inlineStr">
        <is>
          <t>Open</t>
        </is>
      </c>
      <c r="K282" s="3" t="inlineStr"/>
    </row>
    <row r="283">
      <c r="A283" s="3" t="n">
        <v>1454</v>
      </c>
      <c r="B283" s="3" t="inlineStr">
        <is>
          <t>Ribarin (Ribavirin) (RIB01)</t>
        </is>
      </c>
      <c r="C283" s="7" t="inlineStr">
        <is>
          <t>High</t>
        </is>
      </c>
      <c r="D283" s="3" t="inlineStr">
        <is>
          <t>Dosing – renal/dialysis</t>
        </is>
      </c>
      <c r="E283" s="3" t="inlineStr">
        <is>
          <t>Renal table outdated</t>
        </is>
      </c>
      <c r="F283" s="3" t="inlineStr">
        <is>
          <t>Resolve contradiction: CrCl &lt;50 contraindicated for stocked product; remove UK tablet regimen.</t>
        </is>
      </c>
      <c r="G283" s="3" t="inlineStr">
        <is>
          <t>CrCl 30–50 mL/min: 200 mg and 400 mg on alternating days; CrCl &lt;30 or hemodialysis: 200 mg once daily. The same page's contraindication #5 says 'CrCl &lt;50 mL/minute', so the page contradicts itself.</t>
        </is>
      </c>
      <c r="H283" s="3" t="inlineStr">
        <is>
          <t>The stocked product's TW仿單 (3.3, §4) and the US capsule label (§4) both make CrCl &lt;50 mL/min a contraindication and say to stop if SCr &gt;2 mg/dL. The alternate-day / 200 mg regimen comes from the UK SmPC for the 200 mg film-coated tablet (Table 3), which is a different product.</t>
        </is>
      </c>
      <c r="I283" s="3" t="inlineStr">
        <is>
          <t>TW仿單 衛署藥製字第048027號 §3.3/§4 https://mcp.fda.gov.tw/im_detail_1/%E8%A1%9B%E7%BD%B2%E8%97%A5%E8%A3%BD%E5%AD%97%E7%AC%AC048027%E8%99%9F ; US label §4 https://dailymed.nlm.nih.gov/dailymed/drugInfo.cfm?setid=35f99f76-f2ef-4a81-91ff-285419664be3 ; UK SmPC §4.2 https://www.medicines.org.uk/emc/product/7108/smpc</t>
        </is>
      </c>
      <c r="J283" s="3" t="inlineStr">
        <is>
          <t>Open</t>
        </is>
      </c>
      <c r="K283" s="3" t="inlineStr"/>
    </row>
    <row r="284">
      <c r="A284" s="3" t="n">
        <v>1115</v>
      </c>
      <c r="B284" s="3" t="inlineStr">
        <is>
          <t>Rifampicin (Rifampin) (RIF04)</t>
        </is>
      </c>
      <c r="C284" s="7" t="inlineStr">
        <is>
          <t>High</t>
        </is>
      </c>
      <c r="D284" s="3" t="inlineStr">
        <is>
          <t>Administration/compatibility</t>
        </is>
      </c>
      <c r="E284" s="3" t="inlineStr"/>
      <c r="F284" s="3" t="inlineStr">
        <is>
          <t>Remove IV routes; FJUH stocks only oral RIF04 capsules.</t>
        </is>
      </c>
      <c r="G284" s="3" t="inlineStr">
        <is>
          <t>Many regimens say 'orally/IV' (and isoniazid 'orally/IM'); paediatric bacterial meningitis is given as IV rifampin; endocarditis 300 mg 'IV or orally'; leprosy 'ORALLY or IV'</t>
        </is>
      </c>
      <c r="H284" s="3" t="inlineStr">
        <is>
          <t>FJUH stocks only the RIF04 oral capsule, and the stocked product's US capsule label says 'Rifampin can be administered by the oral route'. IV routes do not apply to this product.</t>
        </is>
      </c>
      <c r="I284" s="3" t="inlineStr">
        <is>
          <t>US label DOSAGE AND ADMINISTRATION https://dailymed.nlm.nih.gov/dailymed/drugInfo.cfm?setid=50f706f9-5003-4e15-bece-85b6213b1f5c ; hospital P4 page RIF04 (product identification only)</t>
        </is>
      </c>
      <c r="J284" s="3" t="inlineStr">
        <is>
          <t>Open</t>
        </is>
      </c>
      <c r="K284" s="3" t="inlineStr"/>
    </row>
    <row r="285">
      <c r="A285" s="3" t="n">
        <v>1124</v>
      </c>
      <c r="B285" s="3" t="inlineStr">
        <is>
          <t>Rifampicin (Rifampin) (RIF04)</t>
        </is>
      </c>
      <c r="C285" s="7" t="inlineStr">
        <is>
          <t>High</t>
        </is>
      </c>
      <c r="D285" s="3" t="inlineStr">
        <is>
          <t>Administration/compatibility</t>
        </is>
      </c>
      <c r="E285" s="3" t="inlineStr"/>
      <c r="F285" s="3" t="inlineStr">
        <is>
          <t>Remove IV/IM routes; RIF04 is an oral 300 mg capsule with no IV product.</t>
        </is>
      </c>
      <c r="G285" s="3" t="inlineStr">
        <is>
          <t>Most regimens say 'orally/IV' (and isoniazid 'orally/IM'); pediatric meningitis entries are IV-only</t>
        </is>
      </c>
      <c r="H285" s="3" t="inlineStr">
        <is>
          <t>The hospital stocks only RIF04, an oral 300 mg capsule; there is no IV rifampin product. The US capsule label says 'Rifampin can be administered by the oral route'.</t>
        </is>
      </c>
      <c r="I285" s="3" t="inlineStr">
        <is>
          <t>Hospital P4 RIF04 (product identification only); US label DOSAGE AND ADMINISTRATION</t>
        </is>
      </c>
      <c r="J285" s="3" t="inlineStr">
        <is>
          <t>Open</t>
        </is>
      </c>
      <c r="K285" s="3" t="inlineStr"/>
    </row>
    <row r="286">
      <c r="A286" s="3" t="n">
        <v>1118</v>
      </c>
      <c r="B286" s="3" t="inlineStr">
        <is>
          <t>Rifampicin (Rifampin) (RIF04)</t>
        </is>
      </c>
      <c r="C286" s="7" t="inlineStr">
        <is>
          <t>High</t>
        </is>
      </c>
      <c r="D286" s="3" t="inlineStr">
        <is>
          <t>Dosing – adult</t>
        </is>
      </c>
      <c r="E286" s="3" t="inlineStr"/>
      <c r="F286" s="3" t="inlineStr">
        <is>
          <t>Replace HRZ regimen under latent TB with 4R (or 3HR/3HP); RIF-PZA not recommended for LTBI.</t>
        </is>
      </c>
      <c r="G286" s="3" t="inlineStr">
        <is>
          <t>Initial 10 mg/kg/day (with isoniazid and pyrazinamide) oral/IV once daily for 2 months, then with isoniazid for 4 months or longer</t>
        </is>
      </c>
      <c r="H286" s="3" t="inlineStr">
        <is>
          <t>This is an active-TB regimen (2HRZ → 4HR) filed under latent TB. The NTCA/CDC 2020 preferred LTBI rifamycin regimens are 3HP, 4R (rifampin daily × 4 months) and 3HR; a pyrazinamide-containing regimen is not among the recommended LTBI regimens.</t>
        </is>
      </c>
      <c r="I286" s="3" t="inlineStr">
        <is>
          <t>Sterling TR et al. MMWR Recomm Rep 2020;69(1):1-11, PMID 32053584 https://pubmed.ncbi.nlm.nih.gov/32053584/</t>
        </is>
      </c>
      <c r="J286" s="3" t="inlineStr">
        <is>
          <t>Open</t>
        </is>
      </c>
      <c r="K286" s="3" t="inlineStr"/>
    </row>
    <row r="287">
      <c r="A287" s="3" t="n">
        <v>1127</v>
      </c>
      <c r="B287" s="3" t="inlineStr">
        <is>
          <t>Rifampicin (Rifampin) (RIF04)</t>
        </is>
      </c>
      <c r="C287" s="7" t="inlineStr">
        <is>
          <t>High</t>
        </is>
      </c>
      <c r="D287" s="3" t="inlineStr">
        <is>
          <t>Dosing – adult</t>
        </is>
      </c>
      <c r="E287" s="3" t="inlineStr"/>
      <c r="F287" s="3" t="inlineStr">
        <is>
          <t>Replace LTBI entry with 4R 10 mg/kg (max 600 mg) × 4 months or 3HR; remove RIF-PZA.</t>
        </is>
      </c>
      <c r="G287" s="3" t="inlineStr">
        <is>
          <t>Inactive TB: 10 mg/kg/day with isoniazid + pyrazinamide × 2 months, then with isoniazid × 4 months</t>
        </is>
      </c>
      <c r="H287" s="3" t="inlineStr">
        <is>
          <t>This is the active-TB regimen. Current LTBI regimens are 4R (rifampin 10 mg/kg qd, max 600 mg × 4 mo; children 15–20 mg/kg) or 3HR. RIF-PZA is not a recommended LTBI regimen.</t>
        </is>
      </c>
      <c r="I287" s="3" t="inlineStr">
        <is>
          <t>CDC/NTCA LTBI 2020, PMID 32053584 https://pubmed.ncbi.nlm.nih.gov/32053584/</t>
        </is>
      </c>
      <c r="J287" s="3" t="inlineStr">
        <is>
          <t>Open</t>
        </is>
      </c>
      <c r="K287" s="3" t="inlineStr"/>
    </row>
    <row r="288">
      <c r="A288" s="3" t="n">
        <v>1113</v>
      </c>
      <c r="B288" s="3" t="inlineStr">
        <is>
          <t>Rifampicin (Rifampin) (RIF04)</t>
        </is>
      </c>
      <c r="C288" s="7" t="inlineStr">
        <is>
          <t>High</t>
        </is>
      </c>
      <c r="D288" s="3" t="inlineStr">
        <is>
          <t>Dosing – hepatic</t>
        </is>
      </c>
      <c r="E288" s="3" t="inlineStr"/>
      <c r="F288" s="3" t="inlineStr">
        <is>
          <t>Add max 8 mg/kg/day in hepatic impairment, contraindication in jaundice, LFT monitoring every 2–4 weeks.</t>
        </is>
      </c>
      <c r="G288" s="3" t="inlineStr">
        <is>
          <t>significantly prolonged half-life ... no specific dosing recommendations available</t>
        </is>
      </c>
      <c r="H288" s="3" t="inlineStr">
        <is>
          <t>Max 8 mg/kg/day in hepatic impairment (UK 4.2; TW 6.6); contraindicated with jaundice (UK 4.3; TW 4); US: use only if necessary, with LFTs before therapy and every 2–4 weeks.</t>
        </is>
      </c>
      <c r="I288" s="3" t="inlineStr">
        <is>
          <t>UK SmPC 4.2/4.3 https://www.medicines.org.uk/emc/product/6382/smpc ; Taiwan 仿單 §4/§6.6 ; US label WARNINGS</t>
        </is>
      </c>
      <c r="J288" s="3" t="inlineStr">
        <is>
          <t>Open</t>
        </is>
      </c>
      <c r="K288" s="3" t="inlineStr"/>
    </row>
    <row r="289">
      <c r="A289" s="3" t="n">
        <v>1122</v>
      </c>
      <c r="B289" s="3" t="inlineStr">
        <is>
          <t>Rifampicin (Rifampin) (RIF04)</t>
        </is>
      </c>
      <c r="C289" s="7" t="inlineStr">
        <is>
          <t>High</t>
        </is>
      </c>
      <c r="D289" s="3" t="inlineStr">
        <is>
          <t>Dosing – hepatic</t>
        </is>
      </c>
      <c r="E289" s="3" t="inlineStr"/>
      <c r="F289" s="3" t="inlineStr">
        <is>
          <t>Add max 8 mg/kg/day hepatic impairment, jaundice contraindication and LFT monitoring schedule.</t>
        </is>
      </c>
      <c r="G289" s="3" t="inlineStr">
        <is>
          <t>significantly prolonged half-life reported in liver disease; no specific dosing recommendations available</t>
        </is>
      </c>
      <c r="H289" s="3" t="inlineStr">
        <is>
          <t>Do not exceed 8 mg/kg/day in hepatic impairment (UK 4.2; TW 6.6). Contraindicated in jaundice (UK 4.3; TW §4). Close LFT monitoring (US WARNINGS: q2–4 wk; UK: weekly × 2 wk, then q2wk × 6 wk).</t>
        </is>
      </c>
      <c r="I289" s="3" t="inlineStr">
        <is>
          <t>UK SmPC 4.2/4.3/4.4; TW 仿單 §4/§6.6; US label WARNINGS</t>
        </is>
      </c>
      <c r="J289" s="3" t="inlineStr">
        <is>
          <t>Open</t>
        </is>
      </c>
      <c r="K289" s="3" t="inlineStr"/>
    </row>
    <row r="290">
      <c r="A290" s="3" t="n">
        <v>1128</v>
      </c>
      <c r="B290" s="3" t="inlineStr">
        <is>
          <t>Rifampicin (Rifampin) (RIF04)</t>
        </is>
      </c>
      <c r="C290" s="7" t="inlineStr">
        <is>
          <t>High</t>
        </is>
      </c>
      <c r="D290" s="3" t="inlineStr">
        <is>
          <t>Dosing – pediatric</t>
        </is>
      </c>
      <c r="E290" s="3" t="inlineStr"/>
      <c r="F290" s="3" t="inlineStr">
        <is>
          <t>Correct TIW 4-month continuation dose count to 54; 126 doses applies to daily dosing.</t>
        </is>
      </c>
      <c r="G290" s="3" t="inlineStr">
        <is>
          <t>(≥ 15 y or &gt; 40 kg) Continuation phase, 3 times weekly × 4 months (126 doses)</t>
        </is>
      </c>
      <c r="H290" s="3" t="inlineStr">
        <is>
          <t>Internally inconsistent: the same regimen on the adult section says 54 doses (3 × weekly × 18 wk); 126 doses applies to daily dosing.</t>
        </is>
      </c>
      <c r="I290" s="3" t="inlineStr">
        <is>
          <t>Hospital P4 RIF04 internal comparison; ATS/CDC/IDSA 2016 PMID 27516382</t>
        </is>
      </c>
      <c r="J290" s="3" t="inlineStr">
        <is>
          <t>Open</t>
        </is>
      </c>
      <c r="K290" s="3" t="inlineStr"/>
    </row>
    <row r="291">
      <c r="A291" s="3" t="n">
        <v>1112</v>
      </c>
      <c r="B291" s="3" t="inlineStr">
        <is>
          <t>Rifampicin (Rifampin) (RIF04)</t>
        </is>
      </c>
      <c r="C291" s="7" t="inlineStr">
        <is>
          <t>High</t>
        </is>
      </c>
      <c r="D291" s="3" t="inlineStr">
        <is>
          <t>Dosing – renal/dialysis</t>
        </is>
      </c>
      <c r="E291" s="3" t="inlineStr">
        <is>
          <t>Renal table outdated</t>
        </is>
      </c>
      <c r="F291" s="3" t="inlineStr">
        <is>
          <t>Remove renal dose reduction and post-PD supplement; no adjustment at ≤600 mg/day, not dialysed.</t>
        </is>
      </c>
      <c r="G291" s="3" t="inlineStr">
        <is>
          <t>CKD/ESRD and HIV: CrCl ≤50 mL/min 50–100% of full dose; HD 50–100%; PD 50–100% with an extra 50–100% dose after PD [ref 20, HIV/CKD source]</t>
        </is>
      </c>
      <c r="H291" s="3" t="inlineStr">
        <is>
          <t>No dose reduction in renal impairment; not removed by HD or PD (TW 仿單 6.7, 5.1.9). The US label says t½ is unchanged at ≤600 mg/day, so no adjustment is required; UK 5.2 is the same. The hospital page's own PK field also says 'not removed ... by either hemodialysis or peritoneal dialysis', which contradicts its post-PD supplement.</t>
        </is>
      </c>
      <c r="I291" s="3" t="inlineStr">
        <is>
          <t>Taiwan 仿單 §6.7/§5.1.9 https://mcp.fda.gov.tw/im_detail_1/%E8%A1%9B%E7%BD%B2%E8%97%A5%E8%A3%BD%E5%AD%97%E7%AC%AC044061%E8%99%9F ; US label Clinical Pharmacology https://dailymed.nlm.nih.gov/dailymed/drugInfo.cfm?setid=50f706f9-5003-4e15-bece-85b6213b1f5c ; UK SmPC 5.2 https://www.medicines.org.uk/emc/product/6382/smpc</t>
        </is>
      </c>
      <c r="J291" s="3" t="inlineStr">
        <is>
          <t>Open</t>
        </is>
      </c>
      <c r="K291" s="3" t="inlineStr"/>
    </row>
    <row r="292">
      <c r="A292" s="3" t="n">
        <v>1121</v>
      </c>
      <c r="B292" s="3" t="inlineStr">
        <is>
          <t>Rifampicin (Rifampin) (RIF04)</t>
        </is>
      </c>
      <c r="C292" s="7" t="inlineStr">
        <is>
          <t>High</t>
        </is>
      </c>
      <c r="D292" s="3" t="inlineStr">
        <is>
          <t>Dosing – renal/dialysis</t>
        </is>
      </c>
      <c r="E292" s="3" t="inlineStr">
        <is>
          <t>Renal table outdated</t>
        </is>
      </c>
      <c r="F292" s="3" t="inlineStr">
        <is>
          <t>Delete CrCl ≤50/HD/PD reductions and post-PD dose; rifampin needs no renal adjustment.</t>
        </is>
      </c>
      <c r="G292" s="3" t="inlineStr">
        <is>
          <t>CKD/ESRD + HIV: CrCl ≤ 50 mL/min 50–100% of full dose; HD 50–100%; PD 50–100% plus an extra 50–100% dose after PD [ref 20]</t>
        </is>
      </c>
      <c r="H292" s="3" t="inlineStr">
        <is>
          <t>No dose adjustment in renal failure at ≤ 600 mg/day (US Clin Pharm; UK 5.2; TW 仿單 6.7 不需降低劑量). Not removed by HD or PD (TW 5.1.9), so no post-dialysis supplement. The hospital page's own PK field also says it is not removed by HD/PD.</t>
        </is>
      </c>
      <c r="I292" s="3" t="inlineStr">
        <is>
          <t>US label CLINICAL PHARMACOLOGY https://dailymed.nlm.nih.gov/dailymed/drugInfo.cfm?setid=50f706f9-5003-4e15-bece-85b6213b1f5c ; UK SmPC 5.2 https://www.medicines.org.uk/emc/product/6382/smpc ; TW 仿單 §5.1.9/§6.7 https://mcp.fda.gov.tw/im_detail_1/%E8%A1%9B%E7%BD%B2%E8%97%A5%E8%A3%BD%E5%AD%97%E7%AC%AC044061%E8%99%9F</t>
        </is>
      </c>
      <c r="J292" s="3" t="inlineStr">
        <is>
          <t>Open</t>
        </is>
      </c>
      <c r="K292" s="3" t="inlineStr"/>
    </row>
    <row r="293">
      <c r="A293" s="3" t="n">
        <v>1116</v>
      </c>
      <c r="B293" s="3" t="inlineStr">
        <is>
          <t>Rifampicin (Rifampin) (RIF04)</t>
        </is>
      </c>
      <c r="C293" s="7" t="inlineStr">
        <is>
          <t>High</t>
        </is>
      </c>
      <c r="D293" s="3" t="inlineStr">
        <is>
          <t>Drug interaction</t>
        </is>
      </c>
      <c r="E293" s="3" t="inlineStr">
        <is>
          <t>Interaction list incomplete</t>
        </is>
      </c>
      <c r="F293" s="3" t="inlineStr">
        <is>
          <t>Add cabotegravir, fostemsavir, lenacapavir, praziquantel, lurasidone, bictegravir, voriconazole, HCV DAAs, jaundice.</t>
        </is>
      </c>
      <c r="G293" s="3" t="inlineStr">
        <is>
          <t>atazanavir, darunavir, fosamprenavir, saquinavir (± ritonavir), tipranavir; rilpivirine or elvitegravir/cobicistat [25]; rifamycin hypersensitivity</t>
        </is>
      </c>
      <c r="H293" s="3" t="inlineStr">
        <is>
          <t>The current US rifampin label also lists cabotegravir, fostemsavir, lenacapavir (Sunlenca), praziquantel and lurasidone; UK adds jaundice, sofosbuvir, daclatasvir and telaprevir; TW adds jaundice. Rilpivirine and elvitegravir/cobicistat are contraindicated in their own labels (Edurant, Genvoya), not in the rifampin label, and bictegravir (Biktarvy) and voriconazole (Vfend) are missing.</t>
        </is>
      </c>
      <c r="I293" s="3" t="inlineStr">
        <is>
          <t>US label CONTRAINDICATIONS https://dailymed.nlm.nih.gov/dailymed/drugInfo.cfm?setid=50f706f9-5003-4e15-bece-85b6213b1f5c ; UK SmPC 4.3 https://www.medicines.org.uk/emc/product/6382/smpc ; Taiwan 仿單 §4</t>
        </is>
      </c>
      <c r="J293" s="3" t="inlineStr">
        <is>
          <t>Open</t>
        </is>
      </c>
      <c r="K293" s="3" t="inlineStr"/>
    </row>
    <row r="294">
      <c r="A294" s="3" t="n">
        <v>1126</v>
      </c>
      <c r="B294" s="3" t="inlineStr">
        <is>
          <t>Rifampicin (Rifampin) (RIF04)</t>
        </is>
      </c>
      <c r="C294" s="7" t="inlineStr">
        <is>
          <t>High</t>
        </is>
      </c>
      <c r="D294" s="3" t="inlineStr">
        <is>
          <t>Drug interaction</t>
        </is>
      </c>
      <c r="E294" s="3" t="inlineStr">
        <is>
          <t>Interaction list incomplete</t>
        </is>
      </c>
      <c r="F294" s="3" t="inlineStr">
        <is>
          <t>Update contraindicated co-medications per current US/UK/TW labels and add jaundice.</t>
        </is>
      </c>
      <c r="G294" s="3" t="inlineStr">
        <is>
          <t>atazanavir, darunavir, fosamprenavir, saquinavir (± ritonavir), tipranavir; rilpivirine, elvitegravir/cobicistat; rifamycin hypersensitivity</t>
        </is>
      </c>
      <c r="H294" s="3" t="inlineStr">
        <is>
          <t>Missing from the hospital list: cabotegravir, fostemsavir, lenacapavir, praziquantel and lurasidone (current US label); sofosbuvir, daclatasvir and telaprevir (UK 4.3); and jaundice (UK 4.3 and the stocked product's TW 仿單 §4). Rilpivirine and E/C are contraindicated by their own labels (Edurant/Genvoya), not by the rifampin label. Bictegravir (Biktarvy) and voriconazole are also contraindicated per their own labels.</t>
        </is>
      </c>
      <c r="I294" s="3" t="inlineStr">
        <is>
          <t>US label CONTRAINDICATIONS; UK SmPC 4.3; TW 仿單 §4; Edurant/Genvoya/Biktarvy/Vfend labels (DailyMed)</t>
        </is>
      </c>
      <c r="J294" s="3" t="inlineStr">
        <is>
          <t>Open</t>
        </is>
      </c>
      <c r="K294" s="3" t="inlineStr"/>
    </row>
    <row r="295">
      <c r="A295" s="3" t="n">
        <v>796</v>
      </c>
      <c r="B295" s="3" t="inlineStr">
        <is>
          <t>SABS (Metronidazole) (SAB03, TOL01)</t>
        </is>
      </c>
      <c r="C295" s="7" t="inlineStr">
        <is>
          <t>High</t>
        </is>
      </c>
      <c r="D295" s="3" t="inlineStr">
        <is>
          <t>Contraindication/warning</t>
        </is>
      </c>
      <c r="E295" s="3" t="inlineStr"/>
      <c r="F295" s="3" t="inlineStr">
        <is>
          <t>Add Cockayne syndrome, blood disease, CNS disease, 1st trimester (any indication) to SAB03 CIs</t>
        </is>
      </c>
      <c r="G295" s="3" t="inlineStr">
        <is>
          <t>(1) hypersensitivity; (2) 1st trimester only in trichomoniasis; (3) disulfiram within 2 wk, alcohol/propylene glycol within 3 d. Cockayne syndrome is not listed.</t>
        </is>
      </c>
      <c r="H295" s="3" t="inlineStr">
        <is>
          <t>TW SABS 仿單 4 contraindicates: hypersensitivity; 血液疾病; 腦、脊髓疾病; 懷孕三個月內 (any indication); Cockayne syndrome. The US injection label contraindicates hypersensitivity, disulfiram, alcohol/PG for 3 d, and Cockayne syndrome. The 'first trimester with trichomoniasis' wording comes from the US oral (FLAGYL) label, not the IV label. Item 3 IS label-supported, contrary to the brief.</t>
        </is>
      </c>
      <c r="I295" s="3" t="inlineStr">
        <is>
          <t>https://mcp.fda.gov.tw/im_detail_1/%E8%A1%9B%E7%BD%B2%E8%97%A5%E8%A3%BD%E5%AD%97%E7%AC%AC026817%E8%99%9F ; https://dailymed.nlm.nih.gov/dailymed/drugInfo.cfm?setid=e4ea0c09-cdd1-4708-962c-6ba28b989df3</t>
        </is>
      </c>
      <c r="J295" s="3" t="inlineStr">
        <is>
          <t>Open</t>
        </is>
      </c>
      <c r="K295" s="3" t="inlineStr"/>
    </row>
    <row r="296">
      <c r="A296" s="3" t="n">
        <v>797</v>
      </c>
      <c r="B296" s="3" t="inlineStr">
        <is>
          <t>SABS (Metronidazole) (SAB03, TOL01)</t>
        </is>
      </c>
      <c r="C296" s="7" t="inlineStr">
        <is>
          <t>High</t>
        </is>
      </c>
      <c r="D296" s="3" t="inlineStr">
        <is>
          <t>Contraindication/warning</t>
        </is>
      </c>
      <c r="E296" s="3" t="inlineStr"/>
      <c r="F296" s="3" t="inlineStr">
        <is>
          <t>Add Cockayne, blood/CNS disease, 1st trimester, alcohol/propylene glycol 3 d to TOL01 CIs</t>
        </is>
      </c>
      <c r="G296" s="3" t="inlineStr">
        <is>
          <t>Hypersensitivity; 1st trimester with trichomoniasis; disulfiram within 2 wk.</t>
        </is>
      </c>
      <c r="H296" s="3" t="inlineStr">
        <is>
          <t>TW Tolizole 仿單 4.1–4.5 also lists blood disease, brain/spinal-cord disease, all 1st-trimester use, and Cockayne syndrome. The US FLAGYL contraindications also include alcohol/propylene glycol for ≥3 d and Cockayne syndrome.</t>
        </is>
      </c>
      <c r="I296" s="3" t="inlineStr">
        <is>
          <t>https://mcp.fda.gov.tw/im_detail_1/%E8%A1%9B%E7%BD%B2%E8%97%A5%E8%A3%BD%E5%AD%97%E7%AC%AC041025%E8%99%9F ; https://dailymed.nlm.nih.gov/dailymed/drugInfo.cfm?setid=a2883ca1-5a9a-4259-9d80-46ab67274384</t>
        </is>
      </c>
      <c r="J296" s="3" t="inlineStr">
        <is>
          <t>Open</t>
        </is>
      </c>
      <c r="K296" s="3" t="inlineStr"/>
    </row>
    <row r="297">
      <c r="A297" s="3" t="n">
        <v>807</v>
      </c>
      <c r="B297" s="3" t="inlineStr">
        <is>
          <t>SABS (Metronidazole) (SAB03, TOL01)</t>
        </is>
      </c>
      <c r="C297" s="7" t="inlineStr">
        <is>
          <t>High</t>
        </is>
      </c>
      <c r="D297" s="3" t="inlineStr">
        <is>
          <t>Contraindication/warning</t>
        </is>
      </c>
      <c r="E297" s="3" t="inlineStr"/>
      <c r="F297" s="3" t="inlineStr">
        <is>
          <t>Add Cockayne syndrome, blood dyscrasia, CNS disease, 1st trimester CIs to both pages</t>
        </is>
      </c>
      <c r="G297" s="3" t="inlineStr">
        <is>
          <t>Lists hypersensitivity, first trimester in trichomoniasis and disulfiram. No Cockayne syndrome. No blood dyscrasia or CNS-disease contraindication.</t>
        </is>
      </c>
      <c r="H297" s="3" t="inlineStr">
        <is>
          <t>Both TW 仿單 contraindicate Cockayne syndrome, blood disease, brain/spinal cord disease and the first trimester (any indication). The US labels also contraindicate Cockayne syndrome.</t>
        </is>
      </c>
      <c r="I297" s="3" t="inlineStr">
        <is>
          <t>TW 仿單 SABS §4 &amp; Tolizole §4 — https://mcp.fda.gov.tw/im_detail_1/%E8%A1%9B%E7%BD%B2%E8%97%A5%E8%A3%BD%E5%AD%97%E7%AC%AC041025%E8%99%9F; US IV label CONTRAINDICATIONS</t>
        </is>
      </c>
      <c r="J297" s="3" t="inlineStr">
        <is>
          <t>Open</t>
        </is>
      </c>
      <c r="K297" s="3" t="inlineStr"/>
    </row>
    <row r="298">
      <c r="A298" s="3" t="n">
        <v>795</v>
      </c>
      <c r="B298" s="3" t="inlineStr">
        <is>
          <t>SABS (Metronidazole) (SAB03, TOL01)</t>
        </is>
      </c>
      <c r="C298" s="7" t="inlineStr">
        <is>
          <t>High</t>
        </is>
      </c>
      <c r="D298" s="3" t="inlineStr">
        <is>
          <t>Dosing – hepatic</t>
        </is>
      </c>
      <c r="E298" s="3" t="inlineStr"/>
      <c r="F298" s="3" t="inlineStr">
        <is>
          <t>Replace SAB03 'extend to q12h' rule with label: severe hepatic disease reduce dose, monitor levels</t>
        </is>
      </c>
      <c r="G298" s="3" t="inlineStr">
        <is>
          <t>SAB03: keep the dose and extend q6–8h to q12h. TOL01: reduce the dose by 50% for every indication.</t>
        </is>
      </c>
      <c r="H298" s="3" t="inlineStr">
        <is>
          <t>US FLAGYL (PO): amebiasis → reduce the dose by 50%; trichomoniasis → q12h to q24h; Child-Pugh A/B no change. US injection: in severe hepatic disease give doses below the usual ones, cautiously, and monitor plasma levels. UK: reduce the dose with serum-level monitoring. TW inserts: 劑量調整可能有其必要. No label states SAB03's 'extend to q12h' rule.</t>
        </is>
      </c>
      <c r="I298" s="3" t="inlineStr">
        <is>
          <t>https://dailymed.nlm.nih.gov/dailymed/drugInfo.cfm?setid=a2883ca1-5a9a-4259-9d80-46ab67274384 ; https://dailymed.nlm.nih.gov/dailymed/drugInfo.cfm?setid=e4ea0c09-cdd1-4708-962c-6ba28b989df3 ; https://www.medicines.org.uk/emc/product/1842/smpc</t>
        </is>
      </c>
      <c r="J298" s="3" t="inlineStr">
        <is>
          <t>Open</t>
        </is>
      </c>
      <c r="K298" s="3" t="inlineStr"/>
    </row>
    <row r="299">
      <c r="A299" s="3" t="n">
        <v>805</v>
      </c>
      <c r="B299" s="3" t="inlineStr">
        <is>
          <t>SABS (Metronidazole) (SAB03, TOL01)</t>
        </is>
      </c>
      <c r="C299" s="7" t="inlineStr">
        <is>
          <t>High</t>
        </is>
      </c>
      <c r="D299" s="3" t="inlineStr">
        <is>
          <t>Dosing – hepatic</t>
        </is>
      </c>
      <c r="E299" s="3" t="inlineStr"/>
      <c r="F299" s="3" t="inlineStr">
        <is>
          <t>Harmonise Child-Pugh C: reduce dose (e.g. 50%) with monitoring; remove SAB03 interval rule</t>
        </is>
      </c>
      <c r="G299" s="3" t="inlineStr">
        <is>
          <t>SAB03: keep the dose and extend q6–8h to q12h. TOL01: reduce the dose by 50%.</t>
        </is>
      </c>
      <c r="H299" s="3" t="inlineStr">
        <is>
          <t>US oral tablet label: reduce the dose by 50% in Child-Pugh C, so TOL01 matches the label. The Flagyl capsule label gives 50% for amebiasis and q24h for trichomoniasis. US IV label: doses below usual plus plasma-level monitoring. UK: dose reduction with serum-level monitoring. SAB03's interval rule is from a drug database, not a label. The brief was wrong to say the labels give only 'doses below usual'.</t>
        </is>
      </c>
      <c r="I299" s="3" t="inlineStr">
        <is>
          <t>US Metronidazole Tablets (Teva) label — https://dailymed.nlm.nih.gov/dailymed/drugInfo.cfm?setid=291a45f6-ed27-4dcc-8364-358d08623797; UK SmPC 4.2 — https://www.medicines.org.uk/emc/product/1842/smpc</t>
        </is>
      </c>
      <c r="J299" s="3" t="inlineStr">
        <is>
          <t>Open</t>
        </is>
      </c>
      <c r="K299" s="3" t="inlineStr"/>
    </row>
    <row r="300">
      <c r="A300" s="3" t="n">
        <v>798</v>
      </c>
      <c r="B300" s="3" t="inlineStr">
        <is>
          <t>SABS (Metronidazole) (SAB03, TOL01)</t>
        </is>
      </c>
      <c r="C300" s="7" t="inlineStr">
        <is>
          <t>High</t>
        </is>
      </c>
      <c r="D300" s="3" t="inlineStr">
        <is>
          <t>Dosing – pediatric</t>
        </is>
      </c>
      <c r="E300" s="3" t="inlineStr"/>
      <c r="F300" s="3" t="inlineStr">
        <is>
          <t>Remove oral regimen; state peds dose not established (TW) or US infant &lt;4 mo IAI regimen</t>
        </is>
      </c>
      <c r="G300" s="3" t="inlineStr">
        <is>
          <t>An oral regimen (15–50 mg/kg/day q8h) is listed on an IV-only product. IV: 22.5–40 mg/kg/day divided q6–8h for infants, children and adolescents.</t>
        </is>
      </c>
      <c r="H300" s="3" t="inlineStr">
        <is>
          <t>TW SABS 仿單 3.1/6.4: 一般兒童劑量尚未確立. US injection: only for IAI in infants &lt;4 months (15 mg/kg loading, then 7.5 mg/kg q12/8/6h by post-menstrual age); ≥4 months not established. UK SmPC: 20–30 mg/kg/day (up to 40) for &gt;8 wk–12 y.</t>
        </is>
      </c>
      <c r="I300" s="3" t="inlineStr">
        <is>
          <t>https://mcp.fda.gov.tw/im_detail_1/%E8%A1%9B%E7%BD%B2%E8%97%A5%E8%A3%BD%E5%AD%97%E7%AC%AC026817%E8%99%9F ; https://dailymed.nlm.nih.gov/dailymed/drugInfo.cfm?setid=e4ea0c09-cdd1-4708-962c-6ba28b989df3 ; https://www.medicines.org.uk/emc/product/1842/smpc</t>
        </is>
      </c>
      <c r="J300" s="3" t="inlineStr">
        <is>
          <t>Open</t>
        </is>
      </c>
      <c r="K300" s="3" t="inlineStr"/>
    </row>
    <row r="301">
      <c r="A301" s="3" t="n">
        <v>808</v>
      </c>
      <c r="B301" s="3" t="inlineStr">
        <is>
          <t>SABS (Metronidazole) (SAB03, TOL01)</t>
        </is>
      </c>
      <c r="C301" s="7" t="inlineStr">
        <is>
          <t>High</t>
        </is>
      </c>
      <c r="D301" s="3" t="inlineStr">
        <is>
          <t>Dosing – pediatric</t>
        </is>
      </c>
      <c r="E301" s="3" t="inlineStr"/>
      <c r="F301" s="3" t="inlineStr">
        <is>
          <t>Remove oral regimen from IV page; peds dose not established (TW)/US infant IAI only</t>
        </is>
      </c>
      <c r="G301" s="3" t="inlineStr">
        <is>
          <t>Gives an oral regimen (15–50 mg/kg/day q8h) for an IV-only product, and IV 22.5–40 mg/kg/day q6–8h for infants to adolescents.</t>
        </is>
      </c>
      <c r="H301" s="3" t="inlineStr">
        <is>
          <t>TW SABS 仿單: pediatric dose not established. US IV label: only infants under 4 months with IAI (15 mg/kg LD, then 7.5 mg/kg q12/8/6h by PMA); not established at 4 months or older. UK IV: 20–30 mg/kg/day, up to 40, for &gt;8 weeks to 12 years. The oral regimen does not belong on the IV product page.</t>
        </is>
      </c>
      <c r="I301" s="3" t="inlineStr">
        <is>
          <t>US IV label Table 2/Pediatric Use; TW 仿單 SABS §3.1; UK SmPC IV 4.2</t>
        </is>
      </c>
      <c r="J301" s="3" t="inlineStr">
        <is>
          <t>Open</t>
        </is>
      </c>
      <c r="K301" s="3" t="inlineStr"/>
    </row>
    <row r="302">
      <c r="A302" s="3" t="n">
        <v>804</v>
      </c>
      <c r="B302" s="3" t="inlineStr">
        <is>
          <t>SABS (Metronidazole) (SAB03, TOL01)</t>
        </is>
      </c>
      <c r="C302" s="7" t="inlineStr">
        <is>
          <t>High</t>
        </is>
      </c>
      <c r="D302" s="3" t="inlineStr">
        <is>
          <t>Dosing – renal/dialysis</t>
        </is>
      </c>
      <c r="E302" s="3" t="inlineStr">
        <is>
          <t>Renal table outdated</t>
        </is>
      </c>
      <c r="F302" s="3" t="inlineStr">
        <is>
          <t>Remove reduced CrCl&lt;10/HD regimens; labels: no reduction in anuria, dose after HD</t>
        </is>
      </c>
      <c r="G302" s="3" t="inlineStr">
        <is>
          <t>For CrCl &lt;10, 500 mg q12h may be adequate. For intermittent HD, 500 mg q8–12h.</t>
        </is>
      </c>
      <c r="H302" s="3" t="inlineStr">
        <is>
          <t>US IV label: the dose should not be specifically reduced in anuric patients, because HD removes the metabolites. TW SABS 仿單 §5.1 says the same (無尿症患者一般不需要減少劑量). UK: re-administer after HD. The hospital's reduced regimens are not in any label.</t>
        </is>
      </c>
      <c r="I302" s="3" t="inlineStr">
        <is>
          <t>US IV label DOSAGE; TW 仿單 衛署藥製字第026817號 §5.1 — https://mcp.fda.gov.tw/im_detail_1/%E8%A1%9B%E7%BD%B2%E8%97%A5%E8%A3%BD%E5%AD%97%E7%AC%AC026817%E8%99%9F</t>
        </is>
      </c>
      <c r="J302" s="3" t="inlineStr">
        <is>
          <t>Open</t>
        </is>
      </c>
      <c r="K302" s="3" t="inlineStr"/>
    </row>
    <row r="303">
      <c r="A303" s="3" t="n">
        <v>423</v>
      </c>
      <c r="B303" s="3" t="inlineStr">
        <is>
          <t>Seforce (ciprofloxacin) (SEF02, CIN02)</t>
        </is>
      </c>
      <c r="C303" s="7" t="inlineStr">
        <is>
          <t>High</t>
        </is>
      </c>
      <c r="D303" s="3" t="inlineStr">
        <is>
          <t>Dosing – adult</t>
        </is>
      </c>
      <c r="E303" s="3" t="inlineStr"/>
      <c r="F303" s="3" t="inlineStr">
        <is>
          <t>Remove 500 mg q12h typhoid dose from IV page (oral dose); IV is 200–400 mg</t>
        </is>
      </c>
      <c r="G303" s="3" t="inlineStr">
        <is>
          <t>Typhoid fever: 500 mg Q12H (listed on the IV product page)</t>
        </is>
      </c>
      <c r="H303" s="3" t="inlineStr">
        <is>
          <t>500 mg q12h is an oral tablet dose (US oral label Table 1: typhoid 500 mg q12h × 10 d; UK SmPC 4.2: 500 mg BID × 7 d). The US IV label has no typhoid indication, and the Seforce 仿單 IV doses are 200-400 mg.</t>
        </is>
      </c>
      <c r="I303" s="3" t="inlineStr">
        <is>
          <t>US FDA label (Aurobindo tablets) 2.1 - https://dailymed.nlm.nih.gov/dailymed/drugInfo.cfm?setid=6a935846-3c97-4517-bc4e-2377f673285e; US FDA label (Sagent IV) 2.1 - https://dailymed.nlm.nih.gov/dailymed/drugInfo.cfm?setid=f406e796-17d9-4465-b8a7-00d966a4ba74</t>
        </is>
      </c>
      <c r="J303" s="3" t="inlineStr">
        <is>
          <t>Open</t>
        </is>
      </c>
      <c r="K303" s="3" t="inlineStr"/>
    </row>
    <row r="304">
      <c r="A304" s="3" t="n">
        <v>428</v>
      </c>
      <c r="B304" s="3" t="inlineStr">
        <is>
          <t>Seforce (ciprofloxacin) (SEF02, CIN02)</t>
        </is>
      </c>
      <c r="C304" s="7" t="inlineStr">
        <is>
          <t>High</t>
        </is>
      </c>
      <c r="D304" s="3" t="inlineStr">
        <is>
          <t>Dosing – adult</t>
        </is>
      </c>
      <c r="E304" s="3" t="inlineStr"/>
      <c r="F304" s="3" t="inlineStr">
        <is>
          <t>Remove 500 mg IV typhoid dose; that is the oral regimen</t>
        </is>
      </c>
      <c r="G304" s="3" t="inlineStr">
        <is>
          <t>Typhoid fever: 500 mg Q12H (on the IV product page)</t>
        </is>
      </c>
      <c r="H304" s="3" t="inlineStr">
        <is>
          <t>500 mg q12h is the oral dose (UK SmPC 4.2: typhoid fever 500 mg twice daily × 7 days, tablets). US and TW IV dosing gives 200-400 mg IV; there is no 500 mg IV dose.</t>
        </is>
      </c>
      <c r="I304" s="3" t="inlineStr">
        <is>
          <t>UK SmPC 4.2 https://www.medicines.org.uk/emc/product/7256/smpc; Taiwan Seforce insert 3.1 https://mcp.fda.gov.tw/im_detail_1/%E8%A1%9B%E7%BD%B2%E8%97%A5%E8%A3%BD%E5%AD%97%E7%AC%AC044809%E8%99%9F</t>
        </is>
      </c>
      <c r="J304" s="3" t="inlineStr">
        <is>
          <t>Open</t>
        </is>
      </c>
      <c r="K304" s="3" t="inlineStr"/>
    </row>
    <row r="305">
      <c r="A305" s="3" t="n">
        <v>424</v>
      </c>
      <c r="B305" s="3" t="inlineStr">
        <is>
          <t>Seforce (ciprofloxacin) (SEF02, CIN02)</t>
        </is>
      </c>
      <c r="C305" s="7" t="inlineStr">
        <is>
          <t>High</t>
        </is>
      </c>
      <c r="D305" s="3" t="inlineStr">
        <is>
          <t>Dosing – renal/dialysis</t>
        </is>
      </c>
      <c r="E305" s="3" t="inlineStr"/>
      <c r="F305" s="3" t="inlineStr">
        <is>
          <t>Use insert: CrCl 31–60 max 800 mg/day; &lt;30 max 400 mg/day (US q18–24h); HD after dialysis</t>
        </is>
      </c>
      <c r="G305" s="3" t="inlineStr">
        <is>
          <t>CrCl 30-130: 400 mg q8-12h; CrCl &lt;30: 200-400 mg q12-24h (allows up to 800 mg/day); intermittent HD or PD: 200-400 mg q24h</t>
        </is>
      </c>
      <c r="H305" s="3" t="inlineStr">
        <is>
          <t>Seforce 仿單: CrCl 31-60 → max 800 mg/day; CrCl &lt;30 (SCr ≥2.0) → max 400 mg/day; HD → same maximum, given after dialysis; CAPD → 50 mg/L dialysate IP q6h. US IV label: CrCl 5-29 → 200-400 mg q18-24h. The hospital's 'q12h' at CrCl &lt;30 exceeds both labels, and its 30-130 band ignores the 800 mg/day cap at CrCl 31-60.</t>
        </is>
      </c>
      <c r="I305" s="3" t="inlineStr">
        <is>
          <t>Seforce 仿單 3.3 - https://mcp.fda.gov.tw/im_detail_1/%E8%A1%9B%E7%BD%B2%E8%97%A5%E8%A3%BD%E5%AD%97%E7%AC%AC044809%E8%99%9F; US FDA label (Sagent IV) 2.3 Table 4 - https://dailymed.nlm.nih.gov/dailymed/drugInfo.cfm?setid=f406e796-17d9-4465-b8a7-00d966a4ba74</t>
        </is>
      </c>
      <c r="J305" s="3" t="inlineStr">
        <is>
          <t>Open</t>
        </is>
      </c>
      <c r="K305" s="3" t="inlineStr"/>
    </row>
    <row r="306">
      <c r="A306" s="3" t="n">
        <v>429</v>
      </c>
      <c r="B306" s="3" t="inlineStr">
        <is>
          <t>Seforce (ciprofloxacin) (SEF02, CIN02)</t>
        </is>
      </c>
      <c r="C306" s="7" t="inlineStr">
        <is>
          <t>High</t>
        </is>
      </c>
      <c r="D306" s="3" t="inlineStr">
        <is>
          <t>Dosing – renal/dialysis</t>
        </is>
      </c>
      <c r="E306" s="3" t="inlineStr"/>
      <c r="F306" s="3" t="inlineStr">
        <is>
          <t>CrCl &lt;30: max 400 mg/day IV (TW) or 200–400 mg q18–24h (US); remove q12h</t>
        </is>
      </c>
      <c r="G306" s="3" t="inlineStr">
        <is>
          <t>CrCl &lt;30: 200-400 mg q12-24h (allows up to 800 mg/day)</t>
        </is>
      </c>
      <c r="H306" s="3" t="inlineStr">
        <is>
          <t>The TW Seforce insert caps the IV dose at 400 mg/day when CrCl &lt;30 mL/min/1.73 m² or SCr ≥2.0. The US IV label gives 200-400 mg q18-24h for CrCl 5-29.</t>
        </is>
      </c>
      <c r="I306" s="3" t="inlineStr">
        <is>
          <t>Taiwan Seforce insert 3.3 https://mcp.fda.gov.tw/im_detail_1/%E8%A1%9B%E7%BD%B2%E8%97%A5%E8%A3%BD%E5%AD%97%E7%AC%AC044809%E8%99%9F; US FDA label 2.3 Table 4 https://dailymed.nlm.nih.gov/dailymed/drugInfo.cfm?setid=f406e796-17d9-4465-b8a7-00d966a4ba74</t>
        </is>
      </c>
      <c r="J306" s="3" t="inlineStr">
        <is>
          <t>Open</t>
        </is>
      </c>
      <c r="K306" s="3" t="inlineStr"/>
    </row>
    <row r="307">
      <c r="A307" s="3" t="n">
        <v>430</v>
      </c>
      <c r="B307" s="3" t="inlineStr">
        <is>
          <t>Seforce (ciprofloxacin) (SEF02, CIN02)</t>
        </is>
      </c>
      <c r="C307" s="7" t="inlineStr">
        <is>
          <t>High</t>
        </is>
      </c>
      <c r="D307" s="3" t="inlineStr">
        <is>
          <t>Dosing – renal/dialysis</t>
        </is>
      </c>
      <c r="E307" s="3" t="inlineStr"/>
      <c r="F307" s="3" t="inlineStr">
        <is>
          <t>CrCl 31–60: cap IV at 800 mg/day per TW insert; remove 400 mg q8h</t>
        </is>
      </c>
      <c r="G307" s="3" t="inlineStr">
        <is>
          <t>CrCl 30-130: 400 mg q8-12h (allows 1200 mg/day at CrCl 31-60)</t>
        </is>
      </c>
      <c r="H307" s="3" t="inlineStr">
        <is>
          <t>The TW Seforce insert caps the IV dose at 800 mg/day when CrCl 31-60 mL/min/1.73 m² (SCr 1.4-1.9). 400 mg q8h exceeds this cap. (The US IV label adjusts only below 30.)</t>
        </is>
      </c>
      <c r="I307" s="3" t="inlineStr">
        <is>
          <t>Taiwan Seforce insert 3.3 https://mcp.fda.gov.tw/im_detail_1/%E8%A1%9B%E7%BD%B2%E8%97%A5%E8%A3%BD%E5%AD%97%E7%AC%AC044809%E8%99%9F</t>
        </is>
      </c>
      <c r="J307" s="3" t="inlineStr">
        <is>
          <t>Open</t>
        </is>
      </c>
      <c r="K307" s="3" t="inlineStr"/>
    </row>
    <row r="308">
      <c r="A308" s="3" t="n">
        <v>817</v>
      </c>
      <c r="B308" s="3" t="inlineStr">
        <is>
          <t>Sevatrim (Sulfamethoxazole/Trimethoprim) (SEV03, MOR06, SUL03)</t>
        </is>
      </c>
      <c r="C308" s="7" t="inlineStr">
        <is>
          <t>High</t>
        </is>
      </c>
      <c r="D308" s="3" t="inlineStr">
        <is>
          <t>Administration/compatibility</t>
        </is>
      </c>
      <c r="E308" s="3" t="inlineStr"/>
      <c r="F308" s="3" t="inlineStr">
        <is>
          <t>Correct infusion: 5 mL per 125 mL over ~1.5 h (60–90 min); remove 30-min instruction</t>
        </is>
      </c>
      <c r="G308" s="3" t="inlineStr">
        <is>
          <t>One field: 5 mL in 100 mL D5W over 30 min (another field says 125 mL over 1.5 h)</t>
        </is>
      </c>
      <c r="H308" s="3" t="inlineStr">
        <is>
          <t>TW Sevatrim: 5 mL in 125 mL, infuse ~1.5 h. US: 60–90 min; 'Avoid administration by rapid infusion or bolus'. UK: ~1–1.5 h. A 30-min infusion is not supported by any label, and the two hospital fields contradict each other.</t>
        </is>
      </c>
      <c r="I308" s="3" t="inlineStr">
        <is>
          <t>Taiwan insert Sevatrim §3.2; US FDA injection label §2.3 https://dailymed.nlm.nih.gov/dailymed/drugInfo.cfm?setid=ebb570bb-6e5e-489e-875c-9e7b3a6d716a</t>
        </is>
      </c>
      <c r="J308" s="3" t="inlineStr">
        <is>
          <t>Open</t>
        </is>
      </c>
      <c r="K308" s="3" t="inlineStr"/>
    </row>
    <row r="309">
      <c r="A309" s="3" t="n">
        <v>826</v>
      </c>
      <c r="B309" s="3" t="inlineStr">
        <is>
          <t>Sevatrim (Sulfamethoxazole/Trimethoprim) (SEV03, MOR06, SUL03)</t>
        </is>
      </c>
      <c r="C309" s="7" t="inlineStr">
        <is>
          <t>High</t>
        </is>
      </c>
      <c r="D309" s="3" t="inlineStr">
        <is>
          <t>Administration/compatibility</t>
        </is>
      </c>
      <c r="E309" s="3" t="inlineStr"/>
      <c r="F309" s="3" t="inlineStr">
        <is>
          <t>Remove 100 mL/30-min infusion; use 125 mL over ~1.5 h; avoid rapid infusion</t>
        </is>
      </c>
      <c r="G309" s="3" t="inlineStr">
        <is>
          <t>'drug in 100 ml of D5W per 5 ml vial over 30 minutes is recommended'. The IV section of the same page says 125 mL over 1.5 h (仿單).</t>
        </is>
      </c>
      <c r="H309" s="3" t="inlineStr">
        <is>
          <t>Sevatrim TW insert: 5 mL in 125 mL, infused over about 1.5 h. US: 60–90 min, avoid rapid infusion/bolus. A 30-min infusion contradicts both.</t>
        </is>
      </c>
      <c r="I309" s="3" t="inlineStr">
        <is>
          <t>Taiwan insert Sevatrim §3.2, https://mcp.fda.gov.tw/im_detail_1/%E8%A1%9B%E7%BD%B2%E8%97%A5%E8%A3%BD%E5%AD%97%E7%AC%AC012528%E8%99%9F ; US FDA IV label §2.3</t>
        </is>
      </c>
      <c r="J309" s="3" t="inlineStr">
        <is>
          <t>Open</t>
        </is>
      </c>
      <c r="K309" s="3" t="inlineStr"/>
    </row>
    <row r="310">
      <c r="A310" s="3" t="n">
        <v>831</v>
      </c>
      <c r="B310" s="3" t="inlineStr">
        <is>
          <t>Sevatrim (Sulfamethoxazole/Trimethoprim) (SEV03, MOR06, SUL03)</t>
        </is>
      </c>
      <c r="C310" s="7" t="inlineStr">
        <is>
          <t>High</t>
        </is>
      </c>
      <c r="D310" s="3" t="inlineStr">
        <is>
          <t>Dosing – adult</t>
        </is>
      </c>
      <c r="E310" s="3" t="inlineStr"/>
      <c r="F310" s="3" t="inlineStr">
        <is>
          <t>State unit for max dose (per day) with source; correct 'trimethoprin' spelling</t>
        </is>
      </c>
      <c r="G310" s="3" t="inlineStr">
        <is>
          <t>'MAX trimethoprin 640mg, sulfamethoxazole 3.2g' (no time unit; 'trimethoprin' misspelt).</t>
        </is>
      </c>
      <c r="H310" s="3" t="inlineStr">
        <is>
          <t>Not found in the TW inserts. The US label maximum is 960 mg TMP/day (IV). UK nocardiosis uses 6–8 tablets daily (480–640 mg TMP). The unit (per day vs per dose) must be stated.</t>
        </is>
      </c>
      <c r="I310" s="3" t="inlineStr">
        <is>
          <t>US FDA IV label §2.1; UK SmPC 6999 §4.2</t>
        </is>
      </c>
      <c r="J310" s="3" t="inlineStr">
        <is>
          <t>Open</t>
        </is>
      </c>
      <c r="K310" s="3" t="inlineStr"/>
    </row>
    <row r="311">
      <c r="A311" s="3" t="n">
        <v>828</v>
      </c>
      <c r="B311" s="3" t="inlineStr">
        <is>
          <t>Sevatrim (Sulfamethoxazole/Trimethoprim) (SEV03, MOR06, SUL03)</t>
        </is>
      </c>
      <c r="C311" s="7" t="inlineStr">
        <is>
          <t>High</t>
        </is>
      </c>
      <c r="D311" s="3" t="inlineStr">
        <is>
          <t>Dosing – hepatic</t>
        </is>
      </c>
      <c r="E311" s="3" t="inlineStr"/>
      <c r="F311" s="3" t="inlineStr">
        <is>
          <t>Replace 'no adjustment' with contraindicated in marked/severe hepatic impairment</t>
        </is>
      </c>
      <c r="G311" s="3" t="inlineStr">
        <is>
          <t>'No dosage adjustment necessary'.</t>
        </is>
      </c>
      <c r="H311" s="3" t="inlineStr">
        <is>
          <t>Contraindicated in marked hepatic damage (US), severe hepatic impairment (UK) and 肝臟實質傷害 (TW). This also contradicts the hospital's own contraindication field.</t>
        </is>
      </c>
      <c r="I311" s="3" t="inlineStr">
        <is>
          <t>Taiwan insert Sevatrim §4; US FDA IV label §4; UK SmPC 4669 §4.3</t>
        </is>
      </c>
      <c r="J311" s="3" t="inlineStr">
        <is>
          <t>Open</t>
        </is>
      </c>
      <c r="K311" s="3" t="inlineStr"/>
    </row>
    <row r="312">
      <c r="A312" s="3" t="n">
        <v>829</v>
      </c>
      <c r="B312" s="3" t="inlineStr">
        <is>
          <t>Sevatrim (Sulfamethoxazole/Trimethoprim) (SEV03, MOR06, SUL03)</t>
        </is>
      </c>
      <c r="C312" s="7" t="inlineStr">
        <is>
          <t>High</t>
        </is>
      </c>
      <c r="D312" s="3" t="inlineStr">
        <is>
          <t>Dosing – pediatric</t>
        </is>
      </c>
      <c r="E312" s="3" t="inlineStr"/>
      <c r="F312" s="3" t="inlineStr">
        <is>
          <t>Align peds dose to label (US 8–10 mg TMP/kg/day; TW ~6 mg/kg/day from 6 wk)</t>
        </is>
      </c>
      <c r="G312" s="3" t="inlineStr">
        <is>
          <t>SEV03: 'Infants 2 months… 8 to 12 mg TMP/kg/day… every 12 hours; maximum 320 mg TMP/dose'. All pages: contraindicated in infants &lt;2 months.</t>
        </is>
      </c>
      <c r="H312" s="3" t="inlineStr">
        <is>
          <t>Sevatrim TW insert: ≤12 y TMP about 6 mg/kg/day in 2 doses by age band from 6 weeks (severe +50%). US IV: 8–10 mg/kg/day in 2–4 doses from 2 months. The stocked TW inserts use a 6-week cut-off, not 2 months.</t>
        </is>
      </c>
      <c r="I312" s="3" t="inlineStr">
        <is>
          <t>Taiwan insert Sevatrim §3.1, §5.1; US FDA IV label §2.1, §4</t>
        </is>
      </c>
      <c r="J312" s="3" t="inlineStr">
        <is>
          <t>Open</t>
        </is>
      </c>
      <c r="K312" s="3" t="inlineStr"/>
    </row>
    <row r="313">
      <c r="A313" s="3" t="n">
        <v>827</v>
      </c>
      <c r="B313" s="3" t="inlineStr">
        <is>
          <t>Sevatrim (Sulfamethoxazole/Trimethoprim) (SEV03, MOR06, SUL03)</t>
        </is>
      </c>
      <c r="C313" s="7" t="inlineStr">
        <is>
          <t>High</t>
        </is>
      </c>
      <c r="D313" s="3" t="inlineStr">
        <is>
          <t>Dosing – renal/dialysis</t>
        </is>
      </c>
      <c r="E313" s="3" t="inlineStr">
        <is>
          <t>Renal table outdated</t>
        </is>
      </c>
      <c r="F313" s="3" t="inlineStr">
        <is>
          <t>Replace renal table with label bands (TW CrCl 15–25/ &lt;15 HD); remove 10–20 mg/kg/day for CrCl&gt;30</t>
        </is>
      </c>
      <c r="G313" s="3" t="inlineStr">
        <is>
          <t>CrCl &gt;30: 10–20 mg/kg/day in 2–3 doses; 15–30: 5–10 mg/kg/day; &lt;15 not recommended.</t>
        </is>
      </c>
      <c r="H313" s="3" t="inlineStr">
        <is>
          <t>Sevatrim TW insert: CrCl &gt;25 standard; 15–25 standard dose for 3 days then half; &lt;15 not given unless HD (then half dose). The 10–20 mg/kg/day figure for CrCl &gt;30 is not in any label: it exceeds the US UTI dose of 8–10 mg/kg/day and corresponds to the PJP range.</t>
        </is>
      </c>
      <c r="I313" s="3" t="inlineStr">
        <is>
          <t>Taiwan insert Sevatrim §3.3; US FDA IV label §2.1–2.2</t>
        </is>
      </c>
      <c r="J313" s="3" t="inlineStr">
        <is>
          <t>Open</t>
        </is>
      </c>
      <c r="K313" s="3" t="inlineStr"/>
    </row>
    <row r="314">
      <c r="A314" s="3" t="n">
        <v>42</v>
      </c>
      <c r="B314" s="3" t="inlineStr">
        <is>
          <t>Sulampi (Ampicillin/Sulbactam) (SUL05)</t>
        </is>
      </c>
      <c r="C314" s="7" t="inlineStr">
        <is>
          <t>High</t>
        </is>
      </c>
      <c r="D314" s="3" t="inlineStr">
        <is>
          <t>Administration/compatibility</t>
        </is>
      </c>
      <c r="E314" s="3" t="inlineStr"/>
      <c r="F314" s="3" t="inlineStr">
        <is>
          <t>Remove IM route; stocked Sulampi product is IV only</t>
        </is>
      </c>
      <c r="G314" s="3" t="inlineStr">
        <is>
          <t>IM, IV: 1.5 to 3 g every 6 hours</t>
        </is>
      </c>
      <c r="H314" s="3" t="inlineStr">
        <is>
          <t>The stocked product's Taiwan insert (舒安比靜脈乾粉注射劑) describes IV administration only (bolus ≥3 min or 15–30 min infusion). IM use comes from US UNASYN labelling.</t>
        </is>
      </c>
      <c r="I314" s="3" t="inlineStr">
        <is>
          <t>Taiwan insert 【劑量與用法】 'Sulbactam sodium/Ampicillin sodium 靜脈注射劑可以用靜脈內注射的途徑給予' https://www.cth.org.tw/public/medi_news/9e24641f15ab702170213ee1b96e6469.pdf</t>
        </is>
      </c>
      <c r="J314" s="3" t="inlineStr">
        <is>
          <t>Open</t>
        </is>
      </c>
      <c r="K314" s="3" t="inlineStr"/>
    </row>
    <row r="315">
      <c r="A315" s="3" t="n">
        <v>44</v>
      </c>
      <c r="B315" s="3" t="inlineStr">
        <is>
          <t>Sulampi (Ampicillin/Sulbactam) (SUL05)</t>
        </is>
      </c>
      <c r="C315" s="7" t="inlineStr">
        <is>
          <t>High</t>
        </is>
      </c>
      <c r="D315" s="3" t="inlineStr">
        <is>
          <t>Administration/compatibility</t>
        </is>
      </c>
      <c r="E315" s="3" t="inlineStr"/>
      <c r="F315" s="3" t="inlineStr">
        <is>
          <t>Remove IM from adult and pediatric routes; IV only per Sulampi insert</t>
        </is>
      </c>
      <c r="G315" s="3" t="inlineStr">
        <is>
          <t>Adult 'IM, IV: 1.5 to 3 g every 6 hours'; pediatric mild-moderate 'IV, IM'</t>
        </is>
      </c>
      <c r="H315" s="3" t="inlineStr">
        <is>
          <t>The Sulampi insert describes an IV-only product: '靜脈乾粉注射劑 ... 可以用靜脈內注射的途徑給予'. The hospital's own 注射給藥指引 lists only IVF/IV bolus. FDA: 'safety and efficacy of UNASYN administered via intramuscular injection in pediatric patients have not been established'.</t>
        </is>
      </c>
      <c r="I315" s="3" t="inlineStr">
        <is>
          <t>Sulampi 仿單 https://www.cth.org.tw/public/medi_news/9e24641f15ab702170213ee1b96e6469.pdf ; FDA UNASYN Pediatric Patients https://dailymed.nlm.nih.gov/dailymed/drugInfo.cfm?setid=155c7ec0-5862-404f-b1d0-f278f8a8bbda</t>
        </is>
      </c>
      <c r="J315" s="3" t="inlineStr">
        <is>
          <t>Open</t>
        </is>
      </c>
      <c r="K315" s="3" t="inlineStr"/>
    </row>
    <row r="316">
      <c r="A316" s="3" t="n">
        <v>52</v>
      </c>
      <c r="B316" s="3" t="inlineStr">
        <is>
          <t>Sulampi (Ampicillin/Sulbactam) (SUL05)</t>
        </is>
      </c>
      <c r="C316" s="7" t="inlineStr">
        <is>
          <t>High</t>
        </is>
      </c>
      <c r="D316" s="3" t="inlineStr">
        <is>
          <t>Contraindication/warning</t>
        </is>
      </c>
      <c r="E316" s="3" t="inlineStr"/>
      <c r="F316" s="3" t="inlineStr">
        <is>
          <t>Add contraindication after prior amp/sulb cholestatic jaundice/hepatic dysfunction; monitor LFTs in hepatic impairment</t>
        </is>
      </c>
      <c r="G316" s="3" t="inlineStr">
        <is>
          <t>There is no dosage adjustment provided in the manufacturer's labeling</t>
        </is>
      </c>
      <c r="H316" s="3" t="inlineStr">
        <is>
          <t>Accurate, but it leaves out the FDA advice to monitor hepatic function regularly in hepatic impairment, and the contraindication after prior cholestatic jaundice/hepatic dysfunction with this drug.</t>
        </is>
      </c>
      <c r="I316" s="3" t="inlineStr">
        <is>
          <t>FDA UNASYN CONTRAINDICATIONS and WARNINGS–Hepatotoxicity</t>
        </is>
      </c>
      <c r="J316" s="3" t="inlineStr">
        <is>
          <t>Open</t>
        </is>
      </c>
      <c r="K316" s="3" t="inlineStr"/>
    </row>
    <row r="317">
      <c r="A317" s="3" t="n">
        <v>41</v>
      </c>
      <c r="B317" s="3" t="inlineStr">
        <is>
          <t>Sulampi (Ampicillin/Sulbactam) (SUL05)</t>
        </is>
      </c>
      <c r="C317" s="7" t="inlineStr">
        <is>
          <t>High</t>
        </is>
      </c>
      <c r="D317" s="3" t="inlineStr">
        <is>
          <t>Dosing – pediatric</t>
        </is>
      </c>
      <c r="E317" s="3" t="inlineStr"/>
      <c r="F317" s="3" t="inlineStr">
        <is>
          <t>Pediatric max 200 mg ampicillin/kg/day (US); flag 400 mg/kg/day as off-label</t>
        </is>
      </c>
      <c r="G317" s="3" t="inlineStr">
        <is>
          <t>IV: 200 to 400 mg ampicillin/kg/day divided every 6 hours (up to 400 for severe infection); usual maximum 2,000 mg ampicillin/dose</t>
        </is>
      </c>
      <c r="H317" s="3" t="inlineStr">
        <is>
          <t>US label: 300 mg/kg/day total = 200 mg ampicillin/kg/day, age ≥1 year, IV only. Taiwan insert: 150 mg/kg/day total (100 mg ampicillin/kg/day) q6–8h; neonates in the first week 75 mg/kg/day q12h. 400 mg ampicillin/kg/day is above both labels (off-label).</t>
        </is>
      </c>
      <c r="I317" s="3" t="inlineStr">
        <is>
          <t>DailyMed UNASYN Pediatric Patients 1 Year of Age or Older; Taiwan insert 使用於孩童、嬰兒和新生兒</t>
        </is>
      </c>
      <c r="J317" s="3" t="inlineStr">
        <is>
          <t>Open</t>
        </is>
      </c>
      <c r="K317" s="3" t="inlineStr"/>
    </row>
    <row r="318">
      <c r="A318" s="3" t="n">
        <v>50</v>
      </c>
      <c r="B318" s="3" t="inlineStr">
        <is>
          <t>Sulampi (Ampicillin/Sulbactam) (SUL05)</t>
        </is>
      </c>
      <c r="C318" s="7" t="inlineStr">
        <is>
          <t>High</t>
        </is>
      </c>
      <c r="D318" s="3" t="inlineStr">
        <is>
          <t>Dosing – pediatric</t>
        </is>
      </c>
      <c r="E318" s="3" t="inlineStr"/>
      <c r="F318" s="3" t="inlineStr">
        <is>
          <t>Align pediatric dosing: 200 mg ampicillin/kg/day q6h (US) or TW 100 mg/kg/day; no 400 mg/kg/day</t>
        </is>
      </c>
      <c r="G318" s="3" t="inlineStr">
        <is>
          <t>Mild-moderate 100–200 mg ampicillin/kg/day ÷ q6h; severe 200–400 mg ampicillin/kg/day</t>
        </is>
      </c>
      <c r="H318" s="3" t="inlineStr">
        <is>
          <t>FDA (≥1 yr): 200 mg ampicillin/kg/day (300 mg/kg/day combined) ÷ q6h; ≥40 kg use adult dose; sulbactam ≤4 g/day. Sulampi 仿單: 100 mg ampicillin/kg/day (150 combined) ÷ q6–8h; neonates ≤1 week 50 mg ampicillin/kg/day ÷ q12h. Neither label supports 400 mg/kg/day.</t>
        </is>
      </c>
      <c r="I318" s="3" t="inlineStr">
        <is>
          <t>FDA UNASYN Pediatric Patients 1 Year of Age or Older; Sulampi 仿單 使用於孩童、嬰兒和新生兒</t>
        </is>
      </c>
      <c r="J318" s="3" t="inlineStr">
        <is>
          <t>Open</t>
        </is>
      </c>
      <c r="K318" s="3" t="inlineStr"/>
    </row>
    <row r="319">
      <c r="A319" s="3" t="n">
        <v>35</v>
      </c>
      <c r="B319" s="3" t="inlineStr">
        <is>
          <t>Sulampi (Ampicillin/Sulbactam) (SUL05)</t>
        </is>
      </c>
      <c r="C319" s="7" t="inlineStr">
        <is>
          <t>High</t>
        </is>
      </c>
      <c r="D319" s="3" t="inlineStr">
        <is>
          <t>Indication/coverage</t>
        </is>
      </c>
      <c r="E319" s="3" t="inlineStr"/>
      <c r="F319" s="3" t="inlineStr">
        <is>
          <t>Remove C. difficile from covered anaerobes; list Clostridium spp.; amp/sulb causes CDAD</t>
        </is>
      </c>
      <c r="G319" s="3" t="inlineStr">
        <is>
          <t>Infections caused by ... Anaerobic bacteria (Bacteroides Fusobacterium, Clostridium difficile), and Branhumella catarrhalis</t>
        </is>
      </c>
      <c r="H319" s="3" t="inlineStr">
        <is>
          <t>US label lists 'Clostridium species' (non-β-lactamase producers) and names C. difficile only as the cause of CDAD (WARNINGS). The C. difficile text is copied from the old Taiwan insert's indication paragraph (confirmed on the PDF image) and is clinically wrong. 'Branhumella' is misspelled in the Taiwan insert itself; the correct genus is Branhamella, now Moraxella catarrhalis (US label MICROBIOLOGY).</t>
        </is>
      </c>
      <c r="I319" s="3" t="inlineStr">
        <is>
          <t>DailyMed UNASYN MICROBIOLOGY–Anaerobes, WARNINGS–CDAD https://dailymed.nlm.nih.gov/dailymed/drugInfo.cfm?setid=155c7ec0-5862-404f-b1d0-f278f8a8bbda; Taiwan insert 【適應症】 https://www.cth.org.tw/public/medi_news/9e24641f15ab702170213ee1b96e6469.pdf</t>
        </is>
      </c>
      <c r="J319" s="3" t="inlineStr">
        <is>
          <t>Open</t>
        </is>
      </c>
      <c r="K319" s="3" t="inlineStr"/>
    </row>
    <row r="320">
      <c r="A320" s="3" t="n">
        <v>45</v>
      </c>
      <c r="B320" s="3" t="inlineStr">
        <is>
          <t>Sulampi (Ampicillin/Sulbactam) (SUL05)</t>
        </is>
      </c>
      <c r="C320" s="7" t="inlineStr">
        <is>
          <t>High</t>
        </is>
      </c>
      <c r="D320" s="3" t="inlineStr">
        <is>
          <t>Indication/coverage</t>
        </is>
      </c>
      <c r="E320" s="3" t="inlineStr"/>
      <c r="F320" s="3" t="inlineStr">
        <is>
          <t>Delete Clostridium difficile from coverage list; note CDAD warning</t>
        </is>
      </c>
      <c r="G320" s="3" t="inlineStr">
        <is>
          <t>Lists 'Clostridium difficile' among covered anaerobes</t>
        </is>
      </c>
      <c r="H320" s="3" t="inlineStr">
        <is>
          <t>The error comes from the Taiwan insert's own 適應症 text. Clinically, ampicillin/sulbactam causes CDAD (FDA Warnings: Clostridioides difficile-Associated Diarrhea); the FDA microbiology list names only 'Clostridium species'.</t>
        </is>
      </c>
      <c r="I320" s="3" t="inlineStr">
        <is>
          <t>FDA UNASYN WARNINGS–CDAD and MICROBIOLOGY https://dailymed.nlm.nih.gov/dailymed/drugInfo.cfm?setid=155c7ec0-5862-404f-b1d0-f278f8a8bbda</t>
        </is>
      </c>
      <c r="J320" s="3" t="inlineStr">
        <is>
          <t>Open</t>
        </is>
      </c>
      <c r="K320" s="3" t="inlineStr"/>
    </row>
    <row r="321">
      <c r="A321" s="3" t="n">
        <v>132</v>
      </c>
      <c r="B321" s="3" t="inlineStr">
        <is>
          <t>Taigexyn (Nemonoxacin) (TAI05, TAI06)</t>
        </is>
      </c>
      <c r="C321" s="7" t="inlineStr">
        <is>
          <t>High</t>
        </is>
      </c>
      <c r="D321" s="3" t="inlineStr">
        <is>
          <t>Breastfeeding</t>
        </is>
      </c>
      <c r="E321" s="3" t="inlineStr"/>
      <c r="F321" s="3" t="inlineStr">
        <is>
          <t>State contraindicated in breastfeeding; interrupt breastfeeding if used (replace generic caution text)</t>
        </is>
      </c>
      <c r="G321" s="3" t="inlineStr">
        <is>
          <t>Generic LactMed/Micromedex-style caution wording</t>
        </is>
      </c>
      <c r="H321" s="3" t="inlineStr">
        <is>
          <t>Contraindicated during breastfeeding; if benefit outweighs risk, breastfeeding must be interrupted (應暫停哺乳). There is no LactMed record for nemonoxacin.</t>
        </is>
      </c>
      <c r="I321" s="3" t="inlineStr">
        <is>
          <t>TFDA 仿單 §4, §6.2 (both products) — https://mcp.fda.gov.tw/im_detail_1/%E8%A1%9B%E9%83%A8%E8%97%A5%E8%A3%BD%E5%AD%97%E7%AC%AC058540%E8%99%9F</t>
        </is>
      </c>
      <c r="J321" s="3" t="inlineStr">
        <is>
          <t>Open</t>
        </is>
      </c>
      <c r="K321" s="3" t="inlineStr"/>
    </row>
    <row r="322">
      <c r="A322" s="3" t="n">
        <v>137</v>
      </c>
      <c r="B322" s="3" t="inlineStr">
        <is>
          <t>Taigexyn (Nemonoxacin) (TAI05, TAI06)</t>
        </is>
      </c>
      <c r="C322" s="7" t="inlineStr">
        <is>
          <t>High</t>
        </is>
      </c>
      <c r="D322" s="3" t="inlineStr">
        <is>
          <t>Breastfeeding</t>
        </is>
      </c>
      <c r="E322" s="3" t="inlineStr"/>
      <c r="F322" s="3" t="inlineStr">
        <is>
          <t>Replace Micromedex rating with: contraindicated in breastfeeding; stop breastfeeding if used</t>
        </is>
      </c>
      <c r="G322" s="3" t="inlineStr">
        <is>
          <t>'Available evidence and/or expert consensus is inconclusive… Use during breastfeeding is not recommended' (Micromedex-style rating text)</t>
        </is>
      </c>
      <c r="H322" s="3" t="inlineStr">
        <is>
          <t>哺乳中婦女禁用 (contraindicated); if the drug is used, 應暫停哺乳 (breastfeeding must stop)</t>
        </is>
      </c>
      <c r="I322" s="3" t="inlineStr">
        <is>
          <t>TFDA 仿單 6.2 — https://mcp.fda.gov.tw/im_detail_1/%E8%A1%9B%E9%83%A8%E8%97%A5%E8%A3%BD%E5%AD%97%E7%AC%AC060558%E8%99%9F</t>
        </is>
      </c>
      <c r="J322" s="3" t="inlineStr">
        <is>
          <t>Open</t>
        </is>
      </c>
      <c r="K322" s="3" t="inlineStr"/>
    </row>
    <row r="323">
      <c r="A323" s="3" t="n">
        <v>129</v>
      </c>
      <c r="B323" s="3" t="inlineStr">
        <is>
          <t>Taigexyn (Nemonoxacin) (TAI05, TAI06)</t>
        </is>
      </c>
      <c r="C323" s="7" t="inlineStr">
        <is>
          <t>High</t>
        </is>
      </c>
      <c r="D323" s="3" t="inlineStr">
        <is>
          <t>Contraindication/warning</t>
        </is>
      </c>
      <c r="E323" s="3" t="inlineStr"/>
      <c r="F323" s="3" t="inlineStr">
        <is>
          <t>Add contraindication: children and adolescents (plus quinolone hypersensitivity) per TW insert §4</t>
        </is>
      </c>
      <c r="G323" s="3" t="inlineStr">
        <is>
          <t>Contraindications list pregnancy and breastfeeding only; pediatric field says use is not established</t>
        </is>
      </c>
      <c r="H323" s="3" t="inlineStr">
        <is>
          <t>Contraindicated in quinolone hypersensitivity, in pregnancy or breastfeeding, and in children or adolescents (§4 禁忌: '◎兒童或青少年')</t>
        </is>
      </c>
      <c r="I323" s="3" t="inlineStr">
        <is>
          <t>TFDA 仿單 §4 (both products) — https://mcp.fda.gov.tw/im_detail_1/%E8%A1%9B%E9%83%A8%E8%97%A5%E8%A3%BD%E5%AD%97%E7%AC%AC058540%E8%99%9F ; https://mcp.fda.gov.tw/im_detail_1/%E8%A1%9B%E9%83%A8%E8%97%A5%E8%A3%BD%E5%AD%97%E7%AC%AC060558%E8%99%9F</t>
        </is>
      </c>
      <c r="J323" s="3" t="inlineStr">
        <is>
          <t>Open</t>
        </is>
      </c>
      <c r="K323" s="3" t="inlineStr"/>
    </row>
    <row r="324">
      <c r="A324" s="3" t="n">
        <v>135</v>
      </c>
      <c r="B324" s="3" t="inlineStr">
        <is>
          <t>Taigexyn (Nemonoxacin) (TAI05, TAI06)</t>
        </is>
      </c>
      <c r="C324" s="7" t="inlineStr">
        <is>
          <t>High</t>
        </is>
      </c>
      <c r="D324" s="3" t="inlineStr">
        <is>
          <t>Contraindication/warning</t>
        </is>
      </c>
      <c r="E324" s="3" t="inlineStr"/>
      <c r="F324" s="3" t="inlineStr">
        <is>
          <t>Add children/adolescents contraindication to TAI05/TAI06 禁忌症 and pediatric fields</t>
        </is>
      </c>
      <c r="G324" s="3" t="inlineStr">
        <is>
          <t>Contraindications list only quinolone hypersensitivity and pregnancy/breastfeeding. The pediatric field says only 'no adequate studies' (TAI05) or 'efficacy and safety not established' (TAI06).</t>
        </is>
      </c>
      <c r="H324" s="3" t="inlineStr">
        <is>
          <t>4 禁忌 also lists ◎兒童或青少年 (children and adolescents are contraindicated)</t>
        </is>
      </c>
      <c r="I324" s="3" t="inlineStr">
        <is>
          <t>TFDA 仿單 4 禁忌 (both products) — https://mcp.fda.gov.tw/im_detail_1/%E8%A1%9B%E9%83%A8%E8%97%A5%E8%A3%BD%E5%AD%97%E7%AC%AC060558%E8%99%9F</t>
        </is>
      </c>
      <c r="J324" s="3" t="inlineStr">
        <is>
          <t>Open</t>
        </is>
      </c>
      <c r="K324" s="3" t="inlineStr"/>
    </row>
    <row r="325">
      <c r="A325" s="3" t="n">
        <v>136</v>
      </c>
      <c r="B325" s="3" t="inlineStr">
        <is>
          <t>Taigexyn (Nemonoxacin) (TAI05, TAI06)</t>
        </is>
      </c>
      <c r="C325" s="7" t="inlineStr">
        <is>
          <t>High</t>
        </is>
      </c>
      <c r="D325" s="3" t="inlineStr">
        <is>
          <t>Pregnancy</t>
        </is>
      </c>
      <c r="E325" s="3" t="inlineStr"/>
      <c r="F325" s="3" t="inlineStr">
        <is>
          <t>TAI05: state contraindicated in pregnancy (align with TAI06 and insert)</t>
        </is>
      </c>
      <c r="G325" s="3" t="inlineStr">
        <is>
          <t>'Use during pregnancy is not recommended'</t>
        </is>
      </c>
      <c r="H325" s="3" t="inlineStr">
        <is>
          <t>懷孕或有可能懷孕的女性禁用 (contraindicated). TAI06 correctly says contraindicated, so the two pages are inconsistent.</t>
        </is>
      </c>
      <c r="I325" s="3" t="inlineStr">
        <is>
          <t>TFDA 仿單 Taigexyn Capsule 4, 6.1 — https://mcp.fda.gov.tw/im_detail_1/%E8%A1%9B%E9%83%A8%E8%97%A5%E8%A3%BD%E5%AD%97%E7%AC%AC058540%E8%99%9F</t>
        </is>
      </c>
      <c r="J325" s="3" t="inlineStr">
        <is>
          <t>Open</t>
        </is>
      </c>
      <c r="K325" s="3" t="inlineStr"/>
    </row>
    <row r="326">
      <c r="A326" s="3" t="n">
        <v>956</v>
      </c>
      <c r="B326" s="3" t="inlineStr">
        <is>
          <t>Tamiflu (Oseltamivir) (TAM08, TAM06, ERA02, ERA03)</t>
        </is>
      </c>
      <c r="C326" s="7" t="inlineStr">
        <is>
          <t>High</t>
        </is>
      </c>
      <c r="D326" s="3" t="inlineStr">
        <is>
          <t>Dosing – renal/dialysis</t>
        </is>
      </c>
      <c r="E326" s="3" t="inlineStr">
        <is>
          <t>Renal table outdated</t>
        </is>
      </c>
      <c r="F326" s="3" t="inlineStr">
        <is>
          <t>CrCl &gt;30–60: remove 75 mg loading; 30 mg BID treatment, 30 mg QD prophylaxis</t>
        </is>
      </c>
      <c r="G326" s="3" t="inlineStr">
        <is>
          <t>CrCl &gt;30 to 60 mL/minute: 75 mg loading dose, followed by 30 mg twice daily</t>
        </is>
      </c>
      <c r="H326" s="3" t="inlineStr">
        <is>
          <t>CrCl &gt;30–60: 30 mg twice daily for 5 days (treatment) / 30 mg once daily (prophylaxis); no loading dose in any label</t>
        </is>
      </c>
      <c r="I326" s="3" t="inlineStr">
        <is>
          <t>Taiwan Tamiflu insert §3.3 https://mcp.fda.gov.tw/im_detail_1/%E8%A1%9B%E7%BD%B2%E8%97%A5%E8%BC%B8%E5%AD%97%E7%AC%AC023253%E8%99%9F; US FDA label §2.4 Table 2 https://dailymed.nlm.nih.gov/dailymed/drugInfo.cfm?setid=ee3c9555-60f2-4f82-a760-11983c86e97b; UK SmPC §4.2 https://www.medicines.org.uk/emc/product/8050/smpc</t>
        </is>
      </c>
      <c r="J326" s="3" t="inlineStr">
        <is>
          <t>Open</t>
        </is>
      </c>
      <c r="K326" s="3" t="inlineStr"/>
    </row>
    <row r="327">
      <c r="A327" s="3" t="n">
        <v>957</v>
      </c>
      <c r="B327" s="3" t="inlineStr">
        <is>
          <t>Tamiflu (Oseltamivir) (TAM08, TAM06, ERA02, ERA03)</t>
        </is>
      </c>
      <c r="C327" s="7" t="inlineStr">
        <is>
          <t>High</t>
        </is>
      </c>
      <c r="D327" s="3" t="inlineStr">
        <is>
          <t>Dosing – renal/dialysis</t>
        </is>
      </c>
      <c r="E327" s="3" t="inlineStr">
        <is>
          <t>Renal table outdated</t>
        </is>
      </c>
      <c r="F327" s="3" t="inlineStr">
        <is>
          <t>Add HD 30 mg after each session, CAPD 30 mg single dose, and renal prophylaxis doses</t>
        </is>
      </c>
      <c r="G327" s="3" t="inlineStr">
        <is>
          <t>Only 'ESRD not undergoing dialysis: Use is not recommended'; no haemodialysis or peritoneal dialysis dosing; no prophylaxis renal doses</t>
        </is>
      </c>
      <c r="H327" s="3" t="inlineStr">
        <is>
          <t>HD: 30 mg after each session (treatment) / after every second session (prophylaxis); CAPD: 30 mg single dose (treatment) / 30 mg weekly (prophylaxis); renal prophylaxis doses 30 mg QD (&gt;30–60) and 30 mg every other day (&gt;10–30)</t>
        </is>
      </c>
      <c r="I327" s="3" t="inlineStr">
        <is>
          <t>Taiwan Tamiflu insert §3.3; US FDA label §2.4 Table 2; UK SmPC §4.2</t>
        </is>
      </c>
      <c r="J327" s="3" t="inlineStr">
        <is>
          <t>Open</t>
        </is>
      </c>
      <c r="K327" s="3" t="inlineStr"/>
    </row>
    <row r="328">
      <c r="A328" s="3" t="n">
        <v>963</v>
      </c>
      <c r="B328" s="3" t="inlineStr">
        <is>
          <t>Tamiflu (Oseltamivir) (TAM08, TAM06, ERA02, ERA03)</t>
        </is>
      </c>
      <c r="C328" s="7" t="inlineStr">
        <is>
          <t>High</t>
        </is>
      </c>
      <c r="D328" s="3" t="inlineStr">
        <is>
          <t>Dosing – renal/dialysis</t>
        </is>
      </c>
      <c r="E328" s="3" t="inlineStr">
        <is>
          <t>Renal table outdated</t>
        </is>
      </c>
      <c r="F328" s="3" t="inlineStr">
        <is>
          <t>CrCl &gt;30–60: remove loading dose; 30 mg BID treatment / 30 mg QD prophylaxis</t>
        </is>
      </c>
      <c r="G328" s="3" t="inlineStr">
        <is>
          <t>75 mg loading dose, followed by 30 mg twice daily</t>
        </is>
      </c>
      <c r="H328" s="3" t="inlineStr">
        <is>
          <t>30 mg twice daily (treatment) / 30 mg once daily (prophylaxis), with no loading dose in any label</t>
        </is>
      </c>
      <c r="I328" s="3" t="inlineStr">
        <is>
          <t>仿單 §3.3 (https://mcp.fda.gov.tw/im_detail_1/%E8%A1%9B%E7%BD%B2%E8%97%A5%E8%BC%B8%E5%AD%97%E7%AC%AC025285%E8%99%9F); US label §2.4 Table 2 (https://dailymed.nlm.nih.gov/dailymed/drugInfo.cfm?setid=ee3c9555-60f2-4f82-a760-11983c86e97b); UK SmPC §4.2 (https://www.medicines.org.uk/emc/product/8050/smpc)</t>
        </is>
      </c>
      <c r="J328" s="3" t="inlineStr">
        <is>
          <t>Open</t>
        </is>
      </c>
      <c r="K328" s="3" t="inlineStr"/>
    </row>
    <row r="329">
      <c r="A329" s="3" t="n">
        <v>964</v>
      </c>
      <c r="B329" s="3" t="inlineStr">
        <is>
          <t>Tamiflu (Oseltamivir) (TAM08, TAM06, ERA02, ERA03)</t>
        </is>
      </c>
      <c r="C329" s="7" t="inlineStr">
        <is>
          <t>High</t>
        </is>
      </c>
      <c r="D329" s="3" t="inlineStr">
        <is>
          <t>Dosing – renal/dialysis</t>
        </is>
      </c>
      <c r="E329" s="3" t="inlineStr">
        <is>
          <t>Renal table outdated</t>
        </is>
      </c>
      <c r="F329" s="3" t="inlineStr">
        <is>
          <t>Add HD/CAPD doses and renal prophylaxis doses (30 mg QD; 30 mg every other day)</t>
        </is>
      </c>
      <c r="G329" s="3" t="inlineStr">
        <is>
          <t>Gives treatment doses only for CrCl &gt;60, &gt;30–60 and &gt;10–30, plus 'ESRD not undergoing dialysis: Use is not recommended'. No haemodialysis or CAPD doses and no renal prophylaxis doses.</t>
        </is>
      </c>
      <c r="H329" s="3" t="inlineStr">
        <is>
          <t>HD: 30 mg after each session (Tx) or after every 2nd session (PEP). CAPD: 30 mg single dose (Tx) or 30 mg weekly (PEP). The US label adds an immediate 30 mg dose. Prophylaxis: 30 mg QD (&gt;30–60) and 30 mg every other day (&gt;10–30).</t>
        </is>
      </c>
      <c r="I329" s="3" t="inlineStr">
        <is>
          <t>仿單 §3.3; US label §2.4 Table 2; UK SmPC §4.2 (URLs as above)</t>
        </is>
      </c>
      <c r="J329" s="3" t="inlineStr">
        <is>
          <t>Open</t>
        </is>
      </c>
      <c r="K329" s="3" t="inlineStr"/>
    </row>
    <row r="330">
      <c r="A330" s="3" t="n">
        <v>764</v>
      </c>
      <c r="B330" s="3" t="inlineStr">
        <is>
          <t>Tetracycline (TET09)</t>
        </is>
      </c>
      <c r="C330" s="7" t="inlineStr">
        <is>
          <t>High</t>
        </is>
      </c>
      <c r="D330" s="3" t="inlineStr">
        <is>
          <t>Pregnancy</t>
        </is>
      </c>
      <c r="E330" s="3" t="inlineStr"/>
      <c r="F330" s="3" t="inlineStr">
        <is>
          <t>State contraindicated in second half of pregnancy; add hepatotoxicity risk in pregnant renal patients</t>
        </is>
      </c>
      <c r="G330" s="3" t="inlineStr">
        <is>
          <t>通常被認為是孕婦的第二線抗生素，應盡量避免使用且應優先選擇其他藥物 (generic statement)</t>
        </is>
      </c>
      <c r="H330" s="3" t="inlineStr">
        <is>
          <t>TW 仿單: 懷孕後半期間不能使用 (tooth discoloration, enamel hypoplasia, inhibited bone growth). US: should not be used in pregnancy unless absolutely necessary; risk of liver failure in pregnant women with renal disease</t>
        </is>
      </c>
      <c r="I330" s="3" t="inlineStr">
        <is>
          <t>TW 仿單 §6.1; US FDA label WARNINGS/PRECAUTIONS–Pregnancy</t>
        </is>
      </c>
      <c r="J330" s="3" t="inlineStr">
        <is>
          <t>Open</t>
        </is>
      </c>
      <c r="K330" s="3" t="inlineStr"/>
    </row>
    <row r="331">
      <c r="A331" s="3" t="n">
        <v>771</v>
      </c>
      <c r="B331" s="3" t="inlineStr">
        <is>
          <t>Tetracycline (TET09)</t>
        </is>
      </c>
      <c r="C331" s="7" t="inlineStr">
        <is>
          <t>High</t>
        </is>
      </c>
      <c r="D331" s="3" t="inlineStr">
        <is>
          <t>Pregnancy</t>
        </is>
      </c>
      <c r="E331" s="3" t="inlineStr"/>
      <c r="F331" s="3" t="inlineStr">
        <is>
          <t>Add: contraindicated in second half of pregnancy; liver failure risk with renal disease</t>
        </is>
      </c>
      <c r="G331" s="3" t="inlineStr">
        <is>
          <t>通常被認為是孕婦的第二線抗生素，應盡量避免使用且應優先選擇其他藥物 (generic statement)</t>
        </is>
      </c>
      <c r="H331" s="3" t="inlineStr">
        <is>
          <t>TW §6.1: crosses the placenta, causes tooth discoloration, enamel hypoplasia and bone-growth inhibition; 懷孕後半期間不能使用. US: do not use unless absolutely necessary; risk of liver failure in pregnant women with renal disease.</t>
        </is>
      </c>
      <c r="I331" s="3" t="inlineStr">
        <is>
          <t>TW 仿單 §6.1; US FDA label WARNINGS/PRECAUTIONS Pregnancy</t>
        </is>
      </c>
      <c r="J331" s="3" t="inlineStr">
        <is>
          <t>Open</t>
        </is>
      </c>
      <c r="K331" s="3" t="inlineStr"/>
    </row>
    <row r="332">
      <c r="A332" s="3" t="n">
        <v>1311</v>
      </c>
      <c r="B332" s="3" t="inlineStr">
        <is>
          <t>Tivicay (Dolutegravir) (TIV01)</t>
        </is>
      </c>
      <c r="C332" s="7" t="inlineStr">
        <is>
          <t>High</t>
        </is>
      </c>
      <c r="D332" s="3" t="inlineStr">
        <is>
          <t>Dosing – pediatric</t>
        </is>
      </c>
      <c r="E332" s="3" t="inlineStr"/>
      <c r="F332" s="3" t="inlineStr">
        <is>
          <t>Remove obsolete 35 mg band; use TW ≥40 kg 50 mg QD, note US 20 kg/14–&lt;20 kg doses.</t>
        </is>
      </c>
      <c r="G332" s="3" t="inlineStr">
        <is>
          <t>(30 to less than 40 kg) Treatment-naive or treatment-experienced, INSTI-naive, 35 mg orally once daily</t>
        </is>
      </c>
      <c r="H332" s="3" t="inlineStr">
        <is>
          <t>No current label has a 35 mg band. The TW insert (stocked product) covers only ≥12 y and ≥40 kg at 50 mg QD; younger or lighter patients are not established. The current US label gives 50 mg QD from 20 kg and 40 mg QD for 14–&lt;20 kg. The UK SmPC gives 50 mg QD from 20 kg.</t>
        </is>
      </c>
      <c r="I332" s="3" t="inlineStr">
        <is>
          <t>Taiwan insert §3.3 https://mcp.fda.gov.tw/im_detail_1/%E8%A1%9B%E9%83%A8%E8%97%A5%E8%BC%B8%E5%AD%97%E7%AC%AC026407%E8%99%9F; US FDA label §2.3 Table 4 https://dailymed.nlm.nih.gov/dailymed/drugInfo.cfm?setid=63df5af3-b8ac-4e76-9830-2dbb340af922; UK SmPC §4.2 Table 1 https://www.medicines.org.uk/emc/product/10057/smpc</t>
        </is>
      </c>
      <c r="J332" s="3" t="inlineStr">
        <is>
          <t>Open</t>
        </is>
      </c>
      <c r="K332" s="3" t="inlineStr"/>
    </row>
    <row r="333">
      <c r="A333" s="3" t="n">
        <v>1317</v>
      </c>
      <c r="B333" s="3" t="inlineStr">
        <is>
          <t>Tivicay (Dolutegravir) (TIV01)</t>
        </is>
      </c>
      <c r="C333" s="7" t="inlineStr">
        <is>
          <t>High</t>
        </is>
      </c>
      <c r="D333" s="3" t="inlineStr">
        <is>
          <t>Dosing – pediatric</t>
        </is>
      </c>
      <c r="E333" s="3" t="inlineStr"/>
      <c r="F333" s="3" t="inlineStr">
        <is>
          <t>Remove 35 mg band; TW: ≥12 y and ≥40 kg 50 mg QD; cite US weight bands if used.</t>
        </is>
      </c>
      <c r="G333" s="3" t="inlineStr">
        <is>
          <t>30 to &lt;40 kg: 35 mg once daily; ≥40 kg: 50 mg once daily</t>
        </is>
      </c>
      <c r="H333" s="3" t="inlineStr">
        <is>
          <t>TW insert covers only ≥12 y and ≥40 kg (50 mg QD); &lt;12 y or &lt;40 kg is not established. The current US label gives 14–&lt;20 kg 40 mg QD and ≥20 kg 50 mg QD. The 35 mg band is obsolete.</t>
        </is>
      </c>
      <c r="I333" s="3" t="inlineStr">
        <is>
          <t>TW insert §3.3 and §6.4; US FDA label §2.3 Table 4: https://dailymed.nlm.nih.gov/dailymed/drugInfo.cfm?setid=63df5af3-b8ac-4e76-9830-2dbb340af922</t>
        </is>
      </c>
      <c r="J333" s="3" t="inlineStr">
        <is>
          <t>Open</t>
        </is>
      </c>
      <c r="K333" s="3" t="inlineStr"/>
    </row>
    <row r="334">
      <c r="A334" s="3" t="n">
        <v>1229</v>
      </c>
      <c r="B334" s="3" t="inlineStr">
        <is>
          <t>Triumeq (Dolutegravir/Abacavir/Lamivudine) (TRI05)</t>
        </is>
      </c>
      <c r="C334" s="7" t="inlineStr">
        <is>
          <t>High</t>
        </is>
      </c>
      <c r="D334" s="3" t="inlineStr">
        <is>
          <t>Contraindication/warning</t>
        </is>
      </c>
      <c r="E334" s="3" t="inlineStr">
        <is>
          <t>Missing boxed warning</t>
        </is>
      </c>
      <c r="F334" s="3" t="inlineStr">
        <is>
          <t>Add HBV-exacerbation boxed warning and HBV testing; explain SCr rise as tubular secretion inhibition.</t>
        </is>
      </c>
      <c r="G334" s="3" t="inlineStr">
        <is>
          <t>No mention of the HBV-exacerbation boxed warning. Lists 'Renal: Renal insufficiency' with no explanation.</t>
        </is>
      </c>
      <c r="H334" s="3" t="inlineStr">
        <is>
          <t>Boxed warning: severe acute HBV exacerbation after stopping lamivudine in HIV/HBV co-infection; test HBV before starting. The SCr rise (~0.14 mg/dL) is from DTG blocking tubular creatinine secretion, with GFR unchanged; 'renal impairment' is a &lt;2% event.</t>
        </is>
      </c>
      <c r="I334" s="3" t="inlineStr">
        <is>
          <t>US DailyMed Boxed Warning, §5.2, §6.1; TW 仿單 特殊警語, §6.1 不良反應</t>
        </is>
      </c>
      <c r="J334" s="3" t="inlineStr">
        <is>
          <t>Open</t>
        </is>
      </c>
      <c r="K334" s="3" t="inlineStr"/>
    </row>
    <row r="335">
      <c r="A335" s="3" t="n">
        <v>1235</v>
      </c>
      <c r="B335" s="3" t="inlineStr">
        <is>
          <t>Triumeq (Dolutegravir/Abacavir/Lamivudine) (TRI05)</t>
        </is>
      </c>
      <c r="C335" s="7" t="inlineStr">
        <is>
          <t>High</t>
        </is>
      </c>
      <c r="D335" s="3" t="inlineStr">
        <is>
          <t>Contraindication/warning</t>
        </is>
      </c>
      <c r="E335" s="3" t="inlineStr">
        <is>
          <t>Missing boxed warning</t>
        </is>
      </c>
      <c r="F335" s="3" t="inlineStr">
        <is>
          <t>Add HBV boxed warning: test HBV before start, monitor months after discontinuation.</t>
        </is>
      </c>
      <c r="G335" s="3" t="inlineStr">
        <is>
          <t>No mention of the HBV-exacerbation boxed warning or of HBV testing before starting</t>
        </is>
      </c>
      <c r="H335" s="3" t="inlineStr">
        <is>
          <t>Boxed warning: test all patients for HBV before starting. Severe acute HBV exacerbations can follow discontinuation in HIV/HBV co-infection, and lamivudine-resistant HBV can emerge. Monitor for several months after stopping.</t>
        </is>
      </c>
      <c r="I335" s="3" t="inlineStr">
        <is>
          <t>US label Boxed Warning, §2.2, §5.2; Taiwan insert 特殊警語 '過敏反應以及B型肝炎惡化'</t>
        </is>
      </c>
      <c r="J335" s="3" t="inlineStr">
        <is>
          <t>Open</t>
        </is>
      </c>
      <c r="K335" s="3" t="inlineStr"/>
    </row>
    <row r="336">
      <c r="A336" s="3" t="n">
        <v>1227</v>
      </c>
      <c r="B336" s="3" t="inlineStr">
        <is>
          <t>Triumeq (Dolutegravir/Abacavir/Lamivudine) (TRI05)</t>
        </is>
      </c>
      <c r="C336" s="7" t="inlineStr">
        <is>
          <t>High</t>
        </is>
      </c>
      <c r="D336" s="3" t="inlineStr">
        <is>
          <t>Dosing – renal/dialysis</t>
        </is>
      </c>
      <c r="E336" s="3" t="inlineStr">
        <is>
          <t>Renal table outdated</t>
        </is>
      </c>
      <c r="F336" s="3" t="inlineStr">
        <is>
          <t>Change renal cutoff: not recommended only at CrCl&lt;30; CrCl 30–49 usable with CBC monitoring.</t>
        </is>
      </c>
      <c r="G336" s="3" t="inlineStr">
        <is>
          <t>CrCl &lt;50 mL/min: Not recommended; CrCl ≥50: no adjustment</t>
        </is>
      </c>
      <c r="H336" s="3" t="inlineStr">
        <is>
          <t>Not recommended only when CrCl &lt;30 mL/min. CrCl 30–49: usable, but lamivudine AUC rises 1.6–3.3×, so monitor CBC and switch to components if neutropenia/anemia appears. The UK gives CrCl &lt;50 only as an exposure caution.</t>
        </is>
      </c>
      <c r="I336" s="3" t="inlineStr">
        <is>
          <t>TW 仿單 衛部藥輸字第026518號 §3.1/§6.7; US DailyMed §2.7/§8.6; UK SmPC §4.2 — https://mcp.fda.gov.tw/im_detail_1/%E8%A1%9B%E9%83%A8%E8%97%A5%E8%BC%B8%E5%AD%97%E7%AC%AC026518%E8%99%9F</t>
        </is>
      </c>
      <c r="J336" s="3" t="inlineStr">
        <is>
          <t>Open</t>
        </is>
      </c>
      <c r="K336" s="3" t="inlineStr"/>
    </row>
    <row r="337">
      <c r="A337" s="3" t="n">
        <v>1232</v>
      </c>
      <c r="B337" s="3" t="inlineStr">
        <is>
          <t>Triumeq (Dolutegravir/Abacavir/Lamivudine) (TRI05)</t>
        </is>
      </c>
      <c r="C337" s="7" t="inlineStr">
        <is>
          <t>High</t>
        </is>
      </c>
      <c r="D337" s="3" t="inlineStr">
        <is>
          <t>Dosing – renal/dialysis</t>
        </is>
      </c>
      <c r="E337" s="3" t="inlineStr">
        <is>
          <t>Renal table outdated</t>
        </is>
      </c>
      <c r="F337" s="3" t="inlineStr">
        <is>
          <t>Lower renal 'not recommended' threshold to CrCl&lt;30; allow 30–49 with CBC monitoring.</t>
        </is>
      </c>
      <c r="G337" s="3" t="inlineStr">
        <is>
          <t>CrCl &lt;50 mL/min: Not recommended; CrCl ≥50: no dosage adjustment</t>
        </is>
      </c>
      <c r="H337" s="3" t="inlineStr">
        <is>
          <t>Not recommended only at CrCl &lt;30 mL/min. CrCl 30–49 is allowed with CBC monitoring (3TC AUC 1.6–3.3×); switch to single agents if neutropenia or anemia appears. The UK SmPC gives &lt;50 only as an exposure caution.</t>
        </is>
      </c>
      <c r="I337" s="3" t="inlineStr">
        <is>
          <t>Taiwan insert §3.1/§6.7 https://mcp.fda.gov.tw/im_detail_1/%E8%A1%9B%E9%83%A8%E8%97%A5%E8%BC%B8%E5%AD%97%E7%AC%AC026518%E8%99%9F; US label §2.7; UK SmPC 4.2/4.4</t>
        </is>
      </c>
      <c r="J337" s="3" t="inlineStr">
        <is>
          <t>Open</t>
        </is>
      </c>
      <c r="K337" s="3" t="inlineStr"/>
    </row>
    <row r="338">
      <c r="A338" s="3" t="n">
        <v>1331</v>
      </c>
      <c r="B338" s="3" t="inlineStr">
        <is>
          <t>Truvada (Emtricitabine/TDF) (TRU01, TRU03)</t>
        </is>
      </c>
      <c r="C338" s="7" t="inlineStr">
        <is>
          <t>High</t>
        </is>
      </c>
      <c r="D338" s="3" t="inlineStr">
        <is>
          <t>Contraindication/warning</t>
        </is>
      </c>
      <c r="E338" s="3" t="inlineStr">
        <is>
          <t>Missing boxed warning</t>
        </is>
      </c>
      <c r="F338" s="3" t="inlineStr">
        <is>
          <t>Add boxed warning: HBV flare after stopping, PrEP resistance; HIV test before and every 3 months.</t>
        </is>
      </c>
      <c r="G338" s="3" t="inlineStr">
        <is>
          <t>No mention of the boxed warning or of HIV testing every 3 months during PrEP (only the PrEP contraindication is listed)</t>
        </is>
      </c>
      <c r="H338" s="3" t="inlineStr">
        <is>
          <t>Boxed warning: severe acute HBV flare after stopping, and resistance risk when PrEP is used in undiagnosed early HIV. HIV-1 test immediately before PrEP and at least every 3 months; HBV test before starting.</t>
        </is>
      </c>
      <c r="I338" s="3" t="inlineStr">
        <is>
          <t>US FDA label Boxed Warning, 2.1, 2.2; TW仿單 警告</t>
        </is>
      </c>
      <c r="J338" s="3" t="inlineStr">
        <is>
          <t>Open</t>
        </is>
      </c>
      <c r="K338" s="3" t="inlineStr"/>
    </row>
    <row r="339">
      <c r="A339" s="3" t="n">
        <v>1341</v>
      </c>
      <c r="B339" s="3" t="inlineStr">
        <is>
          <t>Truvada (Emtricitabine/TDF) (TRU01, TRU03)</t>
        </is>
      </c>
      <c r="C339" s="7" t="inlineStr">
        <is>
          <t>High</t>
        </is>
      </c>
      <c r="D339" s="3" t="inlineStr">
        <is>
          <t>Contraindication/warning</t>
        </is>
      </c>
      <c r="E339" s="3" t="inlineStr">
        <is>
          <t>Missing boxed warning</t>
        </is>
      </c>
      <c r="F339" s="3" t="inlineStr">
        <is>
          <t>Display boxed warning (HBV flare, PrEP resistance) and HIV testing before and every 3 months.</t>
        </is>
      </c>
      <c r="G339" s="3" t="inlineStr">
        <is>
          <t>Not shown on the P4 page. Only the PrEP contraindication is listed, and HBV reactivation appears only as a side effect.</t>
        </is>
      </c>
      <c r="H339" s="3" t="inlineStr">
        <is>
          <t>The TW and US boxed warning covers severe acute HBV exacerbation after stopping, and drug resistance when PrEP is used in undiagnosed early HIV. HIV testing is required immediately before starting PrEP and at least every 3 months.</t>
        </is>
      </c>
      <c r="I339" s="3" t="inlineStr">
        <is>
          <t>TW insert 警告 box; US Boxed Warning</t>
        </is>
      </c>
      <c r="J339" s="3" t="inlineStr">
        <is>
          <t>Open</t>
        </is>
      </c>
      <c r="K339" s="3" t="inlineStr"/>
    </row>
    <row r="340">
      <c r="A340" s="3" t="n">
        <v>1327</v>
      </c>
      <c r="B340" s="3" t="inlineStr">
        <is>
          <t>Truvada (Emtricitabine/TDF) (TRU01, TRU03)</t>
        </is>
      </c>
      <c r="C340" s="7" t="inlineStr">
        <is>
          <t>High</t>
        </is>
      </c>
      <c r="D340" s="3" t="inlineStr">
        <is>
          <t>Dosing – renal/dialysis</t>
        </is>
      </c>
      <c r="E340" s="3" t="inlineStr">
        <is>
          <t>Renal table outdated</t>
        </is>
      </c>
      <c r="F340" s="3" t="inlineStr">
        <is>
          <t>Add PrEP not recommended CrCl &lt;60, CrCl by ideal body weight, HD not recommended.</t>
        </is>
      </c>
      <c r="G340" s="3" t="inlineStr">
        <is>
          <t>1. CrCl ≥50: 1 tab Q24H; 2. CrCl 30-49: 1 tab Q48H; 3. CrCl &lt;30: should not be administered</t>
        </is>
      </c>
      <c r="H340" s="3" t="inlineStr">
        <is>
          <t>These treatment values are correct, but the field leaves out: (a) PrEP not recommended at CrCl &lt;60, which matters for TRU03 PrEP stock; (b) CrCl calculated with ideal (lean) body weight; (c) haemodialysis is also not recommended.</t>
        </is>
      </c>
      <c r="I340" s="3" t="inlineStr">
        <is>
          <t>US FDA label 2.6 Table 2, 8.6; TW仿單 2.5 表1</t>
        </is>
      </c>
      <c r="J340" s="3" t="inlineStr">
        <is>
          <t>Open</t>
        </is>
      </c>
      <c r="K340" s="3" t="inlineStr"/>
    </row>
    <row r="341">
      <c r="A341" s="3" t="n">
        <v>1336</v>
      </c>
      <c r="B341" s="3" t="inlineStr">
        <is>
          <t>Truvada (Emtricitabine/TDF) (TRU01, TRU03)</t>
        </is>
      </c>
      <c r="C341" s="7" t="inlineStr">
        <is>
          <t>High</t>
        </is>
      </c>
      <c r="D341" s="3" t="inlineStr">
        <is>
          <t>Dosing – renal/dialysis</t>
        </is>
      </c>
      <c r="E341" s="3" t="inlineStr">
        <is>
          <t>Renal table outdated</t>
        </is>
      </c>
      <c r="F341" s="3" t="inlineStr">
        <is>
          <t>Add PrEP threshold CrCl &lt;60 not recommended and ideal-body-weight CrCl basis; &lt;30 includes HD.</t>
        </is>
      </c>
      <c r="G341" s="3" t="inlineStr">
        <is>
          <t>CrCl ≥50: 1 tab Q24H; 30–49: Q48H; &lt;30: should not be administered. No PrEP threshold and no basis for the CrCl calculation.</t>
        </is>
      </c>
      <c r="H341" s="3" t="inlineStr">
        <is>
          <t>These are the HIV-treatment values only. The labels add: PrEP not recommended if CrCl &lt;60 mL/min (this matters for the TRU03 PrEP stock), and CrCl is calculated using ideal (lean) body weight (按理想（瘦）體重計算). &lt;30 includes patients on haemodialysis.</t>
        </is>
      </c>
      <c r="I341" s="3" t="inlineStr">
        <is>
          <t>TW 2.5 表1 and PrEP paragraph; US 2.6 — https://dailymed.nlm.nih.gov/dailymed/drugInfo.cfm?setid=54e82b13-a037-49ed-b4b3-030b37c0ecdd</t>
        </is>
      </c>
      <c r="J341" s="3" t="inlineStr">
        <is>
          <t>Open</t>
        </is>
      </c>
      <c r="K341" s="3" t="inlineStr"/>
    </row>
    <row r="342">
      <c r="A342" s="3" t="n">
        <v>202</v>
      </c>
      <c r="B342" s="3" t="inlineStr">
        <is>
          <t>UFO (Fosfomycin) (UFO02)</t>
        </is>
      </c>
      <c r="C342" s="7" t="inlineStr">
        <is>
          <t>High</t>
        </is>
      </c>
      <c r="D342" s="3" t="inlineStr">
        <is>
          <t>Contraindication/warning</t>
        </is>
      </c>
      <c r="E342" s="3" t="inlineStr"/>
      <c r="F342" s="3" t="inlineStr">
        <is>
          <t>Add sodium load (14.5 mEq/g), hypokalaemia, neutropenia warnings and combination-therapy advice</t>
        </is>
      </c>
      <c r="G342" s="3" t="inlineStr">
        <is>
          <t>No sodium-load, hypokalaemia, neutropenia/agranulocytosis or combination-therapy warnings</t>
        </is>
      </c>
      <c r="H342" s="3" t="inlineStr">
        <is>
          <t>14.5 mEq Na/g: monitor Na/K, low-sodium diet, K supplementation; monitor WBC; combine with another antibiotic</t>
        </is>
      </c>
      <c r="I342" s="3" t="inlineStr">
        <is>
          <t>Taiwan insert §5.1</t>
        </is>
      </c>
      <c r="J342" s="3" t="inlineStr">
        <is>
          <t>Open</t>
        </is>
      </c>
      <c r="K342" s="3" t="inlineStr"/>
    </row>
    <row r="343">
      <c r="A343" s="3" t="n">
        <v>212</v>
      </c>
      <c r="B343" s="3" t="inlineStr">
        <is>
          <t>UFO (Fosfomycin) (UFO02)</t>
        </is>
      </c>
      <c r="C343" s="7" t="inlineStr">
        <is>
          <t>High</t>
        </is>
      </c>
      <c r="D343" s="3" t="inlineStr">
        <is>
          <t>Contraindication/warning</t>
        </is>
      </c>
      <c r="E343" s="3" t="inlineStr"/>
      <c r="F343" s="3" t="inlineStr">
        <is>
          <t>Add sodium-load/K monitoring warning and combination-therapy recommendation</t>
        </is>
      </c>
      <c r="G343" s="3" t="inlineStr">
        <is>
          <t>Not mentioned</t>
        </is>
      </c>
      <c r="H343" s="3" t="inlineStr">
        <is>
          <t>14.5 mEq sodium per g: monitor Na and K, low-sodium diet, consider K supplements. Combination with another antibiotic is recommended because resistance is selected quickly.</t>
        </is>
      </c>
      <c r="I343" s="3" t="inlineStr">
        <is>
          <t>Taiwan insert UFO §5.1; UK SmPC §4.4</t>
        </is>
      </c>
      <c r="J343" s="3" t="inlineStr">
        <is>
          <t>Open</t>
        </is>
      </c>
      <c r="K343" s="3" t="inlineStr"/>
    </row>
    <row r="344">
      <c r="A344" s="3" t="n">
        <v>200</v>
      </c>
      <c r="B344" s="3" t="inlineStr">
        <is>
          <t>UFO (Fosfomycin) (UFO02)</t>
        </is>
      </c>
      <c r="C344" s="7" t="inlineStr">
        <is>
          <t>High</t>
        </is>
      </c>
      <c r="D344" s="3" t="inlineStr">
        <is>
          <t>Dosing – adult</t>
        </is>
      </c>
      <c r="E344" s="3" t="inlineStr"/>
      <c r="F344" s="3" t="inlineStr">
        <is>
          <t>Remove IM route; IV only 2–4 g/day per TW insert</t>
        </is>
      </c>
      <c r="G344" s="3" t="inlineStr">
        <is>
          <t>Micromedex-style text: disodium fosfomycin 2–4 g/day IV and IM; up to 16 g/day IV in severe infection; mentions vein/tissue irritation</t>
        </is>
      </c>
      <c r="H344" s="3" t="inlineStr">
        <is>
          <t>Taiwan insert: IV only (IVD or slow IV push), 2–4 g/day; no intramuscular route. UK: 12–24 g/day IV; US: 6 g q8h IV.</t>
        </is>
      </c>
      <c r="I344" s="3" t="inlineStr">
        <is>
          <t>Taiwan insert §3.1; UK SmPC §4.2; US Contepo §2.1</t>
        </is>
      </c>
      <c r="J344" s="3" t="inlineStr">
        <is>
          <t>Open</t>
        </is>
      </c>
      <c r="K344" s="3" t="inlineStr"/>
    </row>
    <row r="345">
      <c r="A345" s="3" t="n">
        <v>207</v>
      </c>
      <c r="B345" s="3" t="inlineStr">
        <is>
          <t>UFO (Fosfomycin) (UFO02)</t>
        </is>
      </c>
      <c r="C345" s="7" t="inlineStr">
        <is>
          <t>High</t>
        </is>
      </c>
      <c r="D345" s="3" t="inlineStr">
        <is>
          <t>Dosing – adult</t>
        </is>
      </c>
      <c r="E345" s="3" t="inlineStr"/>
      <c r="F345" s="3" t="inlineStr">
        <is>
          <t>Remove IM route; IV infusion/push only 2–4 g/day</t>
        </is>
      </c>
      <c r="G345" s="3" t="inlineStr">
        <is>
          <t>Micromedex-style text: disodium fosfomycin 2–4 g/day IV or IM in divided doses; up to 16 g/day IV in severe infection</t>
        </is>
      </c>
      <c r="H345" s="3" t="inlineStr">
        <is>
          <t>IV infusion or IV push only: 2–4 g/day (IVD in 2 doses; IV push in 2–4 doses). The insert has no IM route. The UK SmPC gives 12–24 g/day IV.</t>
        </is>
      </c>
      <c r="I345" s="3" t="inlineStr">
        <is>
          <t>Taiwan insert UFO §3.1; UK SmPC §4.2</t>
        </is>
      </c>
      <c r="J345" s="3" t="inlineStr">
        <is>
          <t>Open</t>
        </is>
      </c>
      <c r="K345" s="3" t="inlineStr"/>
    </row>
    <row r="346">
      <c r="A346" s="3" t="n">
        <v>196</v>
      </c>
      <c r="B346" s="3" t="inlineStr">
        <is>
          <t>UFO (Fosfomycin) (UFO02)</t>
        </is>
      </c>
      <c r="C346" s="7" t="inlineStr">
        <is>
          <t>High</t>
        </is>
      </c>
      <c r="D346" s="3" t="inlineStr">
        <is>
          <t>Dosing – renal/dialysis</t>
        </is>
      </c>
      <c r="E346" s="3" t="inlineStr">
        <is>
          <t>Renal table outdated</t>
        </is>
      </c>
      <c r="F346" s="3" t="inlineStr">
        <is>
          <t>Add CrCl &lt;40 table (70/60/40/20%), HD 2 g q48h post-dialysis, CVVH no change</t>
        </is>
      </c>
      <c r="G346" s="3" t="inlineStr">
        <is>
          <t>There are no dosage adjustments provided in the manufacturer's labeling.</t>
        </is>
      </c>
      <c r="H346" s="3" t="inlineStr">
        <is>
          <t>CrCl &lt;40: 20–70% of daily dose (40→70%, 30→60%, 20→40%, 10→20%); intermittent HD q48h: 2 g after dialysis; CVVH: no adjustment. The UK SmPC agrees; US Contepo adjusts at CrCl ≤50.</t>
        </is>
      </c>
      <c r="I346" s="3" t="inlineStr">
        <is>
          <t>Taiwan insert §3.1; UK SmPC §4.2 — https://www.medicines.org.uk/emc/product/100356/smpc; US Contepo §2.2 — https://dailymed.nlm.nih.gov/dailymed/drugInfo.cfm?setid=855574f2-39f8-43bc-a3d2-79dbb578cb94</t>
        </is>
      </c>
      <c r="J346" s="3" t="inlineStr">
        <is>
          <t>Open</t>
        </is>
      </c>
      <c r="K346" s="3" t="inlineStr"/>
    </row>
    <row r="347">
      <c r="A347" s="3" t="n">
        <v>206</v>
      </c>
      <c r="B347" s="3" t="inlineStr">
        <is>
          <t>UFO (Fosfomycin) (UFO02)</t>
        </is>
      </c>
      <c r="C347" s="7" t="inlineStr">
        <is>
          <t>High</t>
        </is>
      </c>
      <c r="D347" s="3" t="inlineStr">
        <is>
          <t>Dosing – renal/dialysis</t>
        </is>
      </c>
      <c r="E347" s="3" t="inlineStr">
        <is>
          <t>Renal table outdated</t>
        </is>
      </c>
      <c r="F347" s="3" t="inlineStr">
        <is>
          <t>Add CrCl &lt;40 dose % table and HD 2 g q48h post-dialysis</t>
        </is>
      </c>
      <c r="G347" s="3" t="inlineStr">
        <is>
          <t>There are no dosage adjustments provided in the manufacturer's labeling</t>
        </is>
      </c>
      <c r="H347" s="3" t="inlineStr">
        <is>
          <t>For CrCl &lt;40, give 20–70% of the daily dose (40→70%, 30→60%, 20→40%, 10→20%). Intermittent HD every 48 h: 2 g after dialysis. CVVH: no adjustment.</t>
        </is>
      </c>
      <c r="I347" s="3" t="inlineStr">
        <is>
          <t>Taiwan insert UFO §3.1; UK SmPC §4.2 https://www.medicines.org.uk/emc/product/100356/smpc</t>
        </is>
      </c>
      <c r="J347" s="3" t="inlineStr">
        <is>
          <t>Open</t>
        </is>
      </c>
      <c r="K347" s="3" t="inlineStr"/>
    </row>
    <row r="348">
      <c r="A348" s="3" t="n">
        <v>993</v>
      </c>
      <c r="B348" s="3" t="inlineStr">
        <is>
          <t>ValTREX (Valaciclovir) (VAL03)</t>
        </is>
      </c>
      <c r="C348" s="7" t="inlineStr">
        <is>
          <t>High</t>
        </is>
      </c>
      <c r="D348" s="3" t="inlineStr">
        <is>
          <t>Contraindication/warning</t>
        </is>
      </c>
      <c r="E348" s="3" t="inlineStr">
        <is>
          <t>Missing SCAR (SJS/TEN/DRESS)</t>
        </is>
      </c>
      <c r="F348" s="3" t="inlineStr">
        <is>
          <t>Add contraindication: prior SCAR to acyclovir/valacyclovir (FDA 11/2025, TW 5.1)</t>
        </is>
      </c>
      <c r="G348" s="3" t="inlineStr">
        <is>
          <t>Hypersensitivity to acyclovir or valacyclovir products.</t>
        </is>
      </c>
      <c r="H348" s="3" t="inlineStr">
        <is>
          <t>Current FDA (11/2025) and TW insert also contraindicate re-use after severe cutaneous adverse reactions (SCARs) to valacyclovir or acyclovir. FDA 4: '[e.g., anaphylaxis, severe cutaneous adverse reactions (SCARs)]'. TW 5.1: '曾因使用 acyclovir 或 valaciclovir 而發生 SCARs 之病人，禁止再次使用'.</t>
        </is>
      </c>
      <c r="I348" s="3" t="inlineStr">
        <is>
          <t>US FDA label 4 https://dailymed.nlm.nih.gov/dailymed/drugInfo.cfm?setid=f8e0d8f8-cb73-4206-a484-88f5c4fbd719; Taiwan insert 5.1 https://mcp.fda.gov.tw/im_detail_1/%E8%A1%9B%E7%BD%B2%E8%97%A5%E8%BC%B8%E5%AD%97%E7%AC%AC021788%E8%99%9F</t>
        </is>
      </c>
      <c r="J348" s="3" t="inlineStr">
        <is>
          <t>Open</t>
        </is>
      </c>
      <c r="K348" s="3" t="inlineStr"/>
    </row>
    <row r="349">
      <c r="A349" s="3" t="n">
        <v>990</v>
      </c>
      <c r="B349" s="3" t="inlineStr">
        <is>
          <t>ValTREX (Valaciclovir) (VAL03)</t>
        </is>
      </c>
      <c r="C349" s="7" t="inlineStr">
        <is>
          <t>High</t>
        </is>
      </c>
      <c r="D349" s="3" t="inlineStr">
        <is>
          <t>Dosing – renal/dialysis</t>
        </is>
      </c>
      <c r="E349" s="3" t="inlineStr">
        <is>
          <t>Renal table outdated</t>
        </is>
      </c>
      <c r="F349" s="3" t="inlineStr">
        <is>
          <t>Align renal table to stocked TW insert; add separate suppression row (500 mg q24h → q48h at CrCl &lt;30)</t>
        </is>
      </c>
      <c r="G349" s="3" t="inlineStr">
        <is>
          <t>US Table 1 thresholds: zoster CrCl 30–49 → 1 g q12h, 10–29 → 1 g q24h; cold sores and initial genital herpes steps; 'Recurrent episode and suppressive therapy' combined into one row (CrCl &lt;30 → 500 mg q24h). The &lt;10 rows are truncated on the page.</t>
        </is>
      </c>
      <c r="H349" s="3" t="inlineStr">
        <is>
          <t>The stocked product's TW insert adjusts only at lower CrCl: zoster 15–30 → 1 g BID, &lt;15 → 1 g QD; HSV treatment &lt;15 → 500 mg QD; suppression &lt;15 → 250 mg QD (immunocompetent) or 500 mg QD (immunocompromised); HD → &lt;15 dose after dialysis. The FDA table also gives a separate suppression step (500 mg QD → 500 mg q48h at CrCl &lt;30) that the hospital's combined row omits.</t>
        </is>
      </c>
      <c r="I349" s="3" t="inlineStr">
        <is>
          <t>Taiwan insert 3.3 腎功能不全者之劑量 https://mcp.fda.gov.tw/im_detail_1/%E8%A1%9B%E7%BD%B2%E8%97%A5%E8%BC%B8%E5%AD%97%E7%AC%AC021788%E8%99%9F; US FDA label 2.4 Table 1 https://dailymed.nlm.nih.gov/dailymed/drugInfo.cfm?setid=f8e0d8f8-cb73-4206-a484-88f5c4fbd719</t>
        </is>
      </c>
      <c r="J349" s="3" t="inlineStr">
        <is>
          <t>Open</t>
        </is>
      </c>
      <c r="K349" s="3" t="inlineStr"/>
    </row>
    <row r="350">
      <c r="A350" s="3" t="n">
        <v>1000</v>
      </c>
      <c r="B350" s="3" t="inlineStr">
        <is>
          <t>ValTREX (Valaciclovir) (VAL03)</t>
        </is>
      </c>
      <c r="C350" s="7" t="inlineStr">
        <is>
          <t>High</t>
        </is>
      </c>
      <c r="D350" s="3" t="inlineStr">
        <is>
          <t>Dosing – renal/dialysis</t>
        </is>
      </c>
      <c r="E350" s="3" t="inlineStr">
        <is>
          <t>Renal table outdated</t>
        </is>
      </c>
      <c r="F350" s="3" t="inlineStr">
        <is>
          <t>Split recurrent vs suppressive rows; add 500 mg q24h → q48h at CrCl &lt;30, 250 mg q24h immunocompetent</t>
        </is>
      </c>
      <c r="G350" s="3" t="inlineStr">
        <is>
          <t>'Recurrent episode and suppressive therapy: CrCl &lt;30 → 0.5 g Q24H' (one row for all)</t>
        </is>
      </c>
      <c r="H350" s="3" t="inlineStr">
        <is>
          <t>US Table 1 has separate rows. The alternate suppression regimen (500 mg q24h, for ≤9 recurrences/yr) becomes 500 mg q48h at CrCl &lt;30. TW/UK immunocompetent suppression becomes 250 mg q24h (TW &lt;15; UK &lt;30).</t>
        </is>
      </c>
      <c r="I350" s="3" t="inlineStr">
        <is>
          <t>US VALTREX label 2.4 Table 1 https://dailymed.nlm.nih.gov/dailymed/drugInfo.cfm?setid=f8e0d8f8-cb73-4206-a484-88f5c4fbd719; UK SmPC 4.2 Table 1 https://www.medicines.org.uk/emc/product/15072/smpc</t>
        </is>
      </c>
      <c r="J350" s="3" t="inlineStr">
        <is>
          <t>Open</t>
        </is>
      </c>
      <c r="K350" s="3" t="inlineStr"/>
    </row>
    <row r="351">
      <c r="A351" s="3" t="n">
        <v>1048</v>
      </c>
      <c r="B351" s="3" t="inlineStr">
        <is>
          <t>Valcyte (Valganciclovir) (VAL02)</t>
        </is>
      </c>
      <c r="C351" s="7" t="inlineStr">
        <is>
          <t>High</t>
        </is>
      </c>
      <c r="D351" s="3" t="inlineStr">
        <is>
          <t>Dosing – adult</t>
        </is>
      </c>
      <c r="E351" s="3" t="inlineStr"/>
      <c r="F351" s="3" t="inlineStr">
        <is>
          <t>Change induction to 900 mg BID ×21 days; note prolonged induction increases marrow toxicity</t>
        </is>
      </c>
      <c r="G351" s="3" t="inlineStr">
        <is>
          <t>Induction: 900 mg twice daily for 14 to 21 days</t>
        </is>
      </c>
      <c r="H351" s="3" t="inlineStr">
        <is>
          <t>Induction: 900 mg twice daily for 21 days. The UK and TW labels add that prolonged induction may increase bone-marrow toxicity.</t>
        </is>
      </c>
      <c r="I351" s="3" t="inlineStr">
        <is>
          <t>TW insert §3.1; US FDA §2.2; UK SmPC §4.2</t>
        </is>
      </c>
      <c r="J351" s="3" t="inlineStr">
        <is>
          <t>Open</t>
        </is>
      </c>
      <c r="K351" s="3" t="inlineStr"/>
    </row>
    <row r="352">
      <c r="A352" s="3" t="n">
        <v>1061</v>
      </c>
      <c r="B352" s="3" t="inlineStr">
        <is>
          <t>Valcyte (Valganciclovir) (VAL02)</t>
        </is>
      </c>
      <c r="C352" s="7" t="inlineStr">
        <is>
          <t>High</t>
        </is>
      </c>
      <c r="D352" s="3" t="inlineStr">
        <is>
          <t>Dosing – adult</t>
        </is>
      </c>
      <c r="E352" s="3" t="inlineStr"/>
      <c r="F352" s="3" t="inlineStr">
        <is>
          <t>Change induction to 900 mg BID for 21 days (no 14-day option)</t>
        </is>
      </c>
      <c r="G352" s="3" t="inlineStr">
        <is>
          <t>Induction: 900 mg twice daily for 14 to 21 days</t>
        </is>
      </c>
      <c r="H352" s="3" t="inlineStr">
        <is>
          <t>900 mg twice daily for 21 days. None of the three labels gives 14 days.</t>
        </is>
      </c>
      <c r="I352" s="3" t="inlineStr">
        <is>
          <t>TW insert 3.1 '總療程為21天'; US label 2.2; UK SmPC 4.2</t>
        </is>
      </c>
      <c r="J352" s="3" t="inlineStr">
        <is>
          <t>Open</t>
        </is>
      </c>
      <c r="K352" s="3" t="inlineStr"/>
    </row>
    <row r="353">
      <c r="A353" s="3" t="n">
        <v>1047</v>
      </c>
      <c r="B353" s="3" t="inlineStr">
        <is>
          <t>Valcyte (Valganciclovir) (VAL02)</t>
        </is>
      </c>
      <c r="C353" s="7" t="inlineStr">
        <is>
          <t>High</t>
        </is>
      </c>
      <c r="D353" s="3" t="inlineStr">
        <is>
          <t>Dosing – renal/dialysis</t>
        </is>
      </c>
      <c r="E353" s="3" t="inlineStr">
        <is>
          <t>Renal table outdated</t>
        </is>
      </c>
      <c r="F353" s="3" t="inlineStr">
        <is>
          <t>Restore missing threshold: CrCl &lt;10 mL/min not recommended; tablets not for HD</t>
        </is>
      </c>
      <c r="G353" s="3" t="inlineStr">
        <is>
          <t>'5. CrCl not recommended' (the threshold value is missing for both treatment and maintenance doses; hemodialysis not mentioned)</t>
        </is>
      </c>
      <c r="H353" s="3" t="inlineStr">
        <is>
          <t>CrCl &lt;10 mL/min (including hemodialysis): not recommended; tablets should not be used in HD</t>
        </is>
      </c>
      <c r="I353" s="3" t="inlineStr">
        <is>
          <t>TW insert §3.3 表一; US FDA §2.5 Table 2; UK SmPC §4.2</t>
        </is>
      </c>
      <c r="J353" s="3" t="inlineStr">
        <is>
          <t>Open</t>
        </is>
      </c>
      <c r="K353" s="3" t="inlineStr"/>
    </row>
    <row r="354">
      <c r="A354" s="3" t="n">
        <v>1060</v>
      </c>
      <c r="B354" s="3" t="inlineStr">
        <is>
          <t>Valcyte (Valganciclovir) (VAL02)</t>
        </is>
      </c>
      <c r="C354" s="7" t="inlineStr">
        <is>
          <t>High</t>
        </is>
      </c>
      <c r="D354" s="3" t="inlineStr">
        <is>
          <t>Dosing – renal/dialysis</t>
        </is>
      </c>
      <c r="E354" s="3" t="inlineStr">
        <is>
          <t>Renal table outdated</t>
        </is>
      </c>
      <c r="F354" s="3" t="inlineStr">
        <is>
          <t>Restore truncated '&lt;10': CrCl &lt;10 not recommended; tablets not used in HD</t>
        </is>
      </c>
      <c r="G354" s="3" t="inlineStr">
        <is>
          <t>'5. CrCl not recommended' for both treatment and maintenance (the threshold is missing, apparently truncated from '&lt;10')</t>
        </is>
      </c>
      <c r="H354" s="3" t="inlineStr">
        <is>
          <t>CrCl &lt;10 mL/min: not recommended. Hemodialysis: tablets should not be used.</t>
        </is>
      </c>
      <c r="I354" s="3" t="inlineStr">
        <is>
          <t>TW insert 表一; US label Table 2; UK SmPC 4.2</t>
        </is>
      </c>
      <c r="J354" s="3" t="inlineStr">
        <is>
          <t>Open</t>
        </is>
      </c>
      <c r="K354" s="3" t="inlineStr"/>
    </row>
    <row r="355">
      <c r="A355" s="3" t="n">
        <v>436</v>
      </c>
      <c r="B355" s="3" t="inlineStr">
        <is>
          <t>Vancomycin (UVA01)</t>
        </is>
      </c>
      <c r="C355" s="7" t="inlineStr">
        <is>
          <t>High</t>
        </is>
      </c>
      <c r="D355" s="3" t="inlineStr">
        <is>
          <t>Dosing – adult</t>
        </is>
      </c>
      <c r="E355" s="3" t="inlineStr"/>
      <c r="F355" s="3" t="inlineStr">
        <is>
          <t>Align to label usual 2 g/day (≥15 mg/kg initial); &gt;2 g/day TDM-guided; infuse ≤10 mg/min or ≥60 min</t>
        </is>
      </c>
      <c r="G355" s="3" t="inlineStr">
        <is>
          <t>2-3 g/day (30-60 mg/kg/day) divided q8-12h, each gram over ≥60 min</t>
        </is>
      </c>
      <c r="H355" s="3" t="inlineStr">
        <is>
          <t>The 仿單 for the stocked product and the US FDA label give a usual dose of 2 g/day (500 mg q6h or 1 g q12h), initial dose at least 15 mg/kg. UK SmPC: 15-20 mg/kg q8-12h, max 2 g/dose (overlaps the 30-60 mg/kg/day range), with a 25-30 mg/kg loading dose in seriously ill patients. A fixed 3 g/day is not in the label for the stocked product. Infusion should be at no more than 10 mg/min or over at least 60 min, whichever is longer, which is stricter than 'each gram over ≥60 min' for doses above 600 mg.</t>
        </is>
      </c>
      <c r="I355" s="3" t="inlineStr">
        <is>
          <t>Taiwan 仿單 3.1 https://mcp.fda.gov.tw/im_detail_1/%E8%A1%9B%E7%BD%B2%E8%97%A5%E8%A3%BD%E5%AD%97%E7%AC%AC041443%E8%99%9F ; US FDA D&amp;A https://dailymed.nlm.nih.gov/dailymed/drugInfo.cfm?setid=2dc7b3d6-3874-40ac-b8aa-7bcfe2dc0cdf ; UK SmPC 4.2 https://www.medicines.org.uk/emc/product/15737/smpc</t>
        </is>
      </c>
      <c r="J355" s="3" t="inlineStr">
        <is>
          <t>Open</t>
        </is>
      </c>
      <c r="K355" s="3" t="inlineStr"/>
    </row>
    <row r="356">
      <c r="A356" s="3" t="n">
        <v>442</v>
      </c>
      <c r="B356" s="3" t="inlineStr">
        <is>
          <t>Vancomycin (UVA01)</t>
        </is>
      </c>
      <c r="C356" s="7" t="inlineStr">
        <is>
          <t>High</t>
        </is>
      </c>
      <c r="D356" s="3" t="inlineStr">
        <is>
          <t>Dosing – adult</t>
        </is>
      </c>
      <c r="E356" s="3" t="inlineStr"/>
      <c r="F356" s="3" t="inlineStr">
        <is>
          <t>Usual 2 g/day per stocked insert; doses &gt;2 g/day only with TDM</t>
        </is>
      </c>
      <c r="G356" s="3" t="inlineStr">
        <is>
          <t>2-3 g/day (30-60 mg/kg/day) divided q8-12h</t>
        </is>
      </c>
      <c r="H356" s="3" t="inlineStr">
        <is>
          <t>Taiwan insert (same product) and US label: usual 2 g/day (500 mg q6h or 1 g q12h). UK: 15-20 mg/kg q8-12h, max 2 g/dose, which overlaps with 30-60 mg/kg/day only for the weight-based range. Doses above 2 g/day need TDM support.</t>
        </is>
      </c>
      <c r="I356" s="3" t="inlineStr">
        <is>
          <t>Taiwan insert 3.1 https://mcp.fda.gov.tw/im_detail_1/%E8%A1%9B%E7%BD%B2%E8%97%A5%E8%A3%BD%E5%AD%97%E7%AC%AC041443%E8%99%9F; US D&amp;A; UK SmPC 4.2</t>
        </is>
      </c>
      <c r="J356" s="3" t="inlineStr">
        <is>
          <t>Open</t>
        </is>
      </c>
      <c r="K356" s="3" t="inlineStr"/>
    </row>
    <row r="357">
      <c r="A357" s="3" t="n">
        <v>437</v>
      </c>
      <c r="B357" s="3" t="inlineStr">
        <is>
          <t>Vancomycin (UVA01)</t>
        </is>
      </c>
      <c r="C357" s="7" t="inlineStr">
        <is>
          <t>High</t>
        </is>
      </c>
      <c r="D357" s="3" t="inlineStr">
        <is>
          <t>Dosing – renal/dialysis</t>
        </is>
      </c>
      <c r="E357" s="3" t="inlineStr">
        <is>
          <t>Renal table outdated</t>
        </is>
      </c>
      <c r="F357" s="3" t="inlineStr">
        <is>
          <t>Replace unsourced day 1/4/weekly ESRD regimen with label regimen or cited guideline; level-guided redosing</t>
        </is>
      </c>
      <c r="G357" s="3" t="inlineStr">
        <is>
          <t>ESRD: 15 mg/kg day 1, 15 mg/kg day 4, then 15 mg/kg every 7 days</t>
        </is>
      </c>
      <c r="H357" s="3" t="inlineStr">
        <is>
          <t>仿單/FDA: functionally anephric, 15 mg/kg then 1.9 mg/kg/24h; severe impairment, 250-1000 mg every several days; anuria, 1 g every 7-10 days. SmPC: in CrCl &lt;20 or RRT, re-dose based on levels, and high-flux HD needs post-HD replacement dosing. The day 1/day 4/weekly regimen matches no label. It needs a guideline citation, or it should be flagged.</t>
        </is>
      </c>
      <c r="I357" s="3" t="inlineStr">
        <is>
          <t>Taiwan 仿單 3.3 ; US FDA D&amp;A (impaired renal function) ; UK SmPC 4.2 Renal impairment</t>
        </is>
      </c>
      <c r="J357" s="3" t="inlineStr">
        <is>
          <t>Open</t>
        </is>
      </c>
      <c r="K357" s="3" t="inlineStr"/>
    </row>
    <row r="358">
      <c r="A358" s="3" t="n">
        <v>438</v>
      </c>
      <c r="B358" s="3" t="inlineStr">
        <is>
          <t>Vancomycin (UVA01)</t>
        </is>
      </c>
      <c r="C358" s="7" t="inlineStr">
        <is>
          <t>High</t>
        </is>
      </c>
      <c r="D358" s="3" t="inlineStr">
        <is>
          <t>Dosing – renal/dialysis</t>
        </is>
      </c>
      <c r="E358" s="3" t="inlineStr"/>
      <c r="F358" s="3" t="inlineStr">
        <is>
          <t>Add: high-flux HD and CRRT increase clearance; replacement dosing after HD needed</t>
        </is>
      </c>
      <c r="G358" s="3" t="inlineStr">
        <is>
          <t>Conventional hemodialysis does not clear vancomycin (stated without qualification)</t>
        </is>
      </c>
      <c r="H358" s="3" t="inlineStr">
        <is>
          <t>The labels agree that conventional HD and PD remove little vancomycin. However, the SmPC states that 'use of high-flux membranes and continuous renal replacement therapy (CRRT) increases vancomycin clearance and generally requires replacement dosing (usually after the haemodialysis session)'. The FDA label notes increased clearance with hemofiltration and hemoperfusion.</t>
        </is>
      </c>
      <c r="I358" s="3" t="inlineStr">
        <is>
          <t>UK SmPC 4.2 &amp; 5.2 https://www.medicines.org.uk/emc/product/15737/smpc ; US FDA OVERDOSAGE https://dailymed.nlm.nih.gov/dailymed/drugInfo.cfm?setid=2dc7b3d6-3874-40ac-b8aa-7bcfe2dc0cdf</t>
        </is>
      </c>
      <c r="J358" s="3" t="inlineStr">
        <is>
          <t>Open</t>
        </is>
      </c>
      <c r="K358" s="3" t="inlineStr"/>
    </row>
    <row r="359">
      <c r="A359" s="3" t="n">
        <v>443</v>
      </c>
      <c r="B359" s="3" t="inlineStr">
        <is>
          <t>Vancomycin (UVA01)</t>
        </is>
      </c>
      <c r="C359" s="7" t="inlineStr">
        <is>
          <t>High</t>
        </is>
      </c>
      <c r="D359" s="3" t="inlineStr">
        <is>
          <t>Dosing – renal/dialysis</t>
        </is>
      </c>
      <c r="E359" s="3" t="inlineStr">
        <is>
          <t>Renal table outdated</t>
        </is>
      </c>
      <c r="F359" s="3" t="inlineStr">
        <is>
          <t>Replace day-1/day-4/weekly ESRD regimen with label dosing or cited guideline</t>
        </is>
      </c>
      <c r="G359" s="3" t="inlineStr">
        <is>
          <t>15 mg/kg day 1, 15 mg/kg day 4, then 15 mg/kg every 7 days</t>
        </is>
      </c>
      <c r="H359" s="3" t="inlineStr">
        <is>
          <t>Taiwan insert/US: anephric 15 mg/kg then 1.9 mg/kg/24h; marked impairment 250-1000 mg every several days; anuria 1 g every 7-10 days. UK: initial dose, then re-dose by levels for CrCl &lt;20 or RRT. No label gives the day-1/day-4/weekly regimen; it needs a guideline citation or a flag.</t>
        </is>
      </c>
      <c r="I359" s="3" t="inlineStr">
        <is>
          <t>Taiwan insert 3.3; US D&amp;A Impaired Renal Function; UK SmPC 4.2</t>
        </is>
      </c>
      <c r="J359" s="3" t="inlineStr">
        <is>
          <t>Open</t>
        </is>
      </c>
      <c r="K359" s="3" t="inlineStr"/>
    </row>
    <row r="360">
      <c r="A360" s="3" t="n">
        <v>444</v>
      </c>
      <c r="B360" s="3" t="inlineStr">
        <is>
          <t>Vancomycin (UVA01)</t>
        </is>
      </c>
      <c r="C360" s="7" t="inlineStr">
        <is>
          <t>High</t>
        </is>
      </c>
      <c r="D360" s="3" t="inlineStr">
        <is>
          <t>Dosing – renal/dialysis</t>
        </is>
      </c>
      <c r="E360" s="3" t="inlineStr"/>
      <c r="F360" s="3" t="inlineStr">
        <is>
          <t>Add high-flux HD/CRRT clearance with post-HD replacement dosing</t>
        </is>
      </c>
      <c r="G360" s="3" t="inlineStr">
        <is>
          <t>Conventional haemodialysis does not clear vancomycin (no further qualification)</t>
        </is>
      </c>
      <c r="H360" s="3" t="inlineStr">
        <is>
          <t>UK SmPC: poorly dialyzable by intermittent HD, BUT high-flux membranes and CRRT increase clearance and generally need replacement dosing after HD.</t>
        </is>
      </c>
      <c r="I360" s="3" t="inlineStr">
        <is>
          <t>UK SmPC 4.2 Renal impairment https://www.medicines.org.uk/emc/product/15737/smpc</t>
        </is>
      </c>
      <c r="J360" s="3" t="inlineStr">
        <is>
          <t>Open</t>
        </is>
      </c>
      <c r="K360" s="3" t="inlineStr"/>
    </row>
    <row r="361">
      <c r="A361" s="3" t="n">
        <v>1068</v>
      </c>
      <c r="B361" s="3" t="inlineStr">
        <is>
          <t>Veklury (Remdesivir) (VEK02, VEK03)</t>
        </is>
      </c>
      <c r="C361" s="7" t="inlineStr">
        <is>
          <t>High</t>
        </is>
      </c>
      <c r="D361" s="3" t="inlineStr">
        <is>
          <t>Dosing – pediatric</t>
        </is>
      </c>
      <c r="E361" s="3" t="inlineStr"/>
      <c r="F361" s="3" t="inlineStr">
        <is>
          <t>Restrict 200/100 mg to ≥40 kg; children 3–&lt;40 kg 5 mg/kg day 1 then 2.5 mg/kg QD</t>
        </is>
      </c>
      <c r="G361" s="3" t="inlineStr">
        <is>
          <t>'In patients over 28 days old and weigh at least 3 kg: 200 mg as a single dose on day 1, followed by 100 mg once daily': a fixed adult dose for everyone ≥3 kg. This is potentially dangerous for small children.</t>
        </is>
      </c>
      <c r="H361" s="3" t="inlineStr">
        <is>
          <t>200 mg then 100 mg applies only to adults and children ≥40 kg. Children ≥28 days and 3 to &lt;40 kg get 5 mg/kg on Day 1, then 2.5 mg/kg QD.</t>
        </is>
      </c>
      <c r="I361" s="3" t="inlineStr">
        <is>
          <t>仿單 §3.1.3 https://mcp.fda.gov.tw/im_detail_1/%E8%A1%9B%E9%83%A8%E8%97%A5%E8%BC%B8%E5%AD%97%E7%AC%AC027899%E8%99%9F ; US §2.3 Table 1 ; UK §4.2 Table 1</t>
        </is>
      </c>
      <c r="J361" s="3" t="inlineStr">
        <is>
          <t>Open</t>
        </is>
      </c>
      <c r="K361" s="3" t="inlineStr"/>
    </row>
    <row r="362">
      <c r="A362" s="3" t="n">
        <v>1071</v>
      </c>
      <c r="B362" s="3" t="inlineStr">
        <is>
          <t>Veklury (Remdesivir) (VEK02, VEK03)</t>
        </is>
      </c>
      <c r="C362" s="7" t="inlineStr">
        <is>
          <t>High</t>
        </is>
      </c>
      <c r="D362" s="3" t="inlineStr">
        <is>
          <t>Dosing – pediatric</t>
        </is>
      </c>
      <c r="E362" s="3" t="inlineStr"/>
      <c r="F362" s="3" t="inlineStr">
        <is>
          <t>Fix weight threshold to 3 kg (US 1.5 kg neonatal dosing); fix garbled '&lt;'; remove solution form</t>
        </is>
      </c>
      <c r="G362" s="3" t="inlineStr">
        <is>
          <t>'Infants and Children 3.5 to &lt;40 kg: Lyophilized powder only: 5 mg/kg day 1 then 2.5 mg/kg'. It also has a '≥12 y ≥40 kg: Injection solution or lyophilized powder' line, and the field is truncated or garbled when displayed (the '&lt;' is swallowed by the HTML).</t>
        </is>
      </c>
      <c r="H362" s="3" t="inlineStr">
        <is>
          <t>The lower weight limit is 3 kg (TW/UK, ≥28 days) or 1.5 kg (US, with 2.5 then 1.25 mg/kg for neonates and for 1.5 to &lt;3 kg). 3.5 kg is an old EUA threshold. Taiwan has only the lyophilized powder, not a solution.</t>
        </is>
      </c>
      <c r="I362" s="3" t="inlineStr">
        <is>
          <t>仿單 §3.1.3, §6.4 ; US §2.3 Table 1 (SPL XML) ; UK §4.2</t>
        </is>
      </c>
      <c r="J362" s="3" t="inlineStr">
        <is>
          <t>Open</t>
        </is>
      </c>
      <c r="K362" s="3" t="inlineStr"/>
    </row>
    <row r="363">
      <c r="A363" s="3" t="n">
        <v>1080</v>
      </c>
      <c r="B363" s="3" t="inlineStr">
        <is>
          <t>Veklury (Remdesivir) (VEK02, VEK03)</t>
        </is>
      </c>
      <c r="C363" s="7" t="inlineStr">
        <is>
          <t>High</t>
        </is>
      </c>
      <c r="D363" s="3" t="inlineStr">
        <is>
          <t>Dosing – pediatric</t>
        </is>
      </c>
      <c r="E363" s="3" t="inlineStr"/>
      <c r="F363" s="3" t="inlineStr">
        <is>
          <t>Fix paediatric: 3–&lt;40 kg 5 mg/kg then 2.5 mg/kg; fixed 200/100 mg only ≥40 kg</t>
        </is>
      </c>
      <c r="G363" s="3" t="inlineStr">
        <is>
          <t>Infants and Children 3.5 to ≥40 kg: loading 200 mg on day 1, then 100 mg once daily (fixed adult dose)</t>
        </is>
      </c>
      <c r="H363" s="3" t="inlineStr">
        <is>
          <t>Children 3 to &lt;40 kg: 5 mg/kg on day 1, then 2.5 mg/kg once daily. Only ≥40 kg get 200/100 mg. The 3.5 kg threshold dates from the old EUA</t>
        </is>
      </c>
      <c r="I363" s="3" t="inlineStr">
        <is>
          <t>TW仿單 §3.1.3; FDA label §2.3 Table 1; UK SmPC §4.2 Table 1 https://www.medicines.org.uk/emc/product/11597/smpc</t>
        </is>
      </c>
      <c r="J363" s="3" t="inlineStr">
        <is>
          <t>Open</t>
        </is>
      </c>
      <c r="K363" s="3" t="inlineStr"/>
    </row>
    <row r="364">
      <c r="A364" s="3" t="n">
        <v>1081</v>
      </c>
      <c r="B364" s="3" t="inlineStr">
        <is>
          <t>Veklury (Remdesivir) (VEK02, VEK03)</t>
        </is>
      </c>
      <c r="C364" s="7" t="inlineStr">
        <is>
          <t>High</t>
        </is>
      </c>
      <c r="D364" s="3" t="inlineStr">
        <is>
          <t>Dosing – pediatric</t>
        </is>
      </c>
      <c r="E364" s="3" t="inlineStr"/>
      <c r="F364" s="3" t="inlineStr">
        <is>
          <t>Restrict 200/100 mg to ≥40 kg; add 5/2.5 mg/kg for 3–&lt;40 kg</t>
        </is>
      </c>
      <c r="G364" s="3" t="inlineStr">
        <is>
          <t>Patients over 28 days old and ≥3 kg: 200 mg on day 1, then 100 mg once daily</t>
        </is>
      </c>
      <c r="H364" s="3" t="inlineStr">
        <is>
          <t>200 mg/100 mg applies only to adults and children ≥40 kg. Children 3 to &lt;40 kg get 5 mg/kg then 2.5 mg/kg</t>
        </is>
      </c>
      <c r="I364" s="3" t="inlineStr">
        <is>
          <t>TW仿單 §3.1.3 https://mcp.fda.gov.tw/im_detail_1/%E8%A1%9B%E9%83%A8%E8%97%A5%E8%BC%B8%E5%AD%97%E7%AC%AC027899%E8%99%9F</t>
        </is>
      </c>
      <c r="J364" s="3" t="inlineStr">
        <is>
          <t>Open</t>
        </is>
      </c>
      <c r="K364" s="3" t="inlineStr"/>
    </row>
    <row r="365">
      <c r="A365" s="3" t="n">
        <v>1072</v>
      </c>
      <c r="B365" s="3" t="inlineStr">
        <is>
          <t>Veklury (Remdesivir) (VEK02, VEK03)</t>
        </is>
      </c>
      <c r="C365" s="7" t="inlineStr">
        <is>
          <t>High</t>
        </is>
      </c>
      <c r="D365" s="3" t="inlineStr">
        <is>
          <t>Dosing – renal/dialysis</t>
        </is>
      </c>
      <c r="E365" s="3" t="inlineStr">
        <is>
          <t>Renal table outdated</t>
        </is>
      </c>
      <c r="F365" s="3" t="inlineStr">
        <is>
          <t>Remove eGFR &lt;30 'not recommended'; no adjustment for any renal impairment incl. dialysis</t>
        </is>
      </c>
      <c r="G365" s="3" t="inlineStr">
        <is>
          <t>'eGFR &gt;30 mL/minute: No dosage adjustment necessary. eGFR &lt;30 mL/minute: Use is not recommended.' (The text after '&lt;' is hidden on the rendered page but present in the raw HTML.)</t>
        </is>
      </c>
      <c r="H365" s="3" t="inlineStr">
        <is>
          <t>No dose adjustment for any degree of renal impairment, including dialysis; give without regard to dialysis timing. Study 5912 included CKD with eGFR &lt;30 and HD-dependent ESRD.</t>
        </is>
      </c>
      <c r="I365" s="3" t="inlineStr">
        <is>
          <t>仿單 §3.3.1, §6.7 ; US §2.4, §8.6 ; UK §4.2</t>
        </is>
      </c>
      <c r="J365" s="3" t="inlineStr">
        <is>
          <t>Open</t>
        </is>
      </c>
      <c r="K365" s="3" t="inlineStr"/>
    </row>
    <row r="366">
      <c r="A366" s="3" t="n">
        <v>1085</v>
      </c>
      <c r="B366" s="3" t="inlineStr">
        <is>
          <t>Veklury (Remdesivir) (VEK02, VEK03)</t>
        </is>
      </c>
      <c r="C366" s="7" t="inlineStr">
        <is>
          <t>High</t>
        </is>
      </c>
      <c r="D366" s="3" t="inlineStr">
        <is>
          <t>Dosing – renal/dialysis</t>
        </is>
      </c>
      <c r="E366" s="3" t="inlineStr">
        <is>
          <t>Renal table outdated</t>
        </is>
      </c>
      <c r="F366" s="3" t="inlineStr">
        <is>
          <t>Remove eGFR &lt;30 restriction; no adjustment any renal function incl. dialysis</t>
        </is>
      </c>
      <c r="G366" s="3" t="inlineStr">
        <is>
          <t>eGFR &gt;30 mL/min: no adjustment; eGFR &lt;30: use not recommended (the eGFR &lt;30 text is cut off on the page)</t>
        </is>
      </c>
      <c r="H366" s="3" t="inlineStr">
        <is>
          <t>No adjustment for any degree of renal impairment, including dialysis, regardless of dialysis timing</t>
        </is>
      </c>
      <c r="I366" s="3" t="inlineStr">
        <is>
          <t>TW仿單 §3.3.1/§6.7; FDA label §2.4/§8.6; UK SmPC §4.2</t>
        </is>
      </c>
      <c r="J366" s="3" t="inlineStr">
        <is>
          <t>Open</t>
        </is>
      </c>
      <c r="K366" s="3" t="inlineStr"/>
    </row>
    <row r="367">
      <c r="A367" s="3" t="n">
        <v>1398</v>
      </c>
      <c r="B367" s="3" t="inlineStr">
        <is>
          <t>Vemlidy (Tenofovir alafenamide) (VEM01)</t>
        </is>
      </c>
      <c r="C367" s="7" t="inlineStr">
        <is>
          <t>High</t>
        </is>
      </c>
      <c r="D367" s="3" t="inlineStr">
        <is>
          <t>Dosing – renal/dialysis</t>
        </is>
      </c>
      <c r="E367" s="3" t="inlineStr">
        <is>
          <t>Renal table outdated</t>
        </is>
      </c>
      <c r="F367" s="3" t="inlineStr">
        <is>
          <t>Allow use in CrCl &lt;15 on chronic HD (dose after HD); not recommended only if not on HD.</t>
        </is>
      </c>
      <c r="G367" s="3" t="inlineStr">
        <is>
          <t>CrCl &lt;15: not recommended (no exception for haemodialysis)</t>
        </is>
      </c>
      <c r="H367" s="3" t="inlineStr">
        <is>
          <t>No adjustment for CrCl ≥15 or for CrCl &lt;15 on chronic HD (give after HD on dialysis days). Not recommended only for ESRD not on HD (UK: no recommendation).</t>
        </is>
      </c>
      <c r="I367" s="3" t="inlineStr">
        <is>
          <t>TW insert §3.3.1/§6.7; US DailyMed §2.3/§8.6; UK SmPC §4.2 (hospital content taken from the source brief; I did not re-fetch the FJUH page)</t>
        </is>
      </c>
      <c r="J367" s="3" t="inlineStr">
        <is>
          <t>Open</t>
        </is>
      </c>
      <c r="K367" s="3" t="inlineStr"/>
    </row>
    <row r="368">
      <c r="A368" s="3" t="n">
        <v>1403</v>
      </c>
      <c r="B368" s="3" t="inlineStr">
        <is>
          <t>Vemlidy (Tenofovir alafenamide) (VEM01)</t>
        </is>
      </c>
      <c r="C368" s="7" t="inlineStr">
        <is>
          <t>High</t>
        </is>
      </c>
      <c r="D368" s="3" t="inlineStr">
        <is>
          <t>Dosing – renal/dialysis</t>
        </is>
      </c>
      <c r="E368" s="3" t="inlineStr">
        <is>
          <t>Renal table outdated</t>
        </is>
      </c>
      <c r="F368" s="3" t="inlineStr">
        <is>
          <t>Allow use in ESRD on chronic HD, dosed after HD; not recommended only if not on HD.</t>
        </is>
      </c>
      <c r="G368" s="3" t="inlineStr">
        <is>
          <t>1. CrCl ≥15 mL/minute: No dosage adjustment necessary; 2. CrCl &lt;15: not recommended (no exception for haemodialysis)</t>
        </is>
      </c>
      <c r="H368" s="3" t="inlineStr">
        <is>
          <t>No adjustment in ESRD (CrCl &lt;15) on chronic haemodialysis; on HD days give after HD. Not recommended only in ESRD not on HD (UK: no recommendation)</t>
        </is>
      </c>
      <c r="I368" s="3" t="inlineStr">
        <is>
          <t>TW insert 3.3.1; US FDA 2.3/8.6; UK SmPC 4.2</t>
        </is>
      </c>
      <c r="J368" s="3" t="inlineStr">
        <is>
          <t>Open</t>
        </is>
      </c>
      <c r="K368" s="3" t="inlineStr"/>
    </row>
    <row r="369">
      <c r="A369" s="3" t="n">
        <v>31</v>
      </c>
      <c r="B369" s="3" t="inlineStr">
        <is>
          <t>Vfend (Voriconazole) (VFE01, VFE02, VOR03)</t>
        </is>
      </c>
      <c r="C369" s="7" t="inlineStr">
        <is>
          <t>High</t>
        </is>
      </c>
      <c r="D369" s="3" t="inlineStr">
        <is>
          <t>Dosing – adult</t>
        </is>
      </c>
      <c r="E369" s="3" t="inlineStr"/>
      <c r="F369" s="3" t="inlineStr">
        <is>
          <t>Make candidemia IV dosing weight-based (6 mg/kg q12h ×2, then 3–4 mg/kg); fixed doses are oral</t>
        </is>
      </c>
      <c r="G369" s="3" t="inlineStr">
        <is>
          <t>'Initial 400 mg IV twice daily for 2 doses, then 200 to 300 mg IV or orally twice daily'</t>
        </is>
      </c>
      <c r="H369" s="3" t="inlineStr">
        <is>
          <t>Label IV dosing is weight-based: 6 mg/kg q12h × 2, then 3–4 mg/kg q12h. The fixed 400 mg and 200–300 mg doses are oral regimens in the labels (UK/TW). IDSA 2016 gives '400 mg (6 mg/kg) ... then 200 mg (3 mg/kg)' without naming a route.</t>
        </is>
      </c>
      <c r="I369" s="3" t="inlineStr">
        <is>
          <t>US §2.3 Table 1; UK SmPC §4.2; IDSA Candidiasis 2016 https://www.idsociety.org/practice-guideline/candidiasis/</t>
        </is>
      </c>
      <c r="J369" s="3" t="inlineStr">
        <is>
          <t>Open</t>
        </is>
      </c>
      <c r="K369" s="3" t="inlineStr"/>
    </row>
    <row r="370">
      <c r="A370" s="3" t="n">
        <v>32</v>
      </c>
      <c r="B370" s="3" t="inlineStr">
        <is>
          <t>Vfend (Voriconazole) (VFE01, VFE02, VOR03)</t>
        </is>
      </c>
      <c r="C370" s="7" t="inlineStr">
        <is>
          <t>High</t>
        </is>
      </c>
      <c r="D370" s="3" t="inlineStr">
        <is>
          <t>Dosing – adult</t>
        </is>
      </c>
      <c r="E370" s="3" t="inlineStr"/>
      <c r="F370" s="3" t="inlineStr">
        <is>
          <t>Add oral loading dose 400 mg q12h ×24 h (200 mg if &lt;40 kg) per UK/TW</t>
        </is>
      </c>
      <c r="G370" s="3" t="inlineStr">
        <is>
          <t>Aspergillosis: 200 mg twice daily (may increase to 300 mg per TDM); no loading dose stated</t>
        </is>
      </c>
      <c r="H370" s="3" t="inlineStr">
        <is>
          <t>UK and TW: start oral therapy with a 400 mg q12h loading dose for the first 24 h (200 mg q12h if &lt;40 kg). The US label uses IV loading for IA and keeps IV going for at least 7 days before switching.</t>
        </is>
      </c>
      <c r="I370" s="3" t="inlineStr">
        <is>
          <t>UK SmPC (tablet) §4.2 https://www.medicines.org.uk/emc/product/8408/smpc; Taiwan 仿單 §3.1; US §2.3</t>
        </is>
      </c>
      <c r="J370" s="3" t="inlineStr">
        <is>
          <t>Open</t>
        </is>
      </c>
      <c r="K370" s="3" t="inlineStr"/>
    </row>
    <row r="371">
      <c r="A371" s="3" t="n">
        <v>19</v>
      </c>
      <c r="B371" s="3" t="inlineStr">
        <is>
          <t>Vfend (Voriconazole) (VFE01, VFE02, VOR03)</t>
        </is>
      </c>
      <c r="C371" s="7" t="inlineStr">
        <is>
          <t>High</t>
        </is>
      </c>
      <c r="D371" s="3" t="inlineStr">
        <is>
          <t>Drug interaction</t>
        </is>
      </c>
      <c r="E371" s="3" t="inlineStr">
        <is>
          <t>Interaction list incomplete</t>
        </is>
      </c>
      <c r="F371" s="3" t="inlineStr">
        <is>
          <t>Add contraindicated: lurasidone, naloxegol, finerenone, eplerenone, voclosporin, venetoclax ramp-up, St John's wort; tolvaptan on VFE02</t>
        </is>
      </c>
      <c r="G371" s="3" t="inlineStr">
        <is>
          <t>Lists terfenadine, astemizole, cisapride, pimozide, quinidine, ivabradine, sirolimus, efavirenz, rifabutin, tolvaptan (VFE01 only) and ergot alkaloids</t>
        </is>
      </c>
      <c r="H371" s="3" t="inlineStr">
        <is>
          <t>Current US/UK/TW contraindications also include lurasidone, naloxegol, finerenone, eplerenone, voclosporin, and venetoclax (initiation/ramp-up), and St John's wort among the inducers. Tolvaptan is contraindicated in every label but is missing from the VFE02 list.</t>
        </is>
      </c>
      <c r="I371" s="3" t="inlineStr">
        <is>
          <t>US label 4; UK SmPC 4.3; TW insert 4 禁忌</t>
        </is>
      </c>
      <c r="J371" s="3" t="inlineStr">
        <is>
          <t>Open</t>
        </is>
      </c>
      <c r="K371" s="3" t="inlineStr"/>
    </row>
    <row r="372">
      <c r="A372" s="3" t="n">
        <v>28</v>
      </c>
      <c r="B372" s="3" t="inlineStr">
        <is>
          <t>Vfend (Voriconazole) (VFE01, VFE02, VOR03)</t>
        </is>
      </c>
      <c r="C372" s="7" t="inlineStr">
        <is>
          <t>High</t>
        </is>
      </c>
      <c r="D372" s="3" t="inlineStr">
        <is>
          <t>Drug interaction</t>
        </is>
      </c>
      <c r="E372" s="3" t="inlineStr">
        <is>
          <t>Interaction list incomplete</t>
        </is>
      </c>
      <c r="F372" s="3" t="inlineStr">
        <is>
          <t>Complete contraindicated drug list (St John's wort, lurasidone, naloxegol, etc.; tolvaptan on tablets); dose-qualify efavirenz/ritonavir</t>
        </is>
      </c>
      <c r="G372" s="3" t="inlineStr">
        <is>
          <t>Lists terfenadine, astemizole, cisapride, pimozide, quinidine, ivabradine; rifampin, carbamazepine, long-acting barbiturates, ritonavir, efavirenz, rifabutin; sirolimus, efavirenz, rifabutin, ergot alkaloids (tolvaptan appears only on VFE01).</t>
        </is>
      </c>
      <c r="H372" s="3" t="inlineStr">
        <is>
          <t>The list is missing St John's wort, lurasidone, naloxegol, eplerenone, finerenone, voclosporin and venetoclax (initiation/ramp-up), and tolvaptan on the tablet records. Efavirenz and ritonavir are contraindicated only at efavirenz ≥400 mg/day and ritonavir ≥400 mg q12h. Low-dose ritonavir should be avoided, and efavirenz 300 mg/day can be used with voriconazole 400 mg q12h. Rifabutin is contraindicated in the US and TW but only 'avoid' in the UK.</t>
        </is>
      </c>
      <c r="I372" s="3" t="inlineStr">
        <is>
          <t>US FDA label §4 and §7; UK SmPC §4.3; Taiwan 仿單 §4 https://mcp.fda.gov.tw/im_detail_1/%E8%A1%9B%E7%BD%B2%E8%97%A5%E8%BC%B8%E5%AD%97%E7%AC%AC023648%E8%99%9F</t>
        </is>
      </c>
      <c r="J372" s="3" t="inlineStr">
        <is>
          <t>Open</t>
        </is>
      </c>
      <c r="K372" s="3" t="inlineStr"/>
    </row>
    <row r="373">
      <c r="A373" s="3" t="n">
        <v>1382</v>
      </c>
      <c r="B373" s="3" t="inlineStr">
        <is>
          <t>Viread (Tenofovir disoproxil) (VIR04)</t>
        </is>
      </c>
      <c r="C373" s="7" t="inlineStr">
        <is>
          <t>High</t>
        </is>
      </c>
      <c r="D373" s="3" t="inlineStr">
        <is>
          <t>Contraindication/warning</t>
        </is>
      </c>
      <c r="E373" s="3" t="inlineStr">
        <is>
          <t>Missing boxed warning</t>
        </is>
      </c>
      <c r="F373" s="3" t="inlineStr">
        <is>
          <t>Add boxed warning: severe acute HBV exacerbation after stopping; monitor LFTs for several months.</t>
        </is>
      </c>
      <c r="G373" s="3" t="inlineStr">
        <is>
          <t>Only an NxP nephrotoxicity notice; no boxed warning</t>
        </is>
      </c>
      <c r="H373" s="3" t="inlineStr">
        <is>
          <t>Boxed warning in the US and TW labels: severe acute exacerbation of hepatitis B after stopping; monitor liver function for at least several months</t>
        </is>
      </c>
      <c r="I373" s="3" t="inlineStr">
        <is>
          <t>US label Boxed Warning https://dailymed.nlm.nih.gov/dailymed/drugInfo.cfm?setid=33fd6418-fbdc-42ca-a50d-ce2a476a5418; TW insert 警告 https://mcp.fda.gov.tw/insert/pdfcasefile/e379214d-0838-4728-9c89-c2356353a2a4</t>
        </is>
      </c>
      <c r="J373" s="3" t="inlineStr">
        <is>
          <t>Open</t>
        </is>
      </c>
      <c r="K373" s="3" t="inlineStr"/>
    </row>
    <row r="374">
      <c r="A374" s="3" t="n">
        <v>1392</v>
      </c>
      <c r="B374" s="3" t="inlineStr">
        <is>
          <t>Viread (Tenofovir disoproxil) (VIR04)</t>
        </is>
      </c>
      <c r="C374" s="7" t="inlineStr">
        <is>
          <t>High</t>
        </is>
      </c>
      <c r="D374" s="3" t="inlineStr">
        <is>
          <t>Contraindication/warning</t>
        </is>
      </c>
      <c r="E374" s="3" t="inlineStr">
        <is>
          <t>Missing boxed warning</t>
        </is>
      </c>
      <c r="F374" s="3" t="inlineStr">
        <is>
          <t>Add boxed warning on post-treatment HBV exacerbation with hepatic monitoring for months.</t>
        </is>
      </c>
      <c r="G374" s="3" t="inlineStr">
        <is>
          <t>(not shown anywhere on the P4 page; 注意事項 empty)</t>
        </is>
      </c>
      <c r="H374" s="3" t="inlineStr">
        <is>
          <t>Boxed warning: post-treatment severe acute exacerbation of hepatitis B. Monitor hepatic function for at least several months after stopping (US Boxed Warning, TW 警告 box, UK 4.4).</t>
        </is>
      </c>
      <c r="I374" s="3" t="inlineStr">
        <is>
          <t>US Boxed Warning / §5.1 https://dailymed.nlm.nih.gov/dailymed/drugInfo.cfm?setid=33fd6418-fbdc-42ca-a50d-ce2a476a5418 ; TW 仿單 警告</t>
        </is>
      </c>
      <c r="J374" s="3" t="inlineStr">
        <is>
          <t>Open</t>
        </is>
      </c>
      <c r="K374" s="3" t="inlineStr"/>
    </row>
    <row r="375">
      <c r="A375" s="3" t="n">
        <v>1383</v>
      </c>
      <c r="B375" s="3" t="inlineStr">
        <is>
          <t>Viread (Tenofovir disoproxil) (VIR04)</t>
        </is>
      </c>
      <c r="C375" s="7" t="inlineStr">
        <is>
          <t>High</t>
        </is>
      </c>
      <c r="D375" s="3" t="inlineStr">
        <is>
          <t>Dosing – pediatric</t>
        </is>
      </c>
      <c r="E375" s="3" t="inlineStr"/>
      <c r="F375" s="3" t="inlineStr">
        <is>
          <t>Limit stocked 300 mg tablet to ≥12 y and ≥35 kg; remove US ≥2 y/10 kg wording.</t>
        </is>
      </c>
      <c r="G375" s="3" t="inlineStr">
        <is>
          <t>HBV and HIV-1 in patients ≥2 y/o weighing ≥10 kg; 小兒調整劑量 field empty</t>
        </is>
      </c>
      <c r="H375" s="3" t="inlineStr">
        <is>
          <t>This is US wording, and the US regimen for that age range needs 150/200/250 mg tablets or oral powder (8 mg/kg), which are not stocked. The stocked 300 mg tablet is licensed in Taiwan only for ≥12 y and ≥35 kg (HIV only with NRTI resistance or toxicity). Safety and efficacy are not established below 12 y or 35 kg.</t>
        </is>
      </c>
      <c r="I375" s="3" t="inlineStr">
        <is>
          <t>TW insert §1.1/§1.2/§2.1 https://mcp.fda.gov.tw/insert/pdfcasefile/e379214d-0838-4728-9c89-c2356353a2a4; US label §2.2/§2.3 https://dailymed.nlm.nih.gov/dailymed/drugInfo.cfm?setid=33fd6418-fbdc-42ca-a50d-ce2a476a5418</t>
        </is>
      </c>
      <c r="J375" s="3" t="inlineStr">
        <is>
          <t>Open</t>
        </is>
      </c>
      <c r="K375" s="3" t="inlineStr"/>
    </row>
    <row r="376">
      <c r="A376" s="3" t="n">
        <v>1393</v>
      </c>
      <c r="B376" s="3" t="inlineStr">
        <is>
          <t>Viread (Tenofovir disoproxil) (VIR04)</t>
        </is>
      </c>
      <c r="C376" s="7" t="inlineStr">
        <is>
          <t>High</t>
        </is>
      </c>
      <c r="D376" s="3" t="inlineStr">
        <is>
          <t>Indication/coverage</t>
        </is>
      </c>
      <c r="E376" s="3" t="inlineStr"/>
      <c r="F376" s="3" t="inlineStr">
        <is>
          <t>Restrict indication for 300 mg tablet to ≥12 y/≥35 kg per TW insert; HIV adolescents only with NRTI resistance.</t>
        </is>
      </c>
      <c r="G376" s="3" t="inlineStr">
        <is>
          <t>HBV and HIV-1 'in patients ≥2 y/o weighing ≥10 kg'</t>
        </is>
      </c>
      <c r="H376" s="3" t="inlineStr">
        <is>
          <t>That is the US wording, and it covers the 150/200/250 mg tablets and oral powder, which are not registered or stocked. For the stocked 300 mg tablet, the TW insert says: HIV-1 in adults, and in 12–18 y only with NRTI resistance/toxicity; CHB in adults and ≥12 y; &lt;12 y or &lt;35 kg not established. US: the 300 mg tablet is for ≥35 kg.</t>
        </is>
      </c>
      <c r="I376" s="3" t="inlineStr">
        <is>
          <t>TW 仿單 §1.1, §1.2, §2.1 ; US §2.2 Table 1</t>
        </is>
      </c>
      <c r="J376" s="3" t="inlineStr">
        <is>
          <t>Open</t>
        </is>
      </c>
      <c r="K376" s="3" t="inlineStr"/>
    </row>
    <row r="377">
      <c r="A377" s="3" t="n">
        <v>1347</v>
      </c>
      <c r="B377" s="3" t="inlineStr">
        <is>
          <t>Vocabria + Rekambys (Cabotegravir + Rilpivirine LA) (VOC02, REK01)</t>
        </is>
      </c>
      <c r="C377" s="7" t="inlineStr">
        <is>
          <t>High</t>
        </is>
      </c>
      <c r="D377" s="3" t="inlineStr">
        <is>
          <t>Contraindication/warning</t>
        </is>
      </c>
      <c r="E377" s="3" t="inlineStr">
        <is>
          <t>Interaction list incomplete</t>
        </is>
      </c>
      <c r="F377" s="3" t="inlineStr">
        <is>
          <t>List full contraindications incl. oxcarbazepine, phenytoin, rifabutin, rifapentine, dexamethasone, St John's wort.</t>
        </is>
      </c>
      <c r="G377" s="3" t="inlineStr">
        <is>
          <t>CYP3A inducers 'such as' rifampin, carbamazepine, phenobarbital</t>
        </is>
      </c>
      <c r="H377" s="3" t="inlineStr">
        <is>
          <t>Full list: carbamazepine, oxcarbazepine, phenobarbital, phenytoin; rifabutin, rifampin (rifampicin), rifapentine; systemic dexamethasone except a single dose; St John's wort. PPIs are contraindicated only with ORAL rilpivirine (lead-in or bridging), not with the injection, and are not in the CABENUVA US label sections 4/7</t>
        </is>
      </c>
      <c r="I377" s="3" t="inlineStr">
        <is>
          <t>TW仿單 Rekambys 028217 §4 禁忌, §7; UK SmPC Rekambys §4.3, §4.5; US FDA CABENUVA §4</t>
        </is>
      </c>
      <c r="J377" s="3" t="inlineStr">
        <is>
          <t>Open</t>
        </is>
      </c>
      <c r="K377" s="3" t="inlineStr"/>
    </row>
    <row r="378">
      <c r="A378" s="3" t="n">
        <v>1354</v>
      </c>
      <c r="B378" s="3" t="inlineStr">
        <is>
          <t>Vocabria + Rekambys (Cabotegravir + Rilpivirine LA) (VOC02, REK01)</t>
        </is>
      </c>
      <c r="C378" s="7" t="inlineStr">
        <is>
          <t>High</t>
        </is>
      </c>
      <c r="D378" s="3" t="inlineStr">
        <is>
          <t>Contraindication/warning</t>
        </is>
      </c>
      <c r="E378" s="3" t="inlineStr">
        <is>
          <t>Interaction list incomplete</t>
        </is>
      </c>
      <c r="F378" s="3" t="inlineStr">
        <is>
          <t>Give full TW contraindication list; clarify PPIs contraindicated only with oral rilpivirine.</t>
        </is>
      </c>
      <c r="G378" s="3" t="inlineStr">
        <is>
          <t>'不得與CYP3A酵素誘導劑（如Rifampin、Carbamazepine、Phenobarbital等）合併使用'</t>
        </is>
      </c>
      <c r="H378" s="3" t="inlineStr">
        <is>
          <t>The full TW list is carbamazepine, oxcarbazepine, phenobarbital, phenytoin, rifabutin, rifampin, rifapentine, systemic dexamethasone (except a single dose) and St John's wort. PPIs are NOT a contraindication of the injection: they are contraindicated only with ORAL rilpivirine during lead-in or bridging (TW Rekambys §7; UK 4.5). The brief's statement that PPIs come from 'US label section 7' is incorrect; the CABENUVA label has no mention of PPIs.</t>
        </is>
      </c>
      <c r="I378" s="3" t="inlineStr">
        <is>
          <t>TW 仿單 Rekambys §4 and §7; UK SmPC REKAMBYS §4.3/4.5; US CABENUVA §4/§7</t>
        </is>
      </c>
      <c r="J378" s="3" t="inlineStr">
        <is>
          <t>Open</t>
        </is>
      </c>
      <c r="K378" s="3" t="inlineStr"/>
    </row>
    <row r="379">
      <c r="A379" s="3" t="n">
        <v>1344</v>
      </c>
      <c r="B379" s="3" t="inlineStr">
        <is>
          <t>Vocabria + Rekambys (Cabotegravir + Rilpivirine LA) (VOC02, REK01)</t>
        </is>
      </c>
      <c r="C379" s="7" t="inlineStr">
        <is>
          <t>High</t>
        </is>
      </c>
      <c r="D379" s="3" t="inlineStr">
        <is>
          <t>Dosing – adult</t>
        </is>
      </c>
      <c r="E379" s="3" t="inlineStr"/>
      <c r="F379" s="3" t="inlineStr">
        <is>
          <t>Fix CAB dosing: 600 mg single initiation, then 400 mg monthly or 600 mg Q2M after second dose; add lead-in, window.</t>
        </is>
      </c>
      <c r="G379" s="3" t="inlineStr">
        <is>
          <t>起始劑量：600 mg IM，每月一次; 後續：每月400 mg或每兩個月600 mg</t>
        </is>
      </c>
      <c r="H379" s="3" t="inlineStr">
        <is>
          <t>600 mg is a single initiation dose, not 'monthly'. Monthly schedule: 400 mg monthly from 1 month after initiation. Every-2-month schedule: second 600 mg dose 1 month after the first, then 600 mg every 2 months from month 4. Optional oral lead-in (CAB 30 mg + RPV 25 mg qd for ≥28 d). Always given with rilpivirine at separate gluteal sites at the same visit; ±7-day window; missed-dose rules</t>
        </is>
      </c>
      <c r="I379" s="3" t="inlineStr">
        <is>
          <t>US FDA CABENUVA §2.3–2.8; UK SmPC Vocabria §4.2 Tables 1–5; TW仿單 Vocabria §3.1 表1–5</t>
        </is>
      </c>
      <c r="J379" s="3" t="inlineStr">
        <is>
          <t>Open</t>
        </is>
      </c>
      <c r="K379" s="3" t="inlineStr"/>
    </row>
    <row r="380">
      <c r="A380" s="3" t="n">
        <v>1345</v>
      </c>
      <c r="B380" s="3" t="inlineStr">
        <is>
          <t>Vocabria + Rekambys (Cabotegravir + Rilpivirine LA) (VOC02, REK01)</t>
        </is>
      </c>
      <c r="C380" s="7" t="inlineStr">
        <is>
          <t>High</t>
        </is>
      </c>
      <c r="D380" s="3" t="inlineStr">
        <is>
          <t>Dosing – adult</t>
        </is>
      </c>
      <c r="E380" s="3" t="inlineStr"/>
      <c r="F380" s="3" t="inlineStr">
        <is>
          <t>Fix RPV dosing: 900 mg single initiation, 600 mg monthly or 900 mg Q2M; add lead-in, co-administration.</t>
        </is>
      </c>
      <c r="G380" s="3" t="inlineStr">
        <is>
          <t>起始劑量：每月一次肌肉注射900 mg; 維持：每月600 mg或每兩個月900 mg</t>
        </is>
      </c>
      <c r="H380" s="3" t="inlineStr">
        <is>
          <t>Same gaps as VOC02. 900 mg is a single initiation dose (repeated once at month 2 only in the every-2-month schedule). Monthly continuation is 600 mg. Oral lead-in and same-visit co-administration with cabotegravir at separate gluteal sites are not mentioned</t>
        </is>
      </c>
      <c r="I380" s="3" t="inlineStr">
        <is>
          <t>US FDA CABENUVA §2.4–2.5; UK SmPC Rekambys §4.2; TW仿單 Rekambys §3</t>
        </is>
      </c>
      <c r="J380" s="3" t="inlineStr">
        <is>
          <t>Open</t>
        </is>
      </c>
      <c r="K380" s="3" t="inlineStr"/>
    </row>
    <row r="381">
      <c r="A381" s="3" t="n">
        <v>1352</v>
      </c>
      <c r="B381" s="3" t="inlineStr">
        <is>
          <t>Vocabria + Rekambys (Cabotegravir + Rilpivirine LA) (VOC02, REK01)</t>
        </is>
      </c>
      <c r="C381" s="7" t="inlineStr">
        <is>
          <t>High</t>
        </is>
      </c>
      <c r="D381" s="3" t="inlineStr">
        <is>
          <t>Dosing – adult</t>
        </is>
      </c>
      <c r="E381" s="3" t="inlineStr"/>
      <c r="F381" s="3" t="inlineStr">
        <is>
          <t>Correct initiation as single dose, Q2M second initiation dose, ±7-day window, lead-in, missed-dose rules.</t>
        </is>
      </c>
      <c r="G381" s="3" t="inlineStr">
        <is>
          <t>'起始劑量 600 mg (REK01: 900 mg) IM 每月一次；後續 400 mg (600 mg) 每月 或 600 mg (900 mg) 每兩個月'</t>
        </is>
      </c>
      <c r="H381" s="3" t="inlineStr">
        <is>
          <t>The initiation dose is a SINGLE injection on the last day of prior ART, not 'monthly'. The Q2M schedule needs a SECOND 600/900 mg initiation dose 1 month later, then every 2 months from month 4. Both drugs are given at the same visit at separate gluteal sites. The hospital text also omits the ±7-day window, the optional oral lead-in and oral bridging, the missed-dose re-initiation rules, and the need to start alternative ART within 1–2 months after stopping.</t>
        </is>
      </c>
      <c r="I381" s="3" t="inlineStr">
        <is>
          <t>TW 仿單 Rekambys §3.1 Tables 1–5; TW Vocabria §3.1; US CABENUVA §2.3–2.8</t>
        </is>
      </c>
      <c r="J381" s="3" t="inlineStr">
        <is>
          <t>Open</t>
        </is>
      </c>
      <c r="K381" s="3" t="inlineStr"/>
    </row>
    <row r="382">
      <c r="A382" s="3" t="n">
        <v>973</v>
      </c>
      <c r="B382" s="3" t="inlineStr">
        <is>
          <t>Xofluza (Baloxavir) (XOF01)</t>
        </is>
      </c>
      <c r="C382" s="7" t="inlineStr">
        <is>
          <t>High</t>
        </is>
      </c>
      <c r="D382" s="3" t="inlineStr">
        <is>
          <t>Dosing – adult</t>
        </is>
      </c>
      <c r="E382" s="3" t="inlineStr"/>
      <c r="F382" s="3" t="inlineStr">
        <is>
          <t>Add 20–&lt;80 kg: 40 mg (2×20 mg) single dose; ≥80 kg: 80 mg (4×20 mg)</t>
        </is>
      </c>
      <c r="G382" s="3" t="inlineStr">
        <is>
          <t>Dosage item 1 is blank. Only '≥80 kg: 80 mg as a single dose' is listed.</t>
        </is>
      </c>
      <c r="H382" s="3" t="inlineStr">
        <is>
          <t>20–&lt;80 kg: 40 mg (2 × 20 mg tab) single dose; ≥80 kg: 80 mg (4 × 20 mg tab)</t>
        </is>
      </c>
      <c r="I382" s="3" t="inlineStr">
        <is>
          <t>Taiwan insert §3.1; DailyMed §2.2 Table 1</t>
        </is>
      </c>
      <c r="J382" s="3" t="inlineStr">
        <is>
          <t>Open</t>
        </is>
      </c>
      <c r="K382" s="3" t="inlineStr"/>
    </row>
    <row r="383">
      <c r="A383" s="3" t="n">
        <v>982</v>
      </c>
      <c r="B383" s="3" t="inlineStr">
        <is>
          <t>Xofluza (Baloxavir) (XOF01)</t>
        </is>
      </c>
      <c r="C383" s="7" t="inlineStr">
        <is>
          <t>High</t>
        </is>
      </c>
      <c r="D383" s="3" t="inlineStr">
        <is>
          <t>Dosing – adult</t>
        </is>
      </c>
      <c r="E383" s="3" t="inlineStr"/>
      <c r="F383" s="3" t="inlineStr">
        <is>
          <t>Fill item 1: 20–&lt;80 kg 40 mg (2×20 mg); ≥80 kg 80 mg (4×20 mg); within 48 h</t>
        </is>
      </c>
      <c r="G383" s="3" t="inlineStr">
        <is>
          <t>Item 1 is blank. Only '≥80 kg: 80 mg as a single dose' is listed, with no 20–&lt;80 kg dose and no tablet count for the 20 mg strength.</t>
        </is>
      </c>
      <c r="H383" s="3" t="inlineStr">
        <is>
          <t>20–&lt;80 kg: 40 mg = 2 × 20 mg tabs; ≥80 kg: 80 mg = 4 × 20 mg tabs; single dose within 48 h.</t>
        </is>
      </c>
      <c r="I383" s="3" t="inlineStr">
        <is>
          <t>Taiwan insert §3.1 https://mcp.fda.gov.tw/im_detail_1/%E8%A1%9B%E9%83%A8%E8%97%A5%E8%BC%B8%E5%AD%97%E7%AC%AC027693%E8%99%9F</t>
        </is>
      </c>
      <c r="J383" s="3" t="inlineStr">
        <is>
          <t>Open</t>
        </is>
      </c>
      <c r="K383" s="3" t="inlineStr"/>
    </row>
    <row r="384">
      <c r="A384" s="3" t="n">
        <v>972</v>
      </c>
      <c r="B384" s="3" t="inlineStr">
        <is>
          <t>Xofluza (Baloxavir) (XOF01)</t>
        </is>
      </c>
      <c r="C384" s="7" t="inlineStr">
        <is>
          <t>High</t>
        </is>
      </c>
      <c r="D384" s="3" t="inlineStr">
        <is>
          <t>Dosing – pediatric</t>
        </is>
      </c>
      <c r="E384" s="3" t="inlineStr"/>
      <c r="F384" s="3" t="inlineStr">
        <is>
          <t>Replace 1 mg/kg with ≥5 yr and ≥20 kg: 40 mg (20–&lt;80 kg), 80 mg (≥80 kg)</t>
        </is>
      </c>
      <c r="G384" s="3" t="inlineStr">
        <is>
          <t>For children over 5 years of age, the recommended dose is 1 mg/kg.</t>
        </is>
      </c>
      <c r="H384" s="3" t="inlineStr">
        <is>
          <t>No label gives 1 mg/kg. Taiwan: ≥5 y and ≥20 kg, 40 mg (2 × 20 mg) for 20–&lt;80 kg, 80 mg for ≥80 kg. US: 2 mg/kg (suspension) only for &lt;20 kg.</t>
        </is>
      </c>
      <c r="I384" s="3" t="inlineStr">
        <is>
          <t>Taiwan insert §3.1 https://mcp.fda.gov.tw/im_detail_1/%E8%A1%9B%E9%83%A8%E8%97%A5%E8%BC%B8%E5%AD%97%E7%AC%AC027693%E8%99%9F; DailyMed §2.2 Tables 1–3</t>
        </is>
      </c>
      <c r="J384" s="3" t="inlineStr">
        <is>
          <t>Open</t>
        </is>
      </c>
      <c r="K384" s="3" t="inlineStr"/>
    </row>
    <row r="385">
      <c r="A385" s="3" t="n">
        <v>981</v>
      </c>
      <c r="B385" s="3" t="inlineStr">
        <is>
          <t>Xofluza (Baloxavir) (XOF01)</t>
        </is>
      </c>
      <c r="C385" s="7" t="inlineStr">
        <is>
          <t>High</t>
        </is>
      </c>
      <c r="D385" s="3" t="inlineStr">
        <is>
          <t>Dosing – pediatric</t>
        </is>
      </c>
      <c r="E385" s="3" t="inlineStr"/>
      <c r="F385" s="3" t="inlineStr">
        <is>
          <t>Replace 1 mg/kg with weight-band tablets: 40 mg (20–&lt;80 kg), 80 mg (≥80 kg)</t>
        </is>
      </c>
      <c r="G385" s="3" t="inlineStr">
        <is>
          <t>For children over 5 years of age, the recommended dose is 1 mg/kg.</t>
        </is>
      </c>
      <c r="H385" s="3" t="inlineStr">
        <is>
          <t>No label gives 1 mg/kg. TW: ≥5 y and ≥20 kg get 40 mg (2 × 20 mg tabs) for 20–&lt;80 kg, or 80 mg for ≥80 kg. US: the same tablet bands, and 2 mg/kg only with the suspension for &lt;20 kg. 1 mg/kg would underdose by about half.</t>
        </is>
      </c>
      <c r="I385" s="3" t="inlineStr">
        <is>
          <t>Taiwan insert §3.1 https://mcp.fda.gov.tw/im_detail_1/%E8%A1%9B%E9%83%A8%E8%97%A5%E8%BC%B8%E5%AD%97%E7%AC%AC027693%E8%99%9F ; US label §2.2 Tables 1–3</t>
        </is>
      </c>
      <c r="J385" s="3" t="inlineStr">
        <is>
          <t>Open</t>
        </is>
      </c>
      <c r="K385" s="3" t="inlineStr"/>
    </row>
    <row r="386">
      <c r="A386" s="3" t="n">
        <v>70</v>
      </c>
      <c r="B386" s="3" t="inlineStr">
        <is>
          <t>Zavicefta (Ceftazidime-Avibactam) (ZAV04)</t>
        </is>
      </c>
      <c r="C386" s="7" t="inlineStr">
        <is>
          <t>High</t>
        </is>
      </c>
      <c r="D386" s="3" t="inlineStr">
        <is>
          <t>Contraindication/warning</t>
        </is>
      </c>
      <c r="E386" s="3" t="inlineStr"/>
      <c r="F386" s="3" t="inlineStr">
        <is>
          <t>Add contraindication: severe hypersensitivity to any other β-lactam (TW/UK)</t>
        </is>
      </c>
      <c r="G386" s="3" t="inlineStr">
        <is>
          <t>Known serious hypersensitivity to ceftazidime, avibactam, other cephalosporins, or any component</t>
        </is>
      </c>
      <c r="H386" s="3" t="inlineStr">
        <is>
          <t>The Taiwan/UK label also contraindicates use after severe hypersensitivity (anaphylaxis, severe skin reaction) to any other β-lactam (penicillins, monobactams, carbapenems).</t>
        </is>
      </c>
      <c r="I386" s="3" t="inlineStr">
        <is>
          <t>Taiwan 仿單 §4 禁忌; UK SmPC §4.3</t>
        </is>
      </c>
      <c r="J386" s="3" t="inlineStr">
        <is>
          <t>Open</t>
        </is>
      </c>
      <c r="K386" s="3" t="inlineStr"/>
    </row>
    <row r="387">
      <c r="A387" s="3" t="n">
        <v>55</v>
      </c>
      <c r="B387" s="3" t="inlineStr">
        <is>
          <t>Zavicefta (Ceftazidime-Avibactam) (ZAV04)</t>
        </is>
      </c>
      <c r="C387" s="7" t="inlineStr">
        <is>
          <t>High</t>
        </is>
      </c>
      <c r="D387" s="3" t="inlineStr">
        <is>
          <t>Dosing – renal/dialysis</t>
        </is>
      </c>
      <c r="E387" s="3" t="inlineStr">
        <is>
          <t>Renal table outdated</t>
        </is>
      </c>
      <c r="F387" s="3" t="inlineStr">
        <is>
          <t>Add CrCl ≤5/ESRD row: 0.94 g q48h, after HD</t>
        </is>
      </c>
      <c r="G387" s="3" t="inlineStr">
        <is>
          <t>Row cut off / missing</t>
        </is>
      </c>
      <c r="H387" s="3" t="inlineStr">
        <is>
          <t>0.94 g (0.75 g/0.1875 g) q48h; ESRD incl. HD q48h, dosed after HD (US Table 3; TW 表9; SmPC Table 4)</t>
        </is>
      </c>
      <c r="I387" s="3" t="inlineStr">
        <is>
          <t>US 2.3 Table 3; TW 表9 https://mcp.fda.gov.tw/im_detail_1/%E8%A1%9B%E9%83%A8%E8%97%A5%E8%BC%B8%E5%AD%97%E7%AC%AC027705%E8%99%9F</t>
        </is>
      </c>
      <c r="J387" s="3" t="inlineStr">
        <is>
          <t>Open</t>
        </is>
      </c>
      <c r="K387" s="3" t="inlineStr"/>
    </row>
    <row r="388">
      <c r="A388" s="3" t="n">
        <v>56</v>
      </c>
      <c r="B388" s="3" t="inlineStr">
        <is>
          <t>Zavicefta (Ceftazidime-Avibactam) (ZAV04)</t>
        </is>
      </c>
      <c r="C388" s="7" t="inlineStr">
        <is>
          <t>High</t>
        </is>
      </c>
      <c r="D388" s="3" t="inlineStr">
        <is>
          <t>Dosing – renal/dialysis</t>
        </is>
      </c>
      <c r="E388" s="3" t="inlineStr">
        <is>
          <t>Renal table outdated</t>
        </is>
      </c>
      <c r="F388" s="3" t="inlineStr">
        <is>
          <t>HD dosing: 0.94 g q48h after HD; remove q24h option</t>
        </is>
      </c>
      <c r="G388" s="3" t="inlineStr">
        <is>
          <t>0.94 g q24-48h after dialysis</t>
        </is>
      </c>
      <c r="H388" s="3" t="inlineStr">
        <is>
          <t>Stocked product (TW) and SmPC: ESRD including HD q48h, given after HD. In the US table, q24h applies only to CrCl 6-15.</t>
        </is>
      </c>
      <c r="I388" s="3" t="inlineStr">
        <is>
          <t>TW 表9 footnote 3; SmPC 4.2 Table 4 https://www.medicines.org.uk/emc/product/2465/smpc</t>
        </is>
      </c>
      <c r="J388" s="3" t="inlineStr">
        <is>
          <t>Open</t>
        </is>
      </c>
      <c r="K388" s="3" t="inlineStr"/>
    </row>
    <row r="389">
      <c r="A389" s="3" t="n">
        <v>64</v>
      </c>
      <c r="B389" s="3" t="inlineStr">
        <is>
          <t>Zavicefta (Ceftazidime-Avibactam) (ZAV04)</t>
        </is>
      </c>
      <c r="C389" s="7" t="inlineStr">
        <is>
          <t>High</t>
        </is>
      </c>
      <c r="D389" s="3" t="inlineStr">
        <is>
          <t>Dosing – renal/dialysis</t>
        </is>
      </c>
      <c r="E389" s="3" t="inlineStr">
        <is>
          <t>Renal table outdated</t>
        </is>
      </c>
      <c r="F389" s="3" t="inlineStr">
        <is>
          <t>Add CrCl ≤5/ESRD: 0.94 g q48h, given after HD</t>
        </is>
      </c>
      <c r="G389" s="3" t="inlineStr">
        <is>
          <t>List stops at CrCl 6–15 mL/min; no CrCl ≤5 row</t>
        </is>
      </c>
      <c r="H389" s="3" t="inlineStr">
        <is>
          <t>CrCl ≤5 (US) or ESRD (Taiwan/UK): 0.94 g (0.75/0.1875 g) q48h, given after HD on dialysis days</t>
        </is>
      </c>
      <c r="I389" s="3" t="inlineStr">
        <is>
          <t>US AVYCAZ §2.3 Table 3; Taiwan 仿單 §3.3 表9</t>
        </is>
      </c>
      <c r="J389" s="3" t="inlineStr">
        <is>
          <t>Open</t>
        </is>
      </c>
      <c r="K389" s="3" t="inlineStr"/>
    </row>
    <row r="390">
      <c r="A390" s="3" t="n">
        <v>65</v>
      </c>
      <c r="B390" s="3" t="inlineStr">
        <is>
          <t>Zavicefta (Ceftazidime-Avibactam) (ZAV04)</t>
        </is>
      </c>
      <c r="C390" s="7" t="inlineStr">
        <is>
          <t>High</t>
        </is>
      </c>
      <c r="D390" s="3" t="inlineStr">
        <is>
          <t>Dosing – renal/dialysis</t>
        </is>
      </c>
      <c r="E390" s="3" t="inlineStr">
        <is>
          <t>Renal table outdated</t>
        </is>
      </c>
      <c r="F390" s="3" t="inlineStr">
        <is>
          <t>HD: 0.94 g q48h after dialysis; delete q24h</t>
        </is>
      </c>
      <c r="G390" s="3" t="inlineStr">
        <is>
          <t>0.94 g every 24 to 48 hours depending on residual kidney function, after HD</t>
        </is>
      </c>
      <c r="H390" s="3" t="inlineStr">
        <is>
          <t>ESRD including haemodialysis: q48h, dosed after HD (no q24h option)</t>
        </is>
      </c>
      <c r="I390" s="3" t="inlineStr">
        <is>
          <t>Taiwan 仿單 §3.3 表9 footnote 3; UK SmPC §4.2 Table 4</t>
        </is>
      </c>
      <c r="J390" s="3" t="inlineStr">
        <is>
          <t>Open</t>
        </is>
      </c>
      <c r="K390" s="3" t="inlineStr"/>
    </row>
    <row r="391">
      <c r="A391" s="3" t="n">
        <v>159</v>
      </c>
      <c r="B391" s="3" t="inlineStr">
        <is>
          <t>Zerbaxa (Ceftolozane-tazobactam) (ZER01)</t>
        </is>
      </c>
      <c r="C391" s="7" t="inlineStr">
        <is>
          <t>High</t>
        </is>
      </c>
      <c r="D391" s="3" t="inlineStr">
        <is>
          <t>Dosing – adult</t>
        </is>
      </c>
      <c r="E391" s="3" t="inlineStr"/>
      <c r="F391" s="3" t="inlineStr">
        <is>
          <t>cIAI: 1.5 g q8h with metronidazole for 4–14 days; remove 3 g dose and 4–5 day limit</t>
        </is>
      </c>
      <c r="G391" s="3" t="inlineStr">
        <is>
          <t>1.5–3 g q8h for 4–5 days</t>
        </is>
      </c>
      <c r="H391" s="3" t="inlineStr">
        <is>
          <t>1.5 g q8h over 1 h with metronidazole 500 mg q8h, for 4–14 days</t>
        </is>
      </c>
      <c r="I391" s="3" t="inlineStr">
        <is>
          <t>US label §2.1 Table 1; Taiwan insert 表1 – https://mcp.fda.gov.tw/insert/pdfcasefile/i_455030c1-46d0-4eb4-8b58-92493c5ed054</t>
        </is>
      </c>
      <c r="J391" s="3" t="inlineStr">
        <is>
          <t>Open</t>
        </is>
      </c>
      <c r="K391" s="3" t="inlineStr"/>
    </row>
    <row r="392">
      <c r="A392" s="3" t="n">
        <v>169</v>
      </c>
      <c r="B392" s="3" t="inlineStr">
        <is>
          <t>Zerbaxa (Ceftolozane-tazobactam) (ZER01)</t>
        </is>
      </c>
      <c r="C392" s="7" t="inlineStr">
        <is>
          <t>High</t>
        </is>
      </c>
      <c r="D392" s="3" t="inlineStr">
        <is>
          <t>Dosing – adult</t>
        </is>
      </c>
      <c r="E392" s="3" t="inlineStr"/>
      <c r="F392" s="3" t="inlineStr">
        <is>
          <t>cIAI: 1.5 g q8h with metronidazole for 4–14 days; no 3 g dose</t>
        </is>
      </c>
      <c r="G392" s="3" t="inlineStr">
        <is>
          <t>1.5 to 3 g q8h with metronidazole for 4 to 5 days</t>
        </is>
      </c>
      <c r="H392" s="3" t="inlineStr">
        <is>
          <t>1.5 g q8h with metronidazole for 4–14 days. No label gives 3 g for cIAI.</t>
        </is>
      </c>
      <c r="I392" s="3" t="inlineStr">
        <is>
          <t>Taiwan insert §2.1 表1; US §2.1 Table 1; UK §4.2 Table 1</t>
        </is>
      </c>
      <c r="J392" s="3" t="inlineStr">
        <is>
          <t>Open</t>
        </is>
      </c>
      <c r="K392" s="3" t="inlineStr"/>
    </row>
    <row r="393">
      <c r="A393" s="3" t="n">
        <v>163</v>
      </c>
      <c r="B393" s="3" t="inlineStr">
        <is>
          <t>Zerbaxa (Ceftolozane-tazobactam) (ZER01)</t>
        </is>
      </c>
      <c r="C393" s="7" t="inlineStr">
        <is>
          <t>High</t>
        </is>
      </c>
      <c r="D393" s="3" t="inlineStr">
        <is>
          <t>Dosing – renal/dialysis</t>
        </is>
      </c>
      <c r="E393" s="3" t="inlineStr">
        <is>
          <t>Renal table outdated</t>
        </is>
      </c>
      <c r="F393" s="3" t="inlineStr">
        <is>
          <t>Replace fractions with fixed doses by band and indication; add HD LD + maintenance after dialysis</t>
        </is>
      </c>
      <c r="G393" s="3" t="inlineStr">
        <is>
          <t>'Half' or '1/4 of usual dose' by CrCl band; for CrCl &lt;15 'no adjustment provided'</t>
        </is>
      </c>
      <c r="H393" s="3" t="inlineStr">
        <is>
          <t>Fixed doses: CrCl 30–50 → 750 mg (HAP 1.5 g); CrCl 15–29 → 375 mg (HAP 750 mg); on HD → LD 750 mg then 150 mg q8h (HAP: LD 2.25 g then 450 mg q8h), given after dialysis. CrCl &lt;15 without HD: dose not established. The '1/4' reading of 15–29 does match 375 mg for cIAI/cUTI, but the site gives no HD dosing.</t>
        </is>
      </c>
      <c r="I393" s="3" t="inlineStr">
        <is>
          <t>US label §2.3 Table 3; Taiwan insert §2.2 表2; UK SmPC §4.2 Table 3</t>
        </is>
      </c>
      <c r="J393" s="3" t="inlineStr">
        <is>
          <t>Open</t>
        </is>
      </c>
      <c r="K393" s="3" t="inlineStr"/>
    </row>
    <row r="394">
      <c r="A394" s="3" t="n">
        <v>173</v>
      </c>
      <c r="B394" s="3" t="inlineStr">
        <is>
          <t>Zerbaxa (Ceftolozane-tazobactam) (ZER01)</t>
        </is>
      </c>
      <c r="C394" s="7" t="inlineStr">
        <is>
          <t>High</t>
        </is>
      </c>
      <c r="D394" s="3" t="inlineStr">
        <is>
          <t>Dosing – renal/dialysis</t>
        </is>
      </c>
      <c r="E394" s="3" t="inlineStr">
        <is>
          <t>Renal table outdated</t>
        </is>
      </c>
      <c r="F394" s="3" t="inlineStr">
        <is>
          <t>Add HD dosing: LD 750 mg then 150 mg q8h (HAP: 2.25 g then 450 mg q8h) after dialysis</t>
        </is>
      </c>
      <c r="G394" s="3" t="inlineStr">
        <is>
          <t>CrCl &lt;15: 'There are no dosage adjustments provided in the manufacturer's labeling.'</t>
        </is>
      </c>
      <c r="H394" s="3" t="inlineStr">
        <is>
          <t>For ESRD on haemodialysis the labels give a 750 mg loading dose then 150 mg q8h (cIAI/cUTI), or 2.25 g then 450 mg q8h (HAP/VAP), dosed after HD. Without HD the dose is not established (US). The CrCl 30–50 and 15–29 'half' / '1/4' statements are numerically correct.</t>
        </is>
      </c>
      <c r="I394" s="3" t="inlineStr">
        <is>
          <t>Taiwan insert §2.2 表2; US §2.3 Table 3; UK §4.2 Table 3</t>
        </is>
      </c>
      <c r="J394" s="3" t="inlineStr">
        <is>
          <t>Open</t>
        </is>
      </c>
      <c r="K394" s="3" t="inlineStr"/>
    </row>
    <row r="395">
      <c r="A395" s="3" t="n">
        <v>93</v>
      </c>
      <c r="B395" s="3" t="inlineStr">
        <is>
          <t>Zinforo (Ceftaroline) (ZIN04)</t>
        </is>
      </c>
      <c r="C395" s="7" t="inlineStr">
        <is>
          <t>High</t>
        </is>
      </c>
      <c r="D395" s="3" t="inlineStr">
        <is>
          <t>Dosing – pediatric</t>
        </is>
      </c>
      <c r="E395" s="3" t="inlineStr"/>
      <c r="F395" s="3" t="inlineStr">
        <is>
          <t>Add maximum 400 mg per dose for 12 mg/kg q8h standard pediatric dose</t>
        </is>
      </c>
      <c r="G395" s="3" t="inlineStr">
        <is>
          <t>2-12 years of old: 12 mg/kg Q8H (no maximum)</t>
        </is>
      </c>
      <c r="H395" s="3" t="inlineStr">
        <is>
          <t>12 mg/kg q8h to a maximum of 400 mg (standard dose) for ≥2 to &lt;12 y and for 12 to &lt;18 y weighing &lt;33 kg</t>
        </is>
      </c>
      <c r="I395" s="3" t="inlineStr">
        <is>
          <t>Taiwan insert 3.1 表1 — https://mcp.fda.gov.tw/im_detail_1/%E8%A1%9B%E9%83%A8%E8%97%A5%E8%BC%B8%E5%AD%97%E7%AC%AC026611%E8%99%9F</t>
        </is>
      </c>
      <c r="J395" s="3" t="inlineStr">
        <is>
          <t>Open</t>
        </is>
      </c>
      <c r="K395" s="3" t="inlineStr"/>
    </row>
    <row r="396">
      <c r="A396" s="3" t="n">
        <v>94</v>
      </c>
      <c r="B396" s="3" t="inlineStr">
        <is>
          <t>Zinforo (Ceftaroline) (ZIN04)</t>
        </is>
      </c>
      <c r="C396" s="7" t="inlineStr">
        <is>
          <t>High</t>
        </is>
      </c>
      <c r="D396" s="3" t="inlineStr">
        <is>
          <t>Dosing – pediatric</t>
        </is>
      </c>
      <c r="E396" s="3" t="inlineStr"/>
      <c r="F396" s="3" t="inlineStr">
        <is>
          <t>Fix truncated rows: 12–&lt;18 y ≥33 kg 600 mg q12h, &lt;33 kg 12 mg/kg max 400 mg; ESRD 200 mg q12h</t>
        </is>
      </c>
      <c r="G396" s="3" t="inlineStr">
        <is>
          <t>'12-18 years of old, weight' (cut off); renal table header '12-18 years old (weight' and the 'CrCl' row for &lt;15 cut off</t>
        </is>
      </c>
      <c r="H396" s="3" t="inlineStr">
        <is>
          <t>12 to &lt;18 y and ≥33 kg: 600 mg q12h; 12 to &lt;18 y and &lt;33 kg: 12 mg/kg (max 400 mg) q8h; renal ESRD 200 mg q12h for adults and adolescents ≥12 y and ≥33 kg only</t>
        </is>
      </c>
      <c r="I396" s="3" t="inlineStr">
        <is>
          <t>Taiwan insert 3.1 表1, 3.3 表2 — https://mcp.fda.gov.tw/im_detail_1/%E8%A1%9B%E9%83%A8%E8%97%A5%E8%BC%B8%E5%AD%97%E7%AC%AC026611%E8%99%9F</t>
        </is>
      </c>
      <c r="J396" s="3" t="inlineStr">
        <is>
          <t>Open</t>
        </is>
      </c>
      <c r="K396" s="3" t="inlineStr"/>
    </row>
    <row r="397">
      <c r="A397" s="3" t="n">
        <v>108</v>
      </c>
      <c r="B397" s="3" t="inlineStr">
        <is>
          <t>Zinforo (Ceftaroline) (ZIN04)</t>
        </is>
      </c>
      <c r="C397" s="7" t="inlineStr">
        <is>
          <t>High</t>
        </is>
      </c>
      <c r="D397" s="3" t="inlineStr">
        <is>
          <t>Dosing – pediatric</t>
        </is>
      </c>
      <c r="E397" s="3" t="inlineStr"/>
      <c r="F397" s="3" t="inlineStr">
        <is>
          <t>Fix rendering loss of '&lt;': restore &lt;33 kg, CrCl &lt;15/ESRD, and 600 mg q12h rows</t>
        </is>
      </c>
      <c r="G397" s="3" t="inlineStr">
        <is>
          <t>'12-18 years of old, weight 2-12 years of old: 12 mg/kg' and 'CrCl 200mg Q12H': text after '&lt;' is lost, so the &lt;33 kg and CrCl &lt;15/ESRD labels disappear, and the 12–&lt;18 y ≥33 kg 600 mg q12h row is unreadable</t>
        </is>
      </c>
      <c r="H397" s="3" t="inlineStr">
        <is>
          <t>12–&lt;18y ≥33 kg: 600 mg q12h; 12–&lt;18y &lt;33 kg and 2–&lt;12y: 12 mg/kg (max 400 mg) q8h; ESRD incl. HD: 200 mg q12h</t>
        </is>
      </c>
      <c r="I397" s="3" t="inlineStr">
        <is>
          <t>Taiwan insert 表1, 表2</t>
        </is>
      </c>
      <c r="J397" s="3" t="inlineStr">
        <is>
          <t>Open</t>
        </is>
      </c>
      <c r="K397" s="3" t="inlineStr"/>
    </row>
    <row r="398">
      <c r="A398" s="3" t="n">
        <v>109</v>
      </c>
      <c r="B398" s="3" t="inlineStr">
        <is>
          <t>Zinforo (Ceftaroline) (ZIN04)</t>
        </is>
      </c>
      <c r="C398" s="7" t="inlineStr">
        <is>
          <t>High</t>
        </is>
      </c>
      <c r="D398" s="3" t="inlineStr">
        <is>
          <t>Dosing – pediatric</t>
        </is>
      </c>
      <c r="E398" s="3" t="inlineStr"/>
      <c r="F398" s="3" t="inlineStr">
        <is>
          <t>Add max 400 mg per dose to 12 mg/kg q8h pediatric regimen</t>
        </is>
      </c>
      <c r="G398" s="3" t="inlineStr">
        <is>
          <t>2-12 years: 12 mg/kg Q8H (no maximum)</t>
        </is>
      </c>
      <c r="H398" s="3" t="inlineStr">
        <is>
          <t>12 mg/kg to a maximum of 400 mg q8h (standard dose)</t>
        </is>
      </c>
      <c r="I398" s="3" t="inlineStr">
        <is>
          <t>Taiwan insert 表1; UK SmPC Table 2</t>
        </is>
      </c>
      <c r="J398" s="3" t="inlineStr">
        <is>
          <t>Open</t>
        </is>
      </c>
      <c r="K398" s="3" t="inlineStr"/>
    </row>
    <row r="399">
      <c r="A399" s="3" t="n">
        <v>698</v>
      </c>
      <c r="B399" s="3" t="inlineStr">
        <is>
          <t>Zirocin (Azithromycin) (ZIR01, AZI01)</t>
        </is>
      </c>
      <c r="C399" s="7" t="inlineStr">
        <is>
          <t>High</t>
        </is>
      </c>
      <c r="D399" s="3" t="inlineStr">
        <is>
          <t>Adverse effects</t>
        </is>
      </c>
      <c r="E399" s="3" t="inlineStr">
        <is>
          <t>Missing SCAR (SJS/TEN/DRESS)</t>
        </is>
      </c>
      <c r="F399" s="3" t="inlineStr">
        <is>
          <t>Add QT/torsades, hepatotoxicity, SJS/TEN/DRESS/AGEP, CDAD, hearing loss, myasthenia; GI effects occur at standard doses</t>
        </is>
      </c>
      <c r="G399" s="3" t="inlineStr">
        <is>
          <t>Only GI effects: abdominal pain, diarrhea and nausea, "occur in high dose"</t>
        </is>
      </c>
      <c r="H399" s="3" t="inlineStr">
        <is>
          <t>GI effects occur at standard doses (US FDA 6.1: diarrhoea 4–5% and nausea 3% with multiple-dose regimens). Serious reactions the page leaves out: QT prolongation/torsades and CV death, hepatotoxicity incl. fatal hepatic failure, AGEP/SJS/TEN/DRESS, CDAD, hearing loss, myasthenia exacerbation (Zirocin 仿單 §5.1/§8.3; US FDA 5.1–5.7). The AZI01 page covers most of them.</t>
        </is>
      </c>
      <c r="I399" s="3" t="inlineStr">
        <is>
          <t>US FDA 5, 6: https://dailymed.nlm.nih.gov/dailymed/drugInfo.cfm?setid=db52b91e-79f7-4cc1-9564-f2eee8e31c45 ; Zirocin TW 仿單 §5.1, §8.3</t>
        </is>
      </c>
      <c r="J399" s="3" t="inlineStr">
        <is>
          <t>Open</t>
        </is>
      </c>
      <c r="K399" s="3" t="inlineStr"/>
    </row>
    <row r="400">
      <c r="A400" s="3" t="n">
        <v>709</v>
      </c>
      <c r="B400" s="3" t="inlineStr">
        <is>
          <t>Zirocin (Azithromycin) (ZIR01, AZI01)</t>
        </is>
      </c>
      <c r="C400" s="7" t="inlineStr">
        <is>
          <t>High</t>
        </is>
      </c>
      <c r="D400" s="3" t="inlineStr">
        <is>
          <t>Adverse effects</t>
        </is>
      </c>
      <c r="E400" s="3" t="inlineStr">
        <is>
          <t>Missing SCAR (SJS/TEN/DRESS)</t>
        </is>
      </c>
      <c r="F400" s="3" t="inlineStr">
        <is>
          <t>Add QT, hepatotoxicity, CDAD, AGEP/SJS/TEN/DRESS, anaphylaxis, hearing loss; GI at usual doses</t>
        </is>
      </c>
      <c r="G400" s="3" t="inlineStr">
        <is>
          <t>Abdominal pain, diarrhea, and nausea occur in high dose (GI only)</t>
        </is>
      </c>
      <c r="H400" s="3" t="inlineStr">
        <is>
          <t>Zirocin 仿單 §5.1/§8 and US 5–6 also list QT prolongation/torsades, hepatotoxicity (hepatic necrosis, failure, deaths), CDAD/pseudomembranous colitis, AGEP/SJS/TEN/DRESS, anaphylaxis, myasthenia exacerbation and hearing loss/tinnitus. GI effects also occur at usual doses: US 6 says diarrhea 5–14%, nausea 3–18%.</t>
        </is>
      </c>
      <c r="I400" s="3" t="inlineStr">
        <is>
          <t>Zirocin 仿單 §5.1, §8.1, §8.3: https://mcp.fda.gov.tw/im_detail_1/%E8%A1%9B%E7%BD%B2%E8%97%A5%E8%A3%BD%E5%AD%97%E7%AC%AC057842%E8%99%9F; US FDA ZITHROMAX 5, 6: https://dailymed.nlm.nih.gov/dailymed/drugInfo.cfm?setid=db52b91e-79f7-4cc1-9564-f2eee8e31c45</t>
        </is>
      </c>
      <c r="J400" s="3" t="inlineStr">
        <is>
          <t>Open</t>
        </is>
      </c>
      <c r="K400" s="3" t="inlineStr"/>
    </row>
    <row r="401">
      <c r="A401" s="3" t="n">
        <v>697</v>
      </c>
      <c r="B401" s="3" t="inlineStr">
        <is>
          <t>Zirocin (Azithromycin) (ZIR01, AZI01)</t>
        </is>
      </c>
      <c r="C401" s="7" t="inlineStr">
        <is>
          <t>High</t>
        </is>
      </c>
      <c r="D401" s="3" t="inlineStr">
        <is>
          <t>Contraindication/warning</t>
        </is>
      </c>
      <c r="E401" s="3" t="inlineStr"/>
      <c r="F401" s="3" t="inlineStr">
        <is>
          <t>Move liver impairment to precautions; add contraindication: prior azithromycin cholestatic jaundice/hepatic dysfunction</t>
        </is>
      </c>
      <c r="G401" s="3" t="inlineStr">
        <is>
          <t>1. Hypersensitivity to azithromycin or other macrolides; 2. Caution in patients with impaired liver function</t>
        </is>
      </c>
      <c r="H401" s="3" t="inlineStr">
        <is>
          <t>Liver impairment is a precaution, not a contraindication (Zirocin 仿單 §6.6: caution in severe liver disease; UK SmPC 4.2: no adjustment in Child-Pugh A/B). Contraindications are hypersensitivity to azithromycin, erythromycin, any macrolide or ketolide, or excipients (Zirocin 仿單 §4; UK SmPC 4.3). US FDA 4.2 adds a history of cholestatic jaundice/hepatic dysfunction with prior azithromycin, which the ZIR01 page leaves out; the AZI01 page includes it.</t>
        </is>
      </c>
      <c r="I401" s="3" t="inlineStr">
        <is>
          <t>Zirocin TW 仿單 §4/§6.6: https://mcp.fda.gov.tw/im_detail_1/%E8%A1%9B%E7%BD%B2%E8%97%A5%E8%A3%BD%E5%AD%97%E7%AC%AC057842%E8%99%9F ; US FDA 4.2</t>
        </is>
      </c>
      <c r="J401" s="3" t="inlineStr">
        <is>
          <t>Open</t>
        </is>
      </c>
      <c r="K401" s="3" t="inlineStr"/>
    </row>
    <row r="402">
      <c r="A402" s="3" t="n">
        <v>708</v>
      </c>
      <c r="B402" s="3" t="inlineStr">
        <is>
          <t>Zirocin (Azithromycin) (ZIR01, AZI01)</t>
        </is>
      </c>
      <c r="C402" s="7" t="inlineStr">
        <is>
          <t>High</t>
        </is>
      </c>
      <c r="D402" s="3" t="inlineStr">
        <is>
          <t>Contraindication/warning</t>
        </is>
      </c>
      <c r="E402" s="3" t="inlineStr"/>
      <c r="F402" s="3" t="inlineStr">
        <is>
          <t>Move liver caution to precautions; add prior cholestatic jaundice contraindication (US 4.2)</t>
        </is>
      </c>
      <c r="G402" s="3" t="inlineStr">
        <is>
          <t>2. Caution in patients with impaired liver function (listed as a contraindication)</t>
        </is>
      </c>
      <c r="H402" s="3" t="inlineStr">
        <is>
          <t>This is a precaution, not a contraindication. Zirocin 仿單 §4 lists only hypersensitivity to azithromycin, erythromycin, ketolides or other macrolides, or excipients. §6.6 says 嚴重肝病者應謹慎. The US label 4.2 adds a contraindication for a history of cholestatic jaundice or hepatic dysfunction with prior azithromycin; the ZIR01 page omits it (AZI01 page has it).</t>
        </is>
      </c>
      <c r="I402" s="3" t="inlineStr">
        <is>
          <t>Zirocin 仿單 §4, §6.6: https://mcp.fda.gov.tw/im_detail_1/%E8%A1%9B%E7%BD%B2%E8%97%A5%E8%A3%BD%E5%AD%97%E7%AC%AC057842%E8%99%9F; US FDA ZITHROMAX 4: https://dailymed.nlm.nih.gov/dailymed/drugInfo.cfm?setid=db52b91e-79f7-4cc1-9564-f2eee8e31c45</t>
        </is>
      </c>
      <c r="J402" s="3" t="inlineStr">
        <is>
          <t>Open</t>
        </is>
      </c>
      <c r="K402" s="3" t="inlineStr"/>
    </row>
    <row r="403">
      <c r="A403" s="3" t="n">
        <v>113</v>
      </c>
      <c r="B403" s="3" t="inlineStr">
        <is>
          <t>Zovirax (Acyclovir) (ZOV01, ACY01)</t>
        </is>
      </c>
      <c r="C403" s="7" t="inlineStr">
        <is>
          <t>High</t>
        </is>
      </c>
      <c r="D403" s="3" t="inlineStr">
        <is>
          <t>Dosing – adult</t>
        </is>
      </c>
      <c r="E403" s="3" t="inlineStr"/>
      <c r="F403" s="3" t="inlineStr">
        <is>
          <t>Adult varicella: 800 mg 4 times daily for 5 days (FDA)</t>
        </is>
      </c>
      <c r="G403" s="3" t="inlineStr">
        <is>
          <t>Varicella (chickenpox): 800 mg 5 times daily for &gt;5 to 7 days</t>
        </is>
      </c>
      <c r="H403" s="3" t="inlineStr">
        <is>
          <t>FDA tablet label: adults and children &gt;40 kg 800 mg 4 times daily for 5 days (Acylete insert gives no adult varicella regimen)</t>
        </is>
      </c>
      <c r="I403" s="3" t="inlineStr">
        <is>
          <t>https://dailymed.nlm.nih.gov/dailymed/drugInfo.cfm?setid=05f42300-2a06-45f1-a9b9-6e5c84ae58ec</t>
        </is>
      </c>
      <c r="J403" s="3" t="inlineStr">
        <is>
          <t>Open</t>
        </is>
      </c>
      <c r="K403" s="3" t="inlineStr"/>
    </row>
    <row r="404">
      <c r="A404" s="3" t="n">
        <v>125</v>
      </c>
      <c r="B404" s="3" t="inlineStr">
        <is>
          <t>Zovirax (Acyclovir) (ZOV01, ACY01)</t>
        </is>
      </c>
      <c r="C404" s="7" t="inlineStr">
        <is>
          <t>High</t>
        </is>
      </c>
      <c r="D404" s="3" t="inlineStr">
        <is>
          <t>Dosing – adult</t>
        </is>
      </c>
      <c r="E404" s="3" t="inlineStr"/>
      <c r="F404" s="3" t="inlineStr">
        <is>
          <t>VZV in immunocompetent: 5 mg/kg q8h; restrict 10 mg/kg q8h to immunocompromised VZV and HSE</t>
        </is>
      </c>
      <c r="G404" s="3" t="inlineStr">
        <is>
          <t>Herpes zoster: 10 mg/kg q8h; Varicella: 10 mg/kg q8h for 7 to 10 days (no immune-status qualifier)</t>
        </is>
      </c>
      <c r="H404" s="3" t="inlineStr">
        <is>
          <t>SmPC and TW 仿單: VZV in patients who are not immunocompromised is 5 mg/kg q8h; 10 mg/kg q8h is for immunocompromised patients with VZV, and for HSE.</t>
        </is>
      </c>
      <c r="I404" s="3" t="inlineStr">
        <is>
          <t>https://www.medicines.org.uk/emc/product/5472/smpc ; https://mcp.fda.gov.tw/insert/pdfcasefile/i_43ee63d3-02bb-4b8b-956a-0d7296e71d7e</t>
        </is>
      </c>
      <c r="J404" s="3" t="inlineStr">
        <is>
          <t>Open</t>
        </is>
      </c>
      <c r="K404" s="3" t="inlineStr"/>
    </row>
    <row r="405">
      <c r="A405" s="3" t="n">
        <v>121</v>
      </c>
      <c r="B405" s="3" t="inlineStr">
        <is>
          <t>Zovirax (Acyclovir) (ZOV01, ACY01)</t>
        </is>
      </c>
      <c r="C405" s="7" t="inlineStr">
        <is>
          <t>High</t>
        </is>
      </c>
      <c r="D405" s="3" t="inlineStr">
        <is>
          <t>Dosing – pediatric</t>
        </is>
      </c>
      <c r="E405" s="3" t="inlineStr"/>
      <c r="F405" s="3" t="inlineStr">
        <is>
          <t>Remove zoster 800 mg 5×/day from pediatric section; oral pediatric dosing only chickenpox 20 mg/kg QID ≥2 y</t>
        </is>
      </c>
      <c r="G405" s="3" t="inlineStr">
        <is>
          <t>Herpes zoster (shingles): 800 mg every 4 hours (5 doses per day) for 5 to 7 days (listed under pediatric dosing)</t>
        </is>
      </c>
      <c r="H405" s="3" t="inlineStr">
        <is>
          <t>Acylete 仿單: 對免疫功能健全的兒童…治療帶狀疱疹感染，尚無資料可查. The FDA tablet label gives oral paediatric dosing only for chickenpox (≥2 y, 20 mg/kg QID × 5 d).</t>
        </is>
      </c>
      <c r="I405" s="3" t="inlineStr">
        <is>
          <t>https://mcp.fda.gov.tw/insert/pdfcasefile/i_846aed79-8984-4d2b-8863-39852b6a0175 ; https://dailymed.nlm.nih.gov/dailymed/drugInfo.cfm?setid=05f42300-2a06-45f1-a9b9-6e5c84ae58ec</t>
        </is>
      </c>
      <c r="J405" s="3" t="inlineStr">
        <is>
          <t>Open</t>
        </is>
      </c>
      <c r="K405" s="3" t="inlineStr"/>
    </row>
    <row r="406">
      <c r="A406" s="3" t="n">
        <v>110</v>
      </c>
      <c r="B406" s="3" t="inlineStr">
        <is>
          <t>Zovirax (Acyclovir) (ZOV01, ACY01)</t>
        </is>
      </c>
      <c r="C406" s="7" t="inlineStr">
        <is>
          <t>High</t>
        </is>
      </c>
      <c r="D406" s="3" t="inlineStr">
        <is>
          <t>Dosing – renal/dialysis</t>
        </is>
      </c>
      <c r="E406" s="3" t="inlineStr">
        <is>
          <t>Renal table outdated</t>
        </is>
      </c>
      <c r="F406" s="3" t="inlineStr">
        <is>
          <t>ACY01 CrCl &lt;10 (usual 800 mg 5×/day): 800 mg q12h, not 200–400 mg</t>
        </is>
      </c>
      <c r="G406" s="3" t="inlineStr">
        <is>
          <t>CrCl&lt;10: 200 mg every 12 hours or 400 mg every 12 hours</t>
        </is>
      </c>
      <c r="H406" s="3" t="inlineStr">
        <is>
          <t>800 mg every 12 hours (FDA tablet label Table 3; Acylete TW insert: CrCl &lt;10 每日 2 次，每次 800mg)</t>
        </is>
      </c>
      <c r="I406" s="3" t="inlineStr">
        <is>
          <t>https://dailymed.nlm.nih.gov/dailymed/drugInfo.cfm?setid=05f42300-2a06-45f1-a9b9-6e5c84ae58ec ; https://mcp.fda.gov.tw/insert/pdfcasefile/i_846aed79-8984-4d2b-8863-39852b6a0175</t>
        </is>
      </c>
      <c r="J406" s="3" t="inlineStr">
        <is>
          <t>Open</t>
        </is>
      </c>
      <c r="K406" s="3" t="inlineStr"/>
    </row>
    <row r="407">
      <c r="A407" s="3" t="n">
        <v>111</v>
      </c>
      <c r="B407" s="3" t="inlineStr">
        <is>
          <t>Zovirax (Acyclovir) (ZOV01, ACY01)</t>
        </is>
      </c>
      <c r="C407" s="7" t="inlineStr">
        <is>
          <t>High</t>
        </is>
      </c>
      <c r="D407" s="3" t="inlineStr">
        <is>
          <t>Dosing – renal/dialysis</t>
        </is>
      </c>
      <c r="E407" s="3" t="inlineStr">
        <is>
          <t>Renal table outdated</t>
        </is>
      </c>
      <c r="F407" s="3" t="inlineStr">
        <is>
          <t>No adjustment at CrCl 10–25; reduce to 200 mg q12h only at CrCl &lt;10</t>
        </is>
      </c>
      <c r="G407" s="3" t="inlineStr">
        <is>
          <t>CrCl 10-25: No dosage adjustment necessary or reduce to 200 mg Q12H</t>
        </is>
      </c>
      <c r="H407" s="3" t="inlineStr">
        <is>
          <t>No adjustment at CrCl &gt;10; reduce to 200 mg q12h only at CrCl 0–10 (FDA tablet label Table 3; Acylete insert: adjust only when CrCl &lt;10)</t>
        </is>
      </c>
      <c r="I407" s="3" t="inlineStr">
        <is>
          <t>https://dailymed.nlm.nih.gov/dailymed/drugInfo.cfm?setid=05f42300-2a06-45f1-a9b9-6e5c84ae58ec ; https://mcp.fda.gov.tw/insert/pdfcasefile/i_846aed79-8984-4d2b-8863-39852b6a0175</t>
        </is>
      </c>
      <c r="J407" s="3" t="inlineStr">
        <is>
          <t>Open</t>
        </is>
      </c>
      <c r="K407" s="3" t="inlineStr"/>
    </row>
    <row r="408">
      <c r="A408" s="3" t="n">
        <v>114</v>
      </c>
      <c r="B408" s="3" t="inlineStr">
        <is>
          <t>Zovirax (Acyclovir) (ZOV01, ACY01)</t>
        </is>
      </c>
      <c r="C408" s="7" t="inlineStr">
        <is>
          <t>High</t>
        </is>
      </c>
      <c r="D408" s="3" t="inlineStr">
        <is>
          <t>Dosing – renal/dialysis</t>
        </is>
      </c>
      <c r="E408" s="3" t="inlineStr">
        <is>
          <t>Renal table outdated</t>
        </is>
      </c>
      <c r="F408" s="3" t="inlineStr">
        <is>
          <t>Apply renal steps to 10 mg/kg regimen too; add HD half dose q24h after dialysis</t>
        </is>
      </c>
      <c r="G408" s="3" t="inlineStr">
        <is>
          <t>ClCr 25–50: 5 mg/kg Q12H; 10–25: 5 mg/kg Q24H; &lt;10: 2.5 mg/kg Q24H (5 mg/kg regimen only; no HD instruction)</t>
        </is>
      </c>
      <c r="H408" s="3" t="inlineStr">
        <is>
          <t>TW insert 表1, UK SmPC and FDA all apply the steps to both the 5 and the 10 mg/kg regimens: 10 mg/kg q12h, then 10 mg/kg q24h, then 5 mg/kg q24h for HSE or immunocompromised VZV. HD: half dose q24h, given after dialysis. Following the hospital text for HSE would underdose by 50%.</t>
        </is>
      </c>
      <c r="I408" s="3" t="inlineStr">
        <is>
          <t>https://mcp.fda.gov.tw/insert/pdfcasefile/i_43ee63d3-02bb-4b8b-956a-0d7296e71d7e ; https://www.medicines.org.uk/emc/product/5472/smpc</t>
        </is>
      </c>
      <c r="J408" s="3" t="inlineStr">
        <is>
          <t>Open</t>
        </is>
      </c>
      <c r="K408" s="3" t="inlineStr"/>
    </row>
    <row r="409">
      <c r="A409" s="3" t="n">
        <v>118</v>
      </c>
      <c r="B409" s="3" t="inlineStr">
        <is>
          <t>Zovirax (Acyclovir) (ZOV01, ACY01)</t>
        </is>
      </c>
      <c r="C409" s="7" t="inlineStr">
        <is>
          <t>High</t>
        </is>
      </c>
      <c r="D409" s="3" t="inlineStr">
        <is>
          <t>Dosing – renal/dialysis</t>
        </is>
      </c>
      <c r="E409" s="3" t="inlineStr">
        <is>
          <t>Renal table outdated</t>
        </is>
      </c>
      <c r="F409" s="3" t="inlineStr">
        <is>
          <t>ACY01 800 mg regimen CrCl &lt;10: change to 800 mg q12h (FDA/TW insert); current text underdoses</t>
        </is>
      </c>
      <c r="G409" s="3" t="inlineStr">
        <is>
          <t>CrCl&lt;10: 200 mg every 12 hours or 400 mg every 12 hours</t>
        </is>
      </c>
      <c r="H409" s="3" t="inlineStr">
        <is>
          <t>800 mg every 12 hours (FDA tablet Table 3; Acylete 仿單: 嚴重腎衰竭 &lt;10 mL/min → 每日2次每次800mg). The hospital's text under-doses zoster four- to twofold.</t>
        </is>
      </c>
      <c r="I409" s="3" t="inlineStr">
        <is>
          <t>https://dailymed.nlm.nih.gov/dailymed/drugInfo.cfm?setid=05f42300-2a06-45f1-a9b9-6e5c84ae58ec ; https://mcp.fda.gov.tw/insert/pdfcasefile/i_846aed79-8984-4d2b-8863-39852b6a0175</t>
        </is>
      </c>
      <c r="J409" s="3" t="inlineStr">
        <is>
          <t>Open</t>
        </is>
      </c>
      <c r="K409" s="3" t="inlineStr"/>
    </row>
    <row r="410">
      <c r="A410" s="3" t="n">
        <v>119</v>
      </c>
      <c r="B410" s="3" t="inlineStr">
        <is>
          <t>Zovirax (Acyclovir) (ZOV01, ACY01)</t>
        </is>
      </c>
      <c r="C410" s="7" t="inlineStr">
        <is>
          <t>High</t>
        </is>
      </c>
      <c r="D410" s="3" t="inlineStr">
        <is>
          <t>Dosing – renal/dialysis</t>
        </is>
      </c>
      <c r="E410" s="3" t="inlineStr">
        <is>
          <t>Renal table outdated</t>
        </is>
      </c>
      <c r="F410" s="3" t="inlineStr">
        <is>
          <t>CrCl 10–25 HSV regimens: no adjustment; reduce to 200 mg q12h only at CrCl &lt;10</t>
        </is>
      </c>
      <c r="G410" s="3" t="inlineStr">
        <is>
          <t>CrCl 10-25: No dosage adjustment necessary or reduce to 200 mg Q12H</t>
        </is>
      </c>
      <c r="H410" s="3" t="inlineStr">
        <is>
          <t>No change for CrCl &gt;10; reduce to 200 mg q12h only at CrCl 0–10 (FDA tablet Table 3). Acylete 仿單 also reduces HSV dosing only at &lt;10 mL/min.</t>
        </is>
      </c>
      <c r="I410" s="3" t="inlineStr">
        <is>
          <t>https://dailymed.nlm.nih.gov/dailymed/drugInfo.cfm?setid=05f42300-2a06-45f1-a9b9-6e5c84ae58ec</t>
        </is>
      </c>
      <c r="J410" s="3" t="inlineStr">
        <is>
          <t>Open</t>
        </is>
      </c>
      <c r="K410" s="3" t="inlineStr"/>
    </row>
    <row r="411">
      <c r="A411" s="3" t="n">
        <v>123</v>
      </c>
      <c r="B411" s="3" t="inlineStr">
        <is>
          <t>Zovirax (Acyclovir) (ZOV01, ACY01)</t>
        </is>
      </c>
      <c r="C411" s="7" t="inlineStr">
        <is>
          <t>High</t>
        </is>
      </c>
      <c r="D411" s="3" t="inlineStr">
        <is>
          <t>Dosing – renal/dialysis</t>
        </is>
      </c>
      <c r="E411" s="3" t="inlineStr">
        <is>
          <t>Renal table outdated</t>
        </is>
      </c>
      <c r="F411" s="3" t="inlineStr">
        <is>
          <t>Add 10 mg/kg regimen renal bands, HD dosing (half dose q24h post-HD) and pediatric renal table</t>
        </is>
      </c>
      <c r="G411" s="3" t="inlineStr">
        <is>
          <t>ClCr 25–50: 5 mg/kg Q12H; 10–25: 5 mg/kg Q24H; &lt;10: 2.5 mg/kg Q24H (5 mg/kg regimen only; no HD guidance)</t>
        </is>
      </c>
      <c r="H411" s="3" t="inlineStr">
        <is>
          <t>Correct for the 5 mg/kg regimen. The page omits the 10 mg/kg regimen (HSE, or VZV in immunocompromised patients), which is 10 mg/kg q12h / 10 mg/kg q24h / 5 mg/kg q24h, even though its own dosing section uses 10 mg/kg. It also omits haemodialysis: half dose q24h after dialysis. Paediatric renal Table 2 (20 → 20 q12h → 10 q12h → 5 mg/kg q12h) is absent and the 小兒調整劑量 field is empty.</t>
        </is>
      </c>
      <c r="I411" s="3" t="inlineStr">
        <is>
          <t>https://mcp.fda.gov.tw/insert/pdfcasefile/i_43ee63d3-02bb-4b8b-956a-0d7296e71d7e ; https://www.medicines.org.uk/emc/product/5472/smpc</t>
        </is>
      </c>
      <c r="J411" s="3" t="inlineStr">
        <is>
          <t>Open</t>
        </is>
      </c>
      <c r="K411" s="3" t="inlineStr"/>
    </row>
    <row r="412">
      <c r="A412" s="3" t="n">
        <v>449</v>
      </c>
      <c r="B412" s="3" t="inlineStr">
        <is>
          <t>Zyvox (Linezolid) (ZYV01, ZYV02)</t>
        </is>
      </c>
      <c r="C412" s="7" t="inlineStr">
        <is>
          <t>High</t>
        </is>
      </c>
      <c r="D412" s="3" t="inlineStr">
        <is>
          <t>Contraindication/warning</t>
        </is>
      </c>
      <c r="E412" s="3" t="inlineStr"/>
      <c r="F412" s="3" t="inlineStr">
        <is>
          <t>Add contraindication: MAO-A/B inhibitors or within 2 weeks; fill ZYV02 field</t>
        </is>
      </c>
      <c r="G412" s="3" t="inlineStr">
        <is>
          <t>ZYV01: hypersensitivity only; ZYV02: blank</t>
        </is>
      </c>
      <c r="H412" s="3" t="inlineStr">
        <is>
          <t>US label §4 / Taiwan insert §4: (4.1) hypersensitivity to linezolid or product components; (4.2) patients taking any MAO-A/B inhibitor (e.g., phenelzine, isocarboxazid) or within two weeks of taking one. UK SmPC 4.3 adds conditional contraindications: uncontrolled hypertension, pheochromocytoma, carcinoid, thyrotoxicosis, and serotonergic/adrenergic co-medication unless close monitoring is available.</t>
        </is>
      </c>
      <c r="I412" s="3" t="inlineStr">
        <is>
          <t>US FDA label §4; Taiwan insert §4 禁忌 - https://mcp.fda.gov.tw/im_detail_1/%E8%A1%9B%E7%BD%B2%E8%97%A5%E8%BC%B8%E5%AD%97%E7%AC%AC023181%E8%99%9F; UK SmPC §4.3 - https://www.medicines.org.uk/emc/product/1688/smpc</t>
        </is>
      </c>
      <c r="J412" s="3" t="inlineStr">
        <is>
          <t>Open</t>
        </is>
      </c>
      <c r="K412" s="3" t="inlineStr"/>
    </row>
    <row r="413">
      <c r="A413" s="3" t="n">
        <v>451</v>
      </c>
      <c r="B413" s="3" t="inlineStr">
        <is>
          <t>Zyvox (Linezolid) (ZYV01, ZYV02)</t>
        </is>
      </c>
      <c r="C413" s="7" t="inlineStr">
        <is>
          <t>High</t>
        </is>
      </c>
      <c r="D413" s="3" t="inlineStr">
        <is>
          <t>Contraindication/warning</t>
        </is>
      </c>
      <c r="E413" s="3" t="inlineStr"/>
      <c r="F413" s="3" t="inlineStr">
        <is>
          <t>Add weekly CBC monitoring, visual monitoring ≥3 months, sodium, BP with adrenergics</t>
        </is>
      </c>
      <c r="G413" s="3" t="inlineStr">
        <is>
          <t>No CBC monitoring recommendation (ZYV02 notes only that myelosuppression is more common beyond 2 weeks)</t>
        </is>
      </c>
      <c r="H413" s="3" t="inlineStr">
        <is>
          <t>Monitor complete blood counts weekly in all patients, particularly with therapy &gt;2 weeks, pre-existing myelosuppression, severe renal or moderate–severe hepatic impairment, or myelosuppressive co-medication. Also: visual function with therapy ≥3 months, serum sodium in at-risk patients, and blood pressure with adrenergic agents.</t>
        </is>
      </c>
      <c r="I413" s="3" t="inlineStr">
        <is>
          <t>US FDA label §5.1, §5.2, §5.6, §5.11; Taiwan insert 5.1.1 (應每週監測全血球計數)</t>
        </is>
      </c>
      <c r="J413" s="3" t="inlineStr">
        <is>
          <t>Open</t>
        </is>
      </c>
      <c r="K413" s="3" t="inlineStr"/>
    </row>
    <row r="414">
      <c r="A414" s="3" t="n">
        <v>456</v>
      </c>
      <c r="B414" s="3" t="inlineStr">
        <is>
          <t>Zyvox (Linezolid) (ZYV01, ZYV02)</t>
        </is>
      </c>
      <c r="C414" s="7" t="inlineStr">
        <is>
          <t>High</t>
        </is>
      </c>
      <c r="D414" s="3" t="inlineStr">
        <is>
          <t>Contraindication/warning</t>
        </is>
      </c>
      <c r="E414" s="3" t="inlineStr"/>
      <c r="F414" s="3" t="inlineStr">
        <is>
          <t>Add MAOI contraindication (within 2 weeks); UK conditional contraindications</t>
        </is>
      </c>
      <c r="G414" s="3" t="inlineStr">
        <is>
          <t>ZYV01 lists only hypersensitivity; ZYV02 lists nothing</t>
        </is>
      </c>
      <c r="H414" s="3" t="inlineStr">
        <is>
          <t>Also contraindicated in patients taking any MAO-A/B inhibitor (e.g., phenelzine, isocarboxazid) or within 2 weeks of taking one. The UK SmPC also contraindicates use, unless blood pressure and the patient can be closely monitored, with uncontrolled hypertension, pheochromocytoma, carcinoid, thyrotoxicosis, or concomitant SSRIs/TCAs/triptans/sympathomimetics/vasopressors/dopaminergics/pethidine/buspirone.</t>
        </is>
      </c>
      <c r="I414" s="3" t="inlineStr">
        <is>
          <t>US label §4.2; Taiwan 仿單 §4.2; UK SmPC 4.3</t>
        </is>
      </c>
      <c r="J414" s="3" t="inlineStr">
        <is>
          <t>Open</t>
        </is>
      </c>
      <c r="K414" s="3" t="inlineStr"/>
    </row>
    <row r="415">
      <c r="A415" s="3" t="n">
        <v>458</v>
      </c>
      <c r="B415" s="3" t="inlineStr">
        <is>
          <t>Zyvox (Linezolid) (ZYV01, ZYV02)</t>
        </is>
      </c>
      <c r="C415" s="7" t="inlineStr">
        <is>
          <t>High</t>
        </is>
      </c>
      <c r="D415" s="3" t="inlineStr">
        <is>
          <t>Contraindication/warning</t>
        </is>
      </c>
      <c r="E415" s="3" t="inlineStr"/>
      <c r="F415" s="3" t="inlineStr">
        <is>
          <t>Add weekly CBC monitoring and related monitoring warnings</t>
        </is>
      </c>
      <c r="G415" s="3" t="inlineStr">
        <is>
          <t>No mention of weekly CBC monitoring</t>
        </is>
      </c>
      <c r="H415" s="3" t="inlineStr">
        <is>
          <t>Monitor CBC weekly in all patients, particularly with therapy &gt;2 weeks, pre-existing myelosuppression, severe renal or moderate–severe hepatic impairment, or concomitant myelosuppressive drugs. Also: visual function with therapy ≥3 months, serum sodium in at-risk patients, and blood pressure with adrenergic agents.</t>
        </is>
      </c>
      <c r="I415" s="3" t="inlineStr">
        <is>
          <t>US label §5.1, §5.2, §5.6, §5.11; Taiwan 仿單 §5.1.1; UK SmPC 4.4</t>
        </is>
      </c>
      <c r="J415" s="3" t="inlineStr">
        <is>
          <t>Open</t>
        </is>
      </c>
      <c r="K415" s="3" t="inlineStr"/>
    </row>
    <row r="416">
      <c r="A416" s="3" t="n">
        <v>450</v>
      </c>
      <c r="B416" s="3" t="inlineStr">
        <is>
          <t>Zyvox (Linezolid) (ZYV01, ZYV02)</t>
        </is>
      </c>
      <c r="C416" s="7" t="inlineStr">
        <is>
          <t>High</t>
        </is>
      </c>
      <c r="D416" s="3" t="inlineStr">
        <is>
          <t>Dosing – pediatric</t>
        </is>
      </c>
      <c r="E416" s="3" t="inlineStr"/>
      <c r="F416" s="3" t="inlineStr">
        <is>
          <t>Fix neonatal dosing: 10 mg/kg q8h birth–11 y; preterm &lt;7 days start q12h</t>
        </is>
      </c>
      <c r="G416" s="3" t="inlineStr">
        <is>
          <t>ZYV01: 'Neonates 10 mg/kg Q12H'; ZYV02: 'neonates 7 days of age: 10 mg/kg Q8H' (garbled)</t>
        </is>
      </c>
      <c r="H416" s="3" t="inlineStr">
        <is>
          <t>Birth–11 y: 10 mg/kg IV/PO q8h. Preterm neonates (GA &lt;34 wk) &lt;7 days: start 10 mg/kg q12h, consider q8h if response is suboptimal; all neonates should be on 10 mg/kg q8h by 7 days of life. uSSSI: &lt;5 y 10 mg/kg PO q8h, 5–11 y 10 mg/kg PO q12h. ≥12 y: 600 mg q12h.</t>
        </is>
      </c>
      <c r="I416" s="3" t="inlineStr">
        <is>
          <t>US FDA label §2.1 Table 1, §8.4; Taiwan insert §3.1 表一 footnote †</t>
        </is>
      </c>
      <c r="J416" s="3" t="inlineStr">
        <is>
          <t>Open</t>
        </is>
      </c>
      <c r="K416" s="3" t="inlineStr"/>
    </row>
    <row r="417">
      <c r="A417" s="3" t="n">
        <v>457</v>
      </c>
      <c r="B417" s="3" t="inlineStr">
        <is>
          <t>Zyvox (Linezolid) (ZYV01, ZYV02)</t>
        </is>
      </c>
      <c r="C417" s="7" t="inlineStr">
        <is>
          <t>High</t>
        </is>
      </c>
      <c r="D417" s="3" t="inlineStr">
        <is>
          <t>Dosing – pediatric</t>
        </is>
      </c>
      <c r="E417" s="3" t="inlineStr"/>
      <c r="F417" s="3" t="inlineStr">
        <is>
          <t>Fix neonatal dosing per label: q8h by day 7; birth–11 y 10 mg/kg q8h</t>
        </is>
      </c>
      <c r="G417" s="3" t="inlineStr">
        <is>
          <t>ZYV01: 'Neonates 10 mg/kg Q12H'; ZYV02: 'neonates 7 days of age: 10 mg/kg Q8H'</t>
        </is>
      </c>
      <c r="H417" s="3" t="inlineStr">
        <is>
          <t>Preterm neonates (&lt;34 wk GA) under 7 days old start at 10 mg/kg q12h and may move to q8h if response is poor; all neonates should be on 10 mg/kg q8h by day 7 of life. Birth to 11 years: 10 mg/kg q8h. For uSSSI: under 5 y 10 mg/kg PO q8h; 5–11 y 10 mg/kg PO q12h. ≥12 y: 600 mg q12h.</t>
        </is>
      </c>
      <c r="I417" s="3" t="inlineStr">
        <is>
          <t>US label §2.1 Table 1, §8.4; Taiwan 仿單 §3.1 表一 footnote †</t>
        </is>
      </c>
      <c r="J417" s="3" t="inlineStr">
        <is>
          <t>Open</t>
        </is>
      </c>
      <c r="K417" s="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14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0" customWidth="1" min="3" max="3"/>
    <col width="22" customWidth="1" min="4" max="4"/>
    <col width="20" customWidth="1" min="5" max="5"/>
    <col width="40" customWidth="1" min="6" max="6"/>
    <col width="45" customWidth="1" min="7" max="7"/>
    <col width="45" customWidth="1" min="8" max="8"/>
    <col width="40" customWidth="1" min="9" max="9"/>
    <col width="14" customWidth="1" min="10" max="10"/>
    <col width="30" customWidth="1" min="11" max="11"/>
  </cols>
  <sheetData>
    <row r="1">
      <c r="A1" s="6" t="inlineStr">
        <is>
          <t>ID</t>
        </is>
      </c>
      <c r="B1" s="6" t="inlineStr">
        <is>
          <t>Drug (hospital code)</t>
        </is>
      </c>
      <c r="C1" s="6" t="inlineStr">
        <is>
          <t>Severity</t>
        </is>
      </c>
      <c r="D1" s="6" t="inlineStr">
        <is>
          <t>Category</t>
        </is>
      </c>
      <c r="E1" s="6" t="inlineStr">
        <is>
          <t>Recurring pattern</t>
        </is>
      </c>
      <c r="F1" s="6" t="inlineStr">
        <is>
          <t>Suggested action</t>
        </is>
      </c>
      <c r="G1" s="6" t="inlineStr">
        <is>
          <t>Hospital database says</t>
        </is>
      </c>
      <c r="H1" s="6" t="inlineStr">
        <is>
          <t>Official source says</t>
        </is>
      </c>
      <c r="I1" s="6" t="inlineStr">
        <is>
          <t>Source</t>
        </is>
      </c>
      <c r="J1" s="6" t="inlineStr">
        <is>
          <t>DI team status</t>
        </is>
      </c>
      <c r="K1" s="6" t="inlineStr">
        <is>
          <t>DI team notes</t>
        </is>
      </c>
    </row>
    <row r="2">
      <c r="A2" s="3" t="n">
        <v>1200</v>
      </c>
      <c r="B2" s="3" t="inlineStr">
        <is>
          <t>Akurit-4 / Akurit-3 (TB fixed-dose combinations) (AKU02, AKU01)</t>
        </is>
      </c>
      <c r="C2" s="7" t="inlineStr">
        <is>
          <t>High</t>
        </is>
      </c>
      <c r="D2" s="3" t="inlineStr">
        <is>
          <t>Contraindication/warning</t>
        </is>
      </c>
      <c r="E2" s="3" t="inlineStr"/>
      <c r="F2" s="3" t="inlineStr">
        <is>
          <t>Add Akurit-3 contraindications: severe hepatic impairment, acute liver disease, acute gout.</t>
        </is>
      </c>
      <c r="G2" s="3" t="inlineStr">
        <is>
          <t>Lists hypersensitivity, ART, previous INH hepatic injury, severe INH reactions and optic neuritis only</t>
        </is>
      </c>
      <c r="H2" s="3" t="inlineStr">
        <is>
          <t>The Akurit-3 insert also contraindicates severe hepatic impairment, acute liver disease of any cause and acute gout</t>
        </is>
      </c>
      <c r="I2" s="3" t="inlineStr">
        <is>
          <t>TW 仿單 Akurit-3 §4 禁忌 — https://mcp.fda.gov.tw/im_detail_1/%E8%A1%9B%E7%BD%B2%E8%97%A5%E8%BC%B8%E5%AD%97%E7%AC%AC025519%E8%99%9F</t>
        </is>
      </c>
      <c r="J2" s="3" t="inlineStr">
        <is>
          <t>Open</t>
        </is>
      </c>
      <c r="K2" s="3" t="inlineStr"/>
    </row>
    <row r="3">
      <c r="A3" s="3" t="n">
        <v>1203</v>
      </c>
      <c r="B3" s="3" t="inlineStr">
        <is>
          <t>Akurit-4 / Akurit-3 (TB fixed-dose combinations) (AKU02, AKU01)</t>
        </is>
      </c>
      <c r="C3" s="7" t="inlineStr">
        <is>
          <t>High</t>
        </is>
      </c>
      <c r="D3" s="3" t="inlineStr">
        <is>
          <t>Dosing – adult</t>
        </is>
      </c>
      <c r="E3" s="3" t="inlineStr"/>
      <c r="F3" s="3" t="inlineStr">
        <is>
          <t>Add caveat to &gt;70 kg 5-tablet dose: 'may consider', follow TW CDC guideline, INH 300/RIF 600 mg caps.</t>
        </is>
      </c>
      <c r="G3" s="3" t="inlineStr">
        <is>
          <t>Body weight &gt;70 kg: 5 tab PO QD</t>
        </is>
      </c>
      <c r="H3" s="3" t="inlineStr">
        <is>
          <t>The insert says ≥71 kg 5 tablets 「可考慮」 and to follow the TW CDC 結核病診治指引, which caps INH at 300 mg and RIF at 600 mg. Five tablets give RIF 750 and INH 375 mg, over that cap, and the hospital page drops the caveat.</t>
        </is>
      </c>
      <c r="I3" s="3" t="inlineStr">
        <is>
          <t>TW 仿單 Akurit-4/Akurit-3 §3.1 — https://mcp.fda.gov.tw/im_detail_1/%E8%A1%9B%E7%BD%B2%E8%97%A5%E8%BC%B8%E5%AD%97%E7%AC%AC025518%E8%99%9F</t>
        </is>
      </c>
      <c r="J3" s="3" t="inlineStr">
        <is>
          <t>Open</t>
        </is>
      </c>
      <c r="K3" s="3" t="inlineStr"/>
    </row>
    <row r="4">
      <c r="A4" s="3" t="n">
        <v>1211</v>
      </c>
      <c r="B4" s="3" t="inlineStr">
        <is>
          <t>Akurit-4 / Akurit-3 (TB fixed-dose combinations) (AKU02, AKU01)</t>
        </is>
      </c>
      <c r="C4" s="7" t="inlineStr">
        <is>
          <t>High</t>
        </is>
      </c>
      <c r="D4" s="3" t="inlineStr">
        <is>
          <t>Dosing – adult</t>
        </is>
      </c>
      <c r="E4" s="3" t="inlineStr"/>
      <c r="F4" s="3" t="inlineStr">
        <is>
          <t>Add caveat to 5-tablet &gt;70 kg dose: exceeds INH 300/RIF 600 mg max; follow TW CDC guideline.</t>
        </is>
      </c>
      <c r="G4" s="3" t="inlineStr">
        <is>
          <t>Body weight &gt;70 kg: 5 tab PO QD, with no caveat.</t>
        </is>
      </c>
      <c r="H4" s="3" t="inlineStr">
        <is>
          <t>The 仿單 says ≥71 kg 5 tablets 「可考慮」, but refers dosing to the 疾管署結核病診治指引 and states the daily maximum of INH 300 mg and RIF 600 mg. 5 tablets delivers RIF 750 mg and INH 375 mg.</t>
        </is>
      </c>
      <c r="I4" s="3" t="inlineStr">
        <is>
          <t>Akurit-4/Akurit-3 仿單 §3.1 https://mcp.fda.gov.tw/im_detail_1/%E8%A1%9B%E7%BD%B2%E8%97%A5%E8%BC%B8%E5%AD%97%E7%AC%AC025518%E8%99%9F</t>
        </is>
      </c>
      <c r="J4" s="3" t="inlineStr">
        <is>
          <t>Open</t>
        </is>
      </c>
      <c r="K4" s="3" t="inlineStr"/>
    </row>
    <row r="5">
      <c r="A5" s="3" t="n">
        <v>1204</v>
      </c>
      <c r="B5" s="3" t="inlineStr">
        <is>
          <t>Akurit-4 / Akurit-3 (TB fixed-dose combinations) (AKU02, AKU01)</t>
        </is>
      </c>
      <c r="C5" s="7" t="inlineStr">
        <is>
          <t>High</t>
        </is>
      </c>
      <c r="D5" s="3" t="inlineStr">
        <is>
          <t>Dosing – renal/dialysis</t>
        </is>
      </c>
      <c r="E5" s="3" t="inlineStr"/>
      <c r="F5" s="3" t="inlineStr">
        <is>
          <t>Fill renal/hepatic fields: FDC unsuitable at CrCl&lt;30/HD (EMB adjustment); contraindicated in acute liver disease.</t>
        </is>
      </c>
      <c r="G5" s="3" t="inlineStr">
        <is>
          <t>AKU01: renal field blank, and the adjacent hepatic field reads 'There are no dosage adjustments provided in the manufacturer's labeling; use with caution.' AKU02: both renal and hepatic fields are blank.</t>
        </is>
      </c>
      <c r="H5" s="3" t="inlineStr">
        <is>
          <t>Both inserts state that ethambutol must be reduced by serum level in renal impairment, so the fixed tablet is unsuitable at CrCl &lt;30 or on HD. They also contraindicate acute liver disease, and Akurit-3 contraindicates severe hepatic impairment.</t>
        </is>
      </c>
      <c r="I5" s="3" t="inlineStr">
        <is>
          <t>TW 仿單 Akurit-3 §5.1 Ethambutol and §4 — https://mcp.fda.gov.tw/im_detail_1/%E8%A1%9B%E7%BD%B2%E8%97%A5%E8%BC%B8%E5%AD%97%E7%AC%AC025519%E8%99%9F; US ethambutol label PRECAUTIONS</t>
        </is>
      </c>
      <c r="J5" s="3" t="inlineStr">
        <is>
          <t>Open</t>
        </is>
      </c>
      <c r="K5" s="3" t="inlineStr"/>
    </row>
    <row r="6">
      <c r="A6" s="3" t="n">
        <v>1212</v>
      </c>
      <c r="B6" s="3" t="inlineStr">
        <is>
          <t>Akurit-4 / Akurit-3 (TB fixed-dose combinations) (AKU02, AKU01)</t>
        </is>
      </c>
      <c r="C6" s="7" t="inlineStr">
        <is>
          <t>High</t>
        </is>
      </c>
      <c r="D6" s="3" t="inlineStr">
        <is>
          <t>Dosing – renal/dialysis</t>
        </is>
      </c>
      <c r="E6" s="3" t="inlineStr"/>
      <c r="F6" s="3" t="inlineStr">
        <is>
          <t>State FDC unsuitable for CrCl&lt;30/HD; use single agents thrice weekly; add severe hepatic impairment contraindication.</t>
        </is>
      </c>
      <c r="G6" s="3" t="inlineStr">
        <is>
          <t>AKU01: 'There are no dosage adjustments provided in the manufacturer's labeling; use with caution.' AKU02: renal field empty.</t>
        </is>
      </c>
      <c r="H6" s="3" t="inlineStr">
        <is>
          <t>Both inserts §5.1 say ethambutol must be reduced according to serum levels in renal impairment. The FDC cannot be adjusted, so CrCl &lt;30 or HD needs single agents (UK EMB SmPC §4.2: 15–25 mg/kg 3×/week; ATS 2016: PZA/EMB thrice weekly after HD). The Akurit-3 insert also contraindicates use in severe hepatic impairment.</t>
        </is>
      </c>
      <c r="I6" s="3" t="inlineStr">
        <is>
          <t>Akurit-3 仿單 §4, §5.1 https://mcp.fda.gov.tw/im_detail_1/%E8%A1%9B%E7%BD%B2%E8%97%A5%E8%BC%B8%E5%AD%97%E7%AC%AC025519%E8%99%9F ; UK Ethambutol SmPC §4.2 https://www.medicines.org.uk/emc/product/14174/smpc</t>
        </is>
      </c>
      <c r="J6" s="3" t="inlineStr">
        <is>
          <t>Open</t>
        </is>
      </c>
      <c r="K6" s="3" t="inlineStr"/>
    </row>
    <row r="7">
      <c r="A7" s="3" t="n">
        <v>1199</v>
      </c>
      <c r="B7" s="3" t="inlineStr">
        <is>
          <t>Akurit-4 / Akurit-3 (TB fixed-dose combinations) (AKU02, AKU01)</t>
        </is>
      </c>
      <c r="C7" s="7" t="inlineStr">
        <is>
          <t>High</t>
        </is>
      </c>
      <c r="D7" s="3" t="inlineStr">
        <is>
          <t>Drug interaction</t>
        </is>
      </c>
      <c r="E7" s="3" t="inlineStr">
        <is>
          <t>Interaction list incomplete</t>
        </is>
      </c>
      <c r="F7" s="3" t="inlineStr">
        <is>
          <t>Add contraindicated fosamprenavir, cabotegravir, fostemsavir, lenacapavir, praziquantel, lurasidone; cite ARV label source for rilpivirine/EVG.</t>
        </is>
      </c>
      <c r="G7" s="3" t="inlineStr">
        <is>
          <t>Concomitant atazanavir, darunavir, saquinavir, tipranavir, rilpivirine or elvitegravir/cobicistat</t>
        </is>
      </c>
      <c r="H7" s="3" t="inlineStr">
        <is>
          <t>The US rifampin label contraindicates atazanavir, darunavir, fosamprenavir, saquinavir, tipranavir, ritonavir-boosted saquinavir, cabotegravir, fostemsavir, lenacapavir (Sunlenca), praziquantel and lurasidone. UK SmPC adds sofosbuvir, daclatasvir, telaprevir and jaundice. The hospital list leaves out fosamprenavir, cabotegravir, fostemsavir, lenacapavir, praziquantel and lurasidone. Rilpivirine and EVG/c are not in the rifampin label, although their own labels contraindicate rifampin.</t>
        </is>
      </c>
      <c r="I7" s="3" t="inlineStr">
        <is>
          <t>US rifampin label CONTRAINDICATIONS — https://dailymed.nlm.nih.gov/dailymed/drugInfo.cfm?setid=50f706f9-5003-4e15-bece-85b6213b1f5c; UK Rifater SmPC 4.3 — https://www.medicines.org.uk/emc/product/1596/smpc</t>
        </is>
      </c>
      <c r="J7" s="3" t="inlineStr">
        <is>
          <t>Open</t>
        </is>
      </c>
      <c r="K7" s="3" t="inlineStr"/>
    </row>
    <row r="8">
      <c r="A8" s="3" t="n">
        <v>1208</v>
      </c>
      <c r="B8" s="3" t="inlineStr">
        <is>
          <t>Akurit-4 / Akurit-3 (TB fixed-dose combinations) (AKU02, AKU01)</t>
        </is>
      </c>
      <c r="C8" s="7" t="inlineStr">
        <is>
          <t>High</t>
        </is>
      </c>
      <c r="D8" s="3" t="inlineStr">
        <is>
          <t>Drug interaction</t>
        </is>
      </c>
      <c r="E8" s="3" t="inlineStr">
        <is>
          <t>Interaction list incomplete</t>
        </is>
      </c>
      <c r="F8" s="3" t="inlineStr">
        <is>
          <t>Expand rifampin contraindicated list with fosamprenavir, cabotegravir, fostemsavir, lenacapavir, praziquantel, lurasidone, sofosbuvir etc.</t>
        </is>
      </c>
      <c r="G8" s="3" t="inlineStr">
        <is>
          <t>Lists concomitant atazanavir, darunavir, saquinavir, tipranavir, rilpivirine or elvitegravir/cobicistat.</t>
        </is>
      </c>
      <c r="H8" s="3" t="inlineStr">
        <is>
          <t>The list is incomplete compared with the rifampin labels. The US label also contraindicates fosamprenavir, cabotegravir, fostemsavir, lenacapavir, praziquantel and lurasidone, plus saquinavir/ritonavir for hepatotoxicity. The UK Rifater SmPC adds sofosbuvir, daclatasvir and telaprevir. Rilpivirine and elvitegravir/cobicistat are not in the rifampin label contraindications (they come from the ARV labels).</t>
        </is>
      </c>
      <c r="I8" s="3" t="inlineStr">
        <is>
          <t>US rifampin label, Contraindications https://dailymed.nlm.nih.gov/dailymed/drugInfo.cfm?setid=50f706f9-5003-4e15-bece-85b6213b1f5c ; UK Rifater SmPC §4.3 https://www.medicines.org.uk/emc/product/1596/smpc</t>
        </is>
      </c>
      <c r="J8" s="3" t="inlineStr">
        <is>
          <t>Open</t>
        </is>
      </c>
      <c r="K8" s="3" t="inlineStr"/>
    </row>
    <row r="9">
      <c r="A9" s="3" t="n">
        <v>223</v>
      </c>
      <c r="B9" s="3" t="inlineStr">
        <is>
          <t>Amikacin (AMI12)</t>
        </is>
      </c>
      <c r="C9" s="7" t="inlineStr">
        <is>
          <t>High</t>
        </is>
      </c>
      <c r="D9" s="3" t="inlineStr">
        <is>
          <t>Dosing – adult</t>
        </is>
      </c>
      <c r="E9" s="3" t="inlineStr"/>
      <c r="F9" s="3" t="inlineStr">
        <is>
          <t>State label max 15 mg/kg/day (≤1.5 g/day); mark higher/intrathecal regimens off-label with citations</t>
        </is>
      </c>
      <c r="G9" s="3" t="inlineStr">
        <is>
          <t>Bloodstream infection IV 15–30 mg/kg once daily; CF 30–35 mg/kg once daily; intraventricular/intrathecal 5–50 mg/day; other off-label regimens</t>
        </is>
      </c>
      <c r="H9" s="3" t="inlineStr">
        <is>
          <t>US: total daily dose ≤15 mg/kg/day in 2–3 doses; heavy patients ≤1.5 g/day. UK: 15 mg/kg/day (once daily only if CrCl ≥50), ≤1.5 g/day. TW (stocked product): 7.5–15 mg/kg/day ÷2, ≤1.5 g/day. No label gives an intrathecal dose; the UK SmPC mentions only 0.25% irrigation of the cerebral ventricles.</t>
        </is>
      </c>
      <c r="I9" s="3" t="inlineStr">
        <is>
          <t>US D&amp;A; UK SmPC 4.2; Taiwan insert 3.1 – https://mcp.fda.gov.tw/im_detail_1/%E8%A1%9B%E7%BD%B2%E8%97%A5%E8%A3%BD%E5%AD%97%E7%AC%AC024198%E8%99%9F</t>
        </is>
      </c>
      <c r="J9" s="3" t="inlineStr">
        <is>
          <t>Open</t>
        </is>
      </c>
      <c r="K9" s="3" t="inlineStr"/>
    </row>
    <row r="10">
      <c r="A10" s="3" t="n">
        <v>229</v>
      </c>
      <c r="B10" s="3" t="inlineStr">
        <is>
          <t>Amikacin (AMI12)</t>
        </is>
      </c>
      <c r="C10" s="7" t="inlineStr">
        <is>
          <t>High</t>
        </is>
      </c>
      <c r="D10" s="3" t="inlineStr">
        <is>
          <t>Dosing – adult</t>
        </is>
      </c>
      <c r="E10" s="3" t="inlineStr"/>
      <c r="F10" s="3" t="inlineStr">
        <is>
          <t>Cap at label 15 mg/kg/day; mark 15–35 mg/kg regimens off-label with citations</t>
        </is>
      </c>
      <c r="G10" s="3" t="inlineStr">
        <is>
          <t>Bloodstream infection, and sepsis/septic shock: IV 15 to 30 mg/kg once daily. HAP/VAP and plague: 15–20 mg/kg once daily. CF: 30–35 mg/kg once daily.</t>
        </is>
      </c>
      <c r="H10" s="3" t="inlineStr">
        <is>
          <t>US: total daily dose must not exceed 15 mg/kg/day, and heavier patients ≤1.5 g/day. UK: 15 mg/kg/day, ≤1.5 g/day. TW insert: 7.5–15 mg/kg/day ÷ bid; life-threatening or Pseudomonas up to 500 mg q8h, ≤1.5 g/day. Doses above this are off-label and need a guideline or PubMed source (e.g. Taccone 2010, PMID 20370907, for ≥25 mg/kg in septic shock).</t>
        </is>
      </c>
      <c r="I10" s="3" t="inlineStr">
        <is>
          <t>US label DOSAGE AND ADMINISTRATION; UK SmPC 4.2; TW insert 3.1, https://mcp.fda.gov.tw/im_detail_1/%E8%A1%9B%E7%BD%B2%E8%97%A5%E8%A3%BD%E5%AD%97%E7%AC%AC024198%E8%99%9F</t>
        </is>
      </c>
      <c r="J10" s="3" t="inlineStr">
        <is>
          <t>Open</t>
        </is>
      </c>
      <c r="K10" s="3" t="inlineStr"/>
    </row>
    <row r="11">
      <c r="A11" s="3" t="n">
        <v>231</v>
      </c>
      <c r="B11" s="3" t="inlineStr">
        <is>
          <t>Amikacin (AMI12)</t>
        </is>
      </c>
      <c r="C11" s="7" t="inlineStr">
        <is>
          <t>High</t>
        </is>
      </c>
      <c r="D11" s="3" t="inlineStr">
        <is>
          <t>Dosing – adult</t>
        </is>
      </c>
      <c r="E11" s="3" t="inlineStr"/>
      <c r="F11" s="3" t="inlineStr">
        <is>
          <t>Add limits: high-dose 500 mg q8h max 1.5 g/day, ≤10 days, total course ≤15 g (TW/UK); reassess beyond 10 days</t>
        </is>
      </c>
      <c r="G11" s="3" t="inlineStr">
        <is>
          <t>No maximum daily dose, treatment duration, or total-course limit stated.</t>
        </is>
      </c>
      <c r="H11" s="3" t="inlineStr">
        <is>
          <t>TW insert 3.1 and UK SmPC 4.2: escalated regimen (500 mg q8h) ≤1.5 g/day, ≤10 days, total ≤15 g. US: usual 7–10 days; reassess if &gt;10 days; safety &gt;14 days not established.</t>
        </is>
      </c>
      <c r="I11" s="3" t="inlineStr">
        <is>
          <t>TW insert 3.1; UK SmPC 4.2; US label DOSAGE AND ADMINISTRATION and WARNINGS box</t>
        </is>
      </c>
      <c r="J11" s="3" t="inlineStr">
        <is>
          <t>Open</t>
        </is>
      </c>
      <c r="K11" s="3" t="inlineStr"/>
    </row>
    <row r="12">
      <c r="A12" s="3" t="n">
        <v>224</v>
      </c>
      <c r="B12" s="3" t="inlineStr">
        <is>
          <t>Amikacin (AMI12)</t>
        </is>
      </c>
      <c r="C12" s="7" t="inlineStr">
        <is>
          <t>High</t>
        </is>
      </c>
      <c r="D12" s="3" t="inlineStr">
        <is>
          <t>Dosing – renal/dialysis</t>
        </is>
      </c>
      <c r="E12" s="3" t="inlineStr">
        <is>
          <t>Renal table outdated</t>
        </is>
      </c>
      <c r="F12" s="3" t="inlineStr">
        <is>
          <t>Replace unsourced GFR/CRRT table with label method or cite source; reconcile CRRT with Notion</t>
        </is>
      </c>
      <c r="G12" s="3" t="inlineStr">
        <is>
          <t>GFR 30–50: 5–7.5 mg/kg q12–18h; GFR 10–29: q18–24h; GFR &lt;10: q48–72h; HD/PD 5 mg/kg then redose by level; CRRT 7.5 mg/kg q12h</t>
        </is>
      </c>
      <c r="H12" s="3" t="inlineStr">
        <is>
          <t>No label has GFR tiers or CRRT dosing. US: 7.5 mg/kg every (SCr × 9) h, or 7.5 mg/kg LD then reduced q12h dose in proportion to CrCl; neither method during dialysis. UK: same methods, and no once-daily total dose if CrCl &lt;50. TW insert: no renal table. The hospital CRRT dose (7.5 mg/kg q12h) also disagrees with the Notion CRRT entry (LD 10 mg/kg then TDM). Both need a guideline or PubMed source.</t>
        </is>
      </c>
      <c r="I12" s="3" t="inlineStr">
        <is>
          <t>US D&amp;A renal sections – https://dailymed.nlm.nih.gov/dailymed/drugInfo.cfm?setid=f260ff2a-76a0-4672-9516-91c344b67890; UK SmPC 4.2</t>
        </is>
      </c>
      <c r="J12" s="3" t="inlineStr">
        <is>
          <t>Open</t>
        </is>
      </c>
      <c r="K12" s="3" t="inlineStr"/>
    </row>
    <row r="13">
      <c r="A13" s="3" t="n">
        <v>230</v>
      </c>
      <c r="B13" s="3" t="inlineStr">
        <is>
          <t>Amikacin (AMI12)</t>
        </is>
      </c>
      <c r="C13" s="7" t="inlineStr">
        <is>
          <t>High</t>
        </is>
      </c>
      <c r="D13" s="3" t="inlineStr">
        <is>
          <t>Dosing – renal/dialysis</t>
        </is>
      </c>
      <c r="E13" s="3" t="inlineStr">
        <is>
          <t>Renal table outdated</t>
        </is>
      </c>
      <c r="F13" s="3" t="inlineStr">
        <is>
          <t>Replace pediatric-unit GFR table with adult label renal method; CRRT per evidence with TDM</t>
        </is>
      </c>
      <c r="G13" s="3" t="inlineStr">
        <is>
          <t>GFR 30–50 mL/min/1.73 m²: 5–7.5 mg/kg q12–18h; GFR 10–29: q18–24h; GFR &lt;10: q48–72h; IHD 5 mg/kg, redose by level; CRRT 7.5 mg/kg q12h. This sits right after the paediatric section, and the units (per 1.73 m²) suggest a paediatric table shown as the general renal adjustment.</t>
        </is>
      </c>
      <c r="H13" s="3" t="inlineStr">
        <is>
          <t>No label gives GFR tiers or CRRT dosing. US label (fallback, since the TW insert has none): 7.5 mg/kg every SCr×9 h, or a 7.5 mg/kg loading dose then reduced q12h doses in proportion to CrCl; neither method during dialysis. UK SmPC: no once-daily dosing if CrCl &lt;50. CRRT evidence (Roger 2016, PMID 27270279) supports 25 mg/kg about q48h with TDM, not 7.5 mg/kg q12h.</t>
        </is>
      </c>
      <c r="I13" s="3" t="inlineStr">
        <is>
          <t>US label Impaired Renal Function sections; UK SmPC 4.2; Roger C 2016, https://pubmed.ncbi.nlm.nih.gov/27270279/</t>
        </is>
      </c>
      <c r="J13" s="3" t="inlineStr">
        <is>
          <t>Open</t>
        </is>
      </c>
      <c r="K13" s="3" t="inlineStr"/>
    </row>
    <row r="14">
      <c r="A14" s="3" t="n">
        <v>235</v>
      </c>
      <c r="B14" s="3" t="inlineStr">
        <is>
          <t>AmoClav (Amoxicillin/clavulanate) (AMO04, AMO08)</t>
        </is>
      </c>
      <c r="C14" s="7" t="inlineStr">
        <is>
          <t>High</t>
        </is>
      </c>
      <c r="D14" s="3" t="inlineStr">
        <is>
          <t>Dosing – adult</t>
        </is>
      </c>
      <c r="E14" s="3" t="inlineStr"/>
      <c r="F14" s="3" t="inlineStr">
        <is>
          <t>Remove q6h option: 1.2 g q8h only (max 600 mg clavulanate/day); use other IV amoxicillin if more needed</t>
        </is>
      </c>
      <c r="G14" s="3" t="inlineStr">
        <is>
          <t>1.2 g every 8 hours; in severe infections, administer every 6 hours</t>
        </is>
      </c>
      <c r="H14" s="3" t="inlineStr">
        <is>
          <t>1000 mg/200 mg every 8 hours only. This product delivers at most 3000 mg amoxicillin + 600 mg clavulanate a day; if more amoxicillin is needed, use an alternative IV formulation. q6h would give 800 mg/day clavulanate.</t>
        </is>
      </c>
      <c r="I14" s="3" t="inlineStr">
        <is>
          <t>UK SmPC 4.2 — https://www.medicines.org.uk/emc/product/7211/smpc</t>
        </is>
      </c>
      <c r="J14" s="3" t="inlineStr">
        <is>
          <t>Open</t>
        </is>
      </c>
      <c r="K14" s="3" t="inlineStr"/>
    </row>
    <row r="15">
      <c r="A15" s="3" t="n">
        <v>236</v>
      </c>
      <c r="B15" s="3" t="inlineStr">
        <is>
          <t>AmoClav (Amoxicillin/clavulanate) (AMO04, AMO08)</t>
        </is>
      </c>
      <c r="C15" s="7" t="inlineStr">
        <is>
          <t>High</t>
        </is>
      </c>
      <c r="D15" s="3" t="inlineStr">
        <is>
          <t>Dosing – adult</t>
        </is>
      </c>
      <c r="E15" s="3" t="inlineStr"/>
      <c r="F15" s="3" t="inlineStr">
        <is>
          <t>Fix prophylaxis: &lt;1 h single 1.2–2.2 g at induction; &gt;1 h up to 3 doses total in 24 h</t>
        </is>
      </c>
      <c r="G15" s="3" t="inlineStr">
        <is>
          <t>1.2 g at induction of anesthesia for procedures 1 hour, may administer up to 2-3 additional doses in 24 hours (the &lt; or &gt; sign is missing)</t>
        </is>
      </c>
      <c r="H15" s="3" t="inlineStr">
        <is>
          <t>Procedures &lt;1 h: 1000/200 to 2000/200 mg at induction. Procedures &gt;1 h: same at induction, with up to 3 doses of 1000/200 mg in 24 hours (3 in total, not 2–3 additional).</t>
        </is>
      </c>
      <c r="I15" s="3" t="inlineStr">
        <is>
          <t>UK SmPC 4.2 — https://www.medicines.org.uk/emc/product/7211/smpc</t>
        </is>
      </c>
      <c r="J15" s="3" t="inlineStr">
        <is>
          <t>Open</t>
        </is>
      </c>
      <c r="K15" s="3" t="inlineStr"/>
    </row>
    <row r="16">
      <c r="A16" s="3" t="n">
        <v>246</v>
      </c>
      <c r="B16" s="3" t="inlineStr">
        <is>
          <t>AmoClav (Amoxicillin/clavulanate) (AMO04, AMO08)</t>
        </is>
      </c>
      <c r="C16" s="7" t="inlineStr">
        <is>
          <t>High</t>
        </is>
      </c>
      <c r="D16" s="3" t="inlineStr">
        <is>
          <t>Dosing – adult</t>
        </is>
      </c>
      <c r="E16" s="3" t="inlineStr"/>
      <c r="F16" s="3" t="inlineStr">
        <is>
          <t>Remove q6h option: 1.2 g q8h only (max 600 mg clavulanate/day)</t>
        </is>
      </c>
      <c r="G16" s="3" t="inlineStr">
        <is>
          <t>1.2 g every 8 hours; in severe infections, administer every 6 hours</t>
        </is>
      </c>
      <c r="H16" s="3" t="inlineStr">
        <is>
          <t>1000/200 mg every 8 hours only. The vial is designed for at most 3000 mg amoxicillin + 600 mg clavulanate a day (q6h gives 800 mg clavulanate). If more amoxicillin is needed, use an alternative IV formulation.</t>
        </is>
      </c>
      <c r="I16" s="3" t="inlineStr">
        <is>
          <t>UK SmPC §4.2, https://www.medicines.org.uk/emc/product/7211/smpc</t>
        </is>
      </c>
      <c r="J16" s="3" t="inlineStr">
        <is>
          <t>Open</t>
        </is>
      </c>
      <c r="K16" s="3" t="inlineStr"/>
    </row>
    <row r="17">
      <c r="A17" s="3" t="n">
        <v>247</v>
      </c>
      <c r="B17" s="3" t="inlineStr">
        <is>
          <t>AmoClav (Amoxicillin/clavulanate) (AMO04, AMO08)</t>
        </is>
      </c>
      <c r="C17" s="7" t="inlineStr">
        <is>
          <t>High</t>
        </is>
      </c>
      <c r="D17" s="3" t="inlineStr">
        <is>
          <t>Dosing – adult</t>
        </is>
      </c>
      <c r="E17" s="3" t="inlineStr"/>
      <c r="F17" s="3" t="inlineStr">
        <is>
          <t>Restore '&lt;'/'&gt;' and state max 3 doses total in 24 h for procedures &gt;1 h</t>
        </is>
      </c>
      <c r="G17" s="3" t="inlineStr">
        <is>
          <t>1.2 g at induction of anesthesia for procedures [sign missing] 1 hour, may administer up to 2-3 additional doses in 24 hours</t>
        </is>
      </c>
      <c r="H17" s="3" t="inlineStr">
        <is>
          <t>Procedures &lt;1 h: 1000/200–2000/200 mg at induction. Procedures &gt;1 h: same, with up to 3 doses of 1000/200 mg in 24 h in total. The '&lt;'/'&gt;' sign is lost in the hospital text, and '2-3 additional doses' could exceed 3 doses in total.</t>
        </is>
      </c>
      <c r="I17" s="3" t="inlineStr">
        <is>
          <t>UK SmPC §4.2, https://www.medicines.org.uk/emc/product/7211/smpc</t>
        </is>
      </c>
      <c r="J17" s="3" t="inlineStr">
        <is>
          <t>Open</t>
        </is>
      </c>
      <c r="K17" s="3" t="inlineStr"/>
    </row>
    <row r="18">
      <c r="A18" s="3" t="n">
        <v>237</v>
      </c>
      <c r="B18" s="3" t="inlineStr">
        <is>
          <t>AmoClav (Amoxicillin/clavulanate) (AMO04, AMO08)</t>
        </is>
      </c>
      <c r="C18" s="7" t="inlineStr">
        <is>
          <t>High</t>
        </is>
      </c>
      <c r="D18" s="3" t="inlineStr">
        <is>
          <t>Dosing – pediatric</t>
        </is>
      </c>
      <c r="E18" s="3" t="inlineStr"/>
      <c r="F18" s="3" t="inlineStr">
        <is>
          <t>Pediatric &lt;40 kg: ≥3 mo 30 mg/kg q8h; &lt;3 mo or &lt;4 kg 30 mg/kg q12h infusion; remove q6h and titration</t>
        </is>
      </c>
      <c r="G18" s="3" t="inlineStr">
        <is>
          <t>3 months to 12 years: 30 mg/kg every 8 hours; in severe infections, administer every 6 hours. 30 mg/kg every 12 hours; then titrate to every 8 hours (no age/weight condition).</t>
        </is>
      </c>
      <c r="H18" s="3" t="inlineStr">
        <is>
          <t>Children &lt;40 kg (weight-based, not 'to 12 years'): ≥3 months 25/5 mg/kg (30 mg/kg combined) q8h. Children &lt;3 months or &lt;4 kg: 25/5 mg/kg q12h, infusion only. There is no q6h option and no 'titrate to q8h' step. The pediatric q6h-in-severe-infection line was not in the source brief; I found it on the live page.</t>
        </is>
      </c>
      <c r="I18" s="3" t="inlineStr">
        <is>
          <t>UK SmPC 4.2 Paediatric population — https://www.medicines.org.uk/emc/product/7211/smpc</t>
        </is>
      </c>
      <c r="J18" s="3" t="inlineStr">
        <is>
          <t>Open</t>
        </is>
      </c>
      <c r="K18" s="3" t="inlineStr"/>
    </row>
    <row r="19">
      <c r="A19" s="3" t="n">
        <v>248</v>
      </c>
      <c r="B19" s="3" t="inlineStr">
        <is>
          <t>AmoClav (Amoxicillin/clavulanate) (AMO04, AMO08)</t>
        </is>
      </c>
      <c r="C19" s="7" t="inlineStr">
        <is>
          <t>High</t>
        </is>
      </c>
      <c r="D19" s="3" t="inlineStr">
        <is>
          <t>Dosing – pediatric</t>
        </is>
      </c>
      <c r="E19" s="3" t="inlineStr"/>
      <c r="F19" s="3" t="inlineStr">
        <is>
          <t>Weight-based &lt;40 kg dosing; no q6h; q12h only for &lt;3 mo or &lt;4 kg by infusion</t>
        </is>
      </c>
      <c r="G19" s="3" t="inlineStr">
        <is>
          <t>3 months to 12 years: 30 mg/kg every 8 hours; in severe infections every 6 hours / 30 mg/kg every 12 hours; then titrate to every 8 hours</t>
        </is>
      </c>
      <c r="H19" s="3" t="inlineStr">
        <is>
          <t>Children &lt;40 kg: ≥3 months, 25/5 mg/kg (=30 mg/kg combined) q8h; &lt;3 months or &lt;4 kg, 25/5 mg/kg q12h by infusion only. No q6h regimen. The q12h line in the hospital entry has no age or weight condition, and the limit is weight-based (&lt;40 kg), not 12 years.</t>
        </is>
      </c>
      <c r="I19" s="3" t="inlineStr">
        <is>
          <t>UK SmPC §4.2 Paediatric population and Method of administration, https://www.medicines.org.uk/emc/product/7211/smpc</t>
        </is>
      </c>
      <c r="J19" s="3" t="inlineStr">
        <is>
          <t>Open</t>
        </is>
      </c>
      <c r="K19" s="3" t="inlineStr"/>
    </row>
    <row r="20">
      <c r="A20" s="3" t="n">
        <v>238</v>
      </c>
      <c r="B20" s="3" t="inlineStr">
        <is>
          <t>AmoClav (Amoxicillin/clavulanate) (AMO04, AMO08)</t>
        </is>
      </c>
      <c r="C20" s="7" t="inlineStr">
        <is>
          <t>High</t>
        </is>
      </c>
      <c r="D20" s="3" t="inlineStr">
        <is>
          <t>Dosing – renal/dialysis</t>
        </is>
      </c>
      <c r="E20" s="3" t="inlineStr">
        <is>
          <t>Renal table outdated</t>
        </is>
      </c>
      <c r="F20" s="3" t="inlineStr">
        <is>
          <t>HD: 1.2 g once, then 600 mg q24h plus 600 mg after dialysis; remove q12h option; use combined units</t>
        </is>
      </c>
      <c r="G20" s="3" t="inlineStr">
        <is>
          <t>1 g followed by 500 mg every 12 to 24 hours; if utilizing a 24-hour interval, administer dose after dialysis or give an additional 500 mg after dialysis (units switch from 1.2 g product to amoxicillin-only mg)</t>
        </is>
      </c>
      <c r="H20" s="3" t="inlineStr">
        <is>
          <t>1000/200 mg (1.2 g) initially, then 500/100 mg (600 mg) every 24 h, plus 500/100 mg at the end of dialysis. No q12h option.</t>
        </is>
      </c>
      <c r="I20" s="3" t="inlineStr">
        <is>
          <t>UK SmPC 4.2 Renal impairment — https://www.medicines.org.uk/emc/product/7211/smpc</t>
        </is>
      </c>
      <c r="J20" s="3" t="inlineStr">
        <is>
          <t>Open</t>
        </is>
      </c>
      <c r="K20" s="3" t="inlineStr"/>
    </row>
    <row r="21">
      <c r="A21" s="3" t="n">
        <v>239</v>
      </c>
      <c r="B21" s="3" t="inlineStr">
        <is>
          <t>AmoClav (Amoxicillin/clavulanate) (AMO04, AMO08)</t>
        </is>
      </c>
      <c r="C21" s="7" t="inlineStr">
        <is>
          <t>High</t>
        </is>
      </c>
      <c r="D21" s="3" t="inlineStr">
        <is>
          <t>Dosing – renal/dialysis</t>
        </is>
      </c>
      <c r="E21" s="3" t="inlineStr">
        <is>
          <t>Renal table outdated</t>
        </is>
      </c>
      <c r="F21" s="3" t="inlineStr">
        <is>
          <t>Remove unsupported PD q12h regimen; no label PD dose (CrCl &lt;10 maintenance is 600 mg q24h)</t>
        </is>
      </c>
      <c r="G21" s="3" t="inlineStr">
        <is>
          <t>1 g followed by 500 mg every 12 hours</t>
        </is>
      </c>
      <c r="H21" s="3" t="inlineStr">
        <is>
          <t>No peritoneal dialysis dose in the UK SmPC or US label. For CrCl &lt;10 the SmPC gives 600 mg q24h maintenance, so a q12h PD regimen is unsupported.</t>
        </is>
      </c>
      <c r="I21" s="3" t="inlineStr">
        <is>
          <t>UK SmPC 4.2 — https://www.medicines.org.uk/emc/product/7211/smpc; US label 2.6 — https://dailymed.nlm.nih.gov/dailymed/drugInfo.cfm?setid=80bef3fd-4f6f-4190-8865-9ac46c8947a3</t>
        </is>
      </c>
      <c r="J21" s="3" t="inlineStr">
        <is>
          <t>Open</t>
        </is>
      </c>
      <c r="K21" s="3" t="inlineStr"/>
    </row>
    <row r="22">
      <c r="A22" s="3" t="n">
        <v>240</v>
      </c>
      <c r="B22" s="3" t="inlineStr">
        <is>
          <t>AmoClav (Amoxicillin/clavulanate) (AMO04, AMO08)</t>
        </is>
      </c>
      <c r="C22" s="7" t="inlineStr">
        <is>
          <t>High</t>
        </is>
      </c>
      <c r="D22" s="3" t="inlineStr">
        <is>
          <t>Dosing – renal/dialysis</t>
        </is>
      </c>
      <c r="E22" s="3" t="inlineStr"/>
      <c r="F22" s="3" t="inlineStr">
        <is>
          <t>Escape '&lt;' in HTML so CrCl &lt;10 band (1.2 g then 600 mg q24h) displays</t>
        </is>
      </c>
      <c r="G22" s="3" t="inlineStr">
        <is>
          <t>Rendered page shows only '3. CrCl' followed by '4. Hemodialysis'. The unescaped '&lt;' cuts the text off; it reads in full only in the raw source ('CrCl &lt;10 mL/min: 1.2 g followed by 600 mg every 24 hours').</t>
        </is>
      </c>
      <c r="H22" s="3" t="inlineStr">
        <is>
          <t>The dose itself matches the SmPC (1.2 g, then 600 mg q24h). The defect is HTML escaping: the CrCl &lt;10 line is invisible to users.</t>
        </is>
      </c>
      <c r="I22" s="3" t="inlineStr">
        <is>
          <t>UK SmPC 4.2 — https://www.medicines.org.uk/emc/product/7211/smpc</t>
        </is>
      </c>
      <c r="J22" s="3" t="inlineStr">
        <is>
          <t>Open</t>
        </is>
      </c>
      <c r="K22" s="3" t="inlineStr"/>
    </row>
    <row r="23">
      <c r="A23" s="3" t="n">
        <v>249</v>
      </c>
      <c r="B23" s="3" t="inlineStr">
        <is>
          <t>AmoClav (Amoxicillin/clavulanate) (AMO04, AMO08)</t>
        </is>
      </c>
      <c r="C23" s="7" t="inlineStr">
        <is>
          <t>High</t>
        </is>
      </c>
      <c r="D23" s="3" t="inlineStr">
        <is>
          <t>Dosing – renal/dialysis</t>
        </is>
      </c>
      <c r="E23" s="3" t="inlineStr">
        <is>
          <t>Renal table outdated</t>
        </is>
      </c>
      <c r="F23" s="3" t="inlineStr">
        <is>
          <t>HD: 1.2 g once, then 600 mg q24h plus 600 mg after dialysis; no q12h</t>
        </is>
      </c>
      <c r="G23" s="3" t="inlineStr">
        <is>
          <t>1 g followed by 500 mg every 12 to 24 hours; if 24-hour interval, dose after dialysis or extra 500 mg after dialysis</t>
        </is>
      </c>
      <c r="H23" s="3" t="inlineStr">
        <is>
          <t>1000/200 mg once, then 500/100 mg every 24 h, plus 500/100 mg at the end of dialysis. Units should be 1.2 g/600 mg to match the combined-strength convention used elsewhere. The SmPC gives no q12h option for HD.</t>
        </is>
      </c>
      <c r="I23" s="3" t="inlineStr">
        <is>
          <t>UK SmPC §4.2 Renal impairment, https://www.medicines.org.uk/emc/product/7211/smpc</t>
        </is>
      </c>
      <c r="J23" s="3" t="inlineStr">
        <is>
          <t>Open</t>
        </is>
      </c>
      <c r="K23" s="3" t="inlineStr"/>
    </row>
    <row r="24">
      <c r="A24" s="3" t="n">
        <v>250</v>
      </c>
      <c r="B24" s="3" t="inlineStr">
        <is>
          <t>AmoClav (Amoxicillin/clavulanate) (AMO04, AMO08)</t>
        </is>
      </c>
      <c r="C24" s="7" t="inlineStr">
        <is>
          <t>High</t>
        </is>
      </c>
      <c r="D24" s="3" t="inlineStr">
        <is>
          <t>Dosing – renal/dialysis</t>
        </is>
      </c>
      <c r="E24" s="3" t="inlineStr">
        <is>
          <t>Renal table outdated</t>
        </is>
      </c>
      <c r="F24" s="3" t="inlineStr">
        <is>
          <t>Remove PD 500 mg q12h regimen; no label support</t>
        </is>
      </c>
      <c r="G24" s="3" t="inlineStr">
        <is>
          <t>1 g followed by 500 mg every 12 hours</t>
        </is>
      </c>
      <c r="H24" s="3" t="inlineStr">
        <is>
          <t>No PD regimen in the UK SmPC or the US label</t>
        </is>
      </c>
      <c r="I24" s="3" t="inlineStr">
        <is>
          <t>UK SmPC §4.2, https://www.medicines.org.uk/emc/product/7211/smpc</t>
        </is>
      </c>
      <c r="J24" s="3" t="inlineStr">
        <is>
          <t>Open</t>
        </is>
      </c>
      <c r="K24" s="3" t="inlineStr"/>
    </row>
    <row r="25">
      <c r="A25" s="3" t="n">
        <v>251</v>
      </c>
      <c r="B25" s="3" t="inlineStr">
        <is>
          <t>AmoClav (Amoxicillin/clavulanate) (AMO04, AMO08)</t>
        </is>
      </c>
      <c r="C25" s="7" t="inlineStr">
        <is>
          <t>High</t>
        </is>
      </c>
      <c r="D25" s="3" t="inlineStr">
        <is>
          <t>Dosing – renal/dialysis</t>
        </is>
      </c>
      <c r="E25" s="3" t="inlineStr"/>
      <c r="F25" s="3" t="inlineStr">
        <is>
          <t>Escape '&lt;' as &amp;lt; so CrCl &lt;10 line renders</t>
        </is>
      </c>
      <c r="G25" s="3" t="inlineStr">
        <is>
          <t>Rendered page shows '3. CrCl' with the text cut off. The raw HTML has 'CrCl &lt;10 mL/min: 1.2 g followed by 600 mg every 24 hours'; the unescaped '&lt;' breaks rendering.</t>
        </is>
      </c>
      <c r="H25" s="3" t="inlineStr">
        <is>
          <t>CrCl &lt;10: 1000/200 mg once, then 500/100 mg q24h (the content is correct once shown; the HTML needs '&amp;lt;')</t>
        </is>
      </c>
      <c r="I25" s="3" t="inlineStr">
        <is>
          <t>UK SmPC §4.2, https://www.medicines.org.uk/emc/product/7211/smpc</t>
        </is>
      </c>
      <c r="J25" s="3" t="inlineStr">
        <is>
          <t>Open</t>
        </is>
      </c>
      <c r="K25" s="3" t="inlineStr"/>
    </row>
    <row r="26">
      <c r="A26" s="3" t="n">
        <v>581</v>
      </c>
      <c r="B26" s="3" t="inlineStr">
        <is>
          <t>Amoxicillin (AMO02)</t>
        </is>
      </c>
      <c r="C26" s="7" t="inlineStr">
        <is>
          <t>High</t>
        </is>
      </c>
      <c r="D26" s="3" t="inlineStr">
        <is>
          <t>Dosing – renal/dialysis</t>
        </is>
      </c>
      <c r="E26" s="3" t="inlineStr">
        <is>
          <t>Renal table outdated</t>
        </is>
      </c>
      <c r="F26" s="3" t="inlineStr">
        <is>
          <t>Restore GFR &lt;10 label; set 250-500 mg q24h (US), max 500 mg/day (UK); remove q12h</t>
        </is>
      </c>
      <c r="G26" s="3" t="inlineStr">
        <is>
          <t>The row after '10-30' has no GFR label: '250 to 500 mg every 12 to 24 hours / 500 mg every 12 to 24 hours / 500 mg every 12 hours'.</t>
        </is>
      </c>
      <c r="H26" s="3" t="inlineStr">
        <is>
          <t>Presumably this row is GFR &lt;10, and the US label gives 250–500 mg q24h there, not q12–24h. The UK SmPC gives a maximum of 500 mg/day. Neither label supports the 'every 12 hours' column.</t>
        </is>
      </c>
      <c r="I26" s="3" t="inlineStr">
        <is>
          <t>US FDA label §2.5 Table 2 — https://dailymed.nlm.nih.gov/dailymed/drugInfo.cfm?setid=9b3ab9ea-caee-4186-9068-43ca527c098d; UK SmPC §4.2 — https://www.medicines.org.uk/emc/product/10637/smpc</t>
        </is>
      </c>
      <c r="J26" s="3" t="inlineStr">
        <is>
          <t>Open</t>
        </is>
      </c>
      <c r="K26" s="3" t="inlineStr"/>
    </row>
    <row r="27">
      <c r="A27" s="3" t="n">
        <v>582</v>
      </c>
      <c r="B27" s="3" t="inlineStr">
        <is>
          <t>Amoxicillin (AMO02)</t>
        </is>
      </c>
      <c r="C27" s="7" t="inlineStr">
        <is>
          <t>High</t>
        </is>
      </c>
      <c r="D27" s="3" t="inlineStr">
        <is>
          <t>Dosing – renal/dialysis</t>
        </is>
      </c>
      <c r="E27" s="3" t="inlineStr">
        <is>
          <t>Renal table outdated</t>
        </is>
      </c>
      <c r="F27" s="3" t="inlineStr">
        <is>
          <t>GFR 10-30: change 1 g q12h to 250-500 mg q12h (max 500 mg bid)</t>
        </is>
      </c>
      <c r="G27" s="3" t="inlineStr">
        <is>
          <t>1 g every 12 hours</t>
        </is>
      </c>
      <c r="H27" s="3" t="inlineStr">
        <is>
          <t>US: 250–500 mg every 12 hours. UK: maximum 500 mg twice daily. 1 g q12h is twice the labelled maximum.</t>
        </is>
      </c>
      <c r="I27" s="3" t="inlineStr">
        <is>
          <t>US FDA label §2.5 Table 2 — https://dailymed.nlm.nih.gov/dailymed/drugInfo.cfm?setid=9b3ab9ea-caee-4186-9068-43ca527c098d; UK SmPC §4.2 Renal impairment — https://www.medicines.org.uk/emc/product/10637/smpc</t>
        </is>
      </c>
      <c r="J27" s="3" t="inlineStr">
        <is>
          <t>Open</t>
        </is>
      </c>
      <c r="K27" s="3" t="inlineStr"/>
    </row>
    <row r="28">
      <c r="A28" s="3" t="n">
        <v>583</v>
      </c>
      <c r="B28" s="3" t="inlineStr">
        <is>
          <t>Amoxicillin (AMO02)</t>
        </is>
      </c>
      <c r="C28" s="7" t="inlineStr">
        <is>
          <t>High</t>
        </is>
      </c>
      <c r="D28" s="3" t="inlineStr">
        <is>
          <t>Dosing – renal/dialysis</t>
        </is>
      </c>
      <c r="E28" s="3" t="inlineStr">
        <is>
          <t>Renal table outdated</t>
        </is>
      </c>
      <c r="F28" s="3" t="inlineStr">
        <is>
          <t>HD: 250-500 mg q24h plus supplemental dose during/after HD; remove q12h options</t>
        </is>
      </c>
      <c r="G28" s="3" t="inlineStr">
        <is>
          <t>250 to 500 mg every 12 to 24 hours / 500 mg every 12 to 24 hours / 500 mg every 12 hours</t>
        </is>
      </c>
      <c r="H28" s="3" t="inlineStr">
        <is>
          <t>US: 250–500 mg every 24 h, plus an extra dose during and at the end of dialysis. UK: 500 mg every 24 h, plus 500 mg before and 500 mg after HD. Neither label has a q12h option, and the hospital row omits the supplemental dose. The source brief did not mention this discrepancy.</t>
        </is>
      </c>
      <c r="I28" s="3" t="inlineStr">
        <is>
          <t>US FDA label §2.5 — https://dailymed.nlm.nih.gov/dailymed/drugInfo.cfm?setid=9b3ab9ea-caee-4186-9068-43ca527c098d; UK SmPC §4.2 Haemodialysis — https://www.medicines.org.uk/emc/product/10637/smpc</t>
        </is>
      </c>
      <c r="J28" s="3" t="inlineStr">
        <is>
          <t>Open</t>
        </is>
      </c>
      <c r="K28" s="3" t="inlineStr"/>
    </row>
    <row r="29">
      <c r="A29" s="3" t="n">
        <v>584</v>
      </c>
      <c r="B29" s="3" t="inlineStr">
        <is>
          <t>Amoxicillin (AMO02)</t>
        </is>
      </c>
      <c r="C29" s="7" t="inlineStr">
        <is>
          <t>High</t>
        </is>
      </c>
      <c r="D29" s="3" t="inlineStr">
        <is>
          <t>Dosing – renal/dialysis</t>
        </is>
      </c>
      <c r="E29" s="3" t="inlineStr">
        <is>
          <t>Renal table outdated</t>
        </is>
      </c>
      <c r="F29" s="3" t="inlineStr">
        <is>
          <t>PD: cap at 500 mg/day (UK SmPC); remove 500 mg q12h</t>
        </is>
      </c>
      <c r="G29" s="3" t="inlineStr">
        <is>
          <t>250 to 500 mg every 12 hours / 500 mg every 12 hours / 500 mg every 12 hours</t>
        </is>
      </c>
      <c r="H29" s="3" t="inlineStr">
        <is>
          <t>UK: maximum 500 mg/day. The US label has no PD dose, so the PD row conflicts with the UK SmPC only; 500 mg q12h is 1 g/day.</t>
        </is>
      </c>
      <c r="I29" s="3" t="inlineStr">
        <is>
          <t>UK SmPC §4.2 'In patients receiving peritoneal dialysis Amoxicillin maximum 500 mg/day' — https://www.medicines.org.uk/emc/product/10637/smpc</t>
        </is>
      </c>
      <c r="J29" s="3" t="inlineStr">
        <is>
          <t>Open</t>
        </is>
      </c>
      <c r="K29" s="3" t="inlineStr"/>
    </row>
    <row r="30">
      <c r="A30" s="3" t="n">
        <v>591</v>
      </c>
      <c r="B30" s="3" t="inlineStr">
        <is>
          <t>Amoxicillin (AMO02)</t>
        </is>
      </c>
      <c r="C30" s="7" t="inlineStr">
        <is>
          <t>High</t>
        </is>
      </c>
      <c r="D30" s="3" t="inlineStr">
        <is>
          <t>Dosing – renal/dialysis</t>
        </is>
      </c>
      <c r="E30" s="3" t="inlineStr">
        <is>
          <t>Renal table outdated</t>
        </is>
      </c>
      <c r="F30" s="3" t="inlineStr">
        <is>
          <t>Fix missing '&lt;10' row label (HTML escape); set 250-500 mg q24h, max 500 mg/day</t>
        </is>
      </c>
      <c r="G30" s="3" t="inlineStr">
        <is>
          <t>Row with no GFR label: '250 to 500 mg every 12 to 24 hours / 500 mg every 12 to 24 hours / 500 mg every 12 hours' (presumably GFR &lt;10; label probably lost to unescaped '&lt;' in HTML)</t>
        </is>
      </c>
      <c r="H30" s="3" t="inlineStr">
        <is>
          <t>GFR &lt;10: 250–500 mg q24h (US); max 500 mg/day (UK). q12h and q12–24h both exceed the label maximum.</t>
        </is>
      </c>
      <c r="I30" s="3" t="inlineStr">
        <is>
          <t>US label §2.5 Table 2 — https://dailymed.nlm.nih.gov/dailymed/drugInfo.cfm?setid=9b3ab9ea-caee-4186-9068-43ca527c098d; UK SmPC §4.2 — https://www.medicines.org.uk/emc/product/10637/smpc</t>
        </is>
      </c>
      <c r="J30" s="3" t="inlineStr">
        <is>
          <t>Open</t>
        </is>
      </c>
      <c r="K30" s="3" t="inlineStr"/>
    </row>
    <row r="31">
      <c r="A31" s="3" t="n">
        <v>592</v>
      </c>
      <c r="B31" s="3" t="inlineStr">
        <is>
          <t>Amoxicillin (AMO02)</t>
        </is>
      </c>
      <c r="C31" s="7" t="inlineStr">
        <is>
          <t>High</t>
        </is>
      </c>
      <c r="D31" s="3" t="inlineStr">
        <is>
          <t>Dosing – renal/dialysis</t>
        </is>
      </c>
      <c r="E31" s="3" t="inlineStr">
        <is>
          <t>Renal table outdated</t>
        </is>
      </c>
      <c r="F31" s="3" t="inlineStr">
        <is>
          <t>GFR 10-30: change 1 g q12h to 250-500 mg q12h</t>
        </is>
      </c>
      <c r="G31" s="3" t="inlineStr">
        <is>
          <t>1 g every 12 hours</t>
        </is>
      </c>
      <c r="H31" s="3" t="inlineStr">
        <is>
          <t>US: 250–500 mg q12h; UK: maximum 500 mg twice daily</t>
        </is>
      </c>
      <c r="I31" s="3" t="inlineStr">
        <is>
          <t>US label §2.5 Table 2; UK SmPC §4.2 renal table</t>
        </is>
      </c>
      <c r="J31" s="3" t="inlineStr">
        <is>
          <t>Open</t>
        </is>
      </c>
      <c r="K31" s="3" t="inlineStr"/>
    </row>
    <row r="32">
      <c r="A32" s="3" t="n">
        <v>593</v>
      </c>
      <c r="B32" s="3" t="inlineStr">
        <is>
          <t>Amoxicillin (AMO02)</t>
        </is>
      </c>
      <c r="C32" s="7" t="inlineStr">
        <is>
          <t>High</t>
        </is>
      </c>
      <c r="D32" s="3" t="inlineStr">
        <is>
          <t>Dosing – renal/dialysis</t>
        </is>
      </c>
      <c r="E32" s="3" t="inlineStr">
        <is>
          <t>Renal table outdated</t>
        </is>
      </c>
      <c r="F32" s="3" t="inlineStr">
        <is>
          <t>HD: 250-500 mg q24h plus supplemental dose with HD; remove q12h</t>
        </is>
      </c>
      <c r="G32" s="3" t="inlineStr">
        <is>
          <t>250–500 mg q12–24h / 500 mg q12–24h / 500 mg q12h; no supplemental dose</t>
        </is>
      </c>
      <c r="H32" s="3" t="inlineStr">
        <is>
          <t>US: 250–500 mg q24h + extra dose during and at end of HD. UK: 500 mg q24h + 500 mg before and 500 mg after HD. No q12h option.</t>
        </is>
      </c>
      <c r="I32" s="3" t="inlineStr">
        <is>
          <t>US label §2.5 Table 2; UK SmPC §4.2 haemodialysis</t>
        </is>
      </c>
      <c r="J32" s="3" t="inlineStr">
        <is>
          <t>Open</t>
        </is>
      </c>
      <c r="K32" s="3" t="inlineStr"/>
    </row>
    <row r="33">
      <c r="A33" s="3" t="n">
        <v>594</v>
      </c>
      <c r="B33" s="3" t="inlineStr">
        <is>
          <t>Amoxicillin (AMO02)</t>
        </is>
      </c>
      <c r="C33" s="7" t="inlineStr">
        <is>
          <t>High</t>
        </is>
      </c>
      <c r="D33" s="3" t="inlineStr">
        <is>
          <t>Dosing – renal/dialysis</t>
        </is>
      </c>
      <c r="E33" s="3" t="inlineStr">
        <is>
          <t>Renal table outdated</t>
        </is>
      </c>
      <c r="F33" s="3" t="inlineStr">
        <is>
          <t>PD: max 500 mg/day (UK SmPC); remove q12h regimens</t>
        </is>
      </c>
      <c r="G33" s="3" t="inlineStr">
        <is>
          <t>250–500 mg q12h / 500 mg q12h / 500 mg q12h (up to 1 g/day)</t>
        </is>
      </c>
      <c r="H33" s="3" t="inlineStr">
        <is>
          <t>UK: maximum 500 mg/day. No US PD dose.</t>
        </is>
      </c>
      <c r="I33" s="3" t="inlineStr">
        <is>
          <t>UK SmPC §4.2 peritoneal dialysis — https://www.medicines.org.uk/emc/product/10637/smpc</t>
        </is>
      </c>
      <c r="J33" s="3" t="inlineStr">
        <is>
          <t>Open</t>
        </is>
      </c>
      <c r="K33" s="3" t="inlineStr"/>
    </row>
    <row r="34">
      <c r="A34" s="3" t="n">
        <v>576</v>
      </c>
      <c r="B34" s="3" t="inlineStr">
        <is>
          <t>Ampolin (Ampicillin) (AMP01)</t>
        </is>
      </c>
      <c r="C34" s="7" t="inlineStr">
        <is>
          <t>High</t>
        </is>
      </c>
      <c r="D34" s="3" t="inlineStr">
        <is>
          <t>Dosing – adult</t>
        </is>
      </c>
      <c r="E34" s="3" t="inlineStr"/>
      <c r="F34" s="3" t="inlineStr">
        <is>
          <t>Add label doses; label 2 g q4h and 300-400 mg/kg/day as guideline with citation; 400 mg/kg/day exceeds labels</t>
        </is>
      </c>
      <c r="G34" s="3" t="inlineStr">
        <is>
          <t>Adults 2 g q4h (enterococcal/Listeria bacteremia, endocarditis, meningitis); 1–2 g q4–6h for enterococcal cUTI; children 50–200 mg/kg/day (max 8 g/day), 300–400 mg/kg/day (max 12 g/day) for meningitis/endocarditis. No citation, and no label doses shown.</t>
        </is>
      </c>
      <c r="H34" s="3" t="inlineStr">
        <is>
          <t>The stocked product's insert gives 250–500 mg q6h (or 2–4×/day IM), gonococcal urethritis 500 mg q12h, meningitis 8–14 g/day adults and 100–200 mg/kg/day children. US: 250–500 mg q6h; meningitis/septicemia 150–200 mg/kg/day q3–4h. UK: 500 mg 4–6×/day; meningitis 2 g q6h. The 2 g q4h and 300–400 mg/kg/day regimens are guideline (IDSA/AHA/ESC) doses, not label doses, and should be labelled and cited as such. 400 mg/kg/day exceeds every label.</t>
        </is>
      </c>
      <c r="I34" s="3" t="inlineStr">
        <is>
          <t>Ampolin 仿單 用法用量 https://mcp.fda.gov.tw/insert/pdfcasefile/i_f87fe441-fe10-4930-90d7-250bb0fcbf57; DailyMed DOSAGE AND ADMINISTRATION https://dailymed.nlm.nih.gov/dailymed/drugInfo.cfm?setid=64a04e8c-8f78-46b3-8f45-56ef225a4f74; UK SmPC 4.2 https://www.medicines.org.uk/emc/product/12892/smpc</t>
        </is>
      </c>
      <c r="J34" s="3" t="inlineStr">
        <is>
          <t>Open</t>
        </is>
      </c>
      <c r="K34" s="3" t="inlineStr"/>
    </row>
    <row r="35">
      <c r="A35" s="3" t="n">
        <v>568</v>
      </c>
      <c r="B35" s="3" t="inlineStr">
        <is>
          <t>Ampolin (Ampicillin) (AMP01)</t>
        </is>
      </c>
      <c r="C35" s="7" t="inlineStr">
        <is>
          <t>High</t>
        </is>
      </c>
      <c r="D35" s="3" t="inlineStr">
        <is>
          <t>Dosing – pediatric</t>
        </is>
      </c>
      <c r="E35" s="3" t="inlineStr"/>
      <c r="F35" s="3" t="inlineStr">
        <is>
          <t>Clarify cIAI max 2,000 mg as per dose; note no label cIAI pediatric dose</t>
        </is>
      </c>
      <c r="G35" s="3" t="inlineStr">
        <is>
          <t>200 mg/kg/day divided every 6 hours; maximum 2,000 mg</t>
        </is>
      </c>
      <c r="H35" s="3" t="inlineStr">
        <is>
          <t>No label gives a paediatric cIAI dose. 'Maximum 2,000 mg' does not say whether it is per dose or per day; read as per day it caps a 200 mg/kg/day regimen at 10 kg body weight. It looks like a per-dose cap written ambiguously. The label paediatric doses are 25-50 mg/kg/day (RTI/soft tissue), 50 mg/kg/day (GI/GU) and 150-200 mg/kg/day (meningitis/septicemia).</t>
        </is>
      </c>
      <c r="I35" s="3" t="inlineStr">
        <is>
          <t>DailyMed ampicillin DOSAGE AND ADMINISTRATION https://dailymed.nlm.nih.gov/dailymed/drugInfo.cfm?setid=3b683547-48ac-48ca-8fd4-6866fd17be34</t>
        </is>
      </c>
      <c r="J35" s="3" t="inlineStr">
        <is>
          <t>Open</t>
        </is>
      </c>
      <c r="K35" s="3" t="inlineStr"/>
    </row>
    <row r="36">
      <c r="A36" s="3" t="n">
        <v>569</v>
      </c>
      <c r="B36" s="3" t="inlineStr">
        <is>
          <t>Ampolin (Ampicillin) (AMP01)</t>
        </is>
      </c>
      <c r="C36" s="7" t="inlineStr">
        <is>
          <t>High</t>
        </is>
      </c>
      <c r="D36" s="3" t="inlineStr">
        <is>
          <t>Dosing – pediatric</t>
        </is>
      </c>
      <c r="E36" s="3" t="inlineStr"/>
      <c r="F36" s="3" t="inlineStr">
        <is>
          <t>Replace pediatric doses with label ranges; add US neonatal GA/PNA table; flag &gt;200 mg/kg/day as off-label</t>
        </is>
      </c>
      <c r="G36" s="3" t="inlineStr">
        <is>
          <t>50-200 mg/kg/day q6h (max 8 g/day); 300-400 mg/kg/day (max 12 g/day) for meningitis; IE 200-300 mg/kg/day</t>
        </is>
      </c>
      <c r="H36" s="3" t="inlineStr">
        <is>
          <t>These figures and maximums are not in the TW insert (meningitis 100-200 mg/kg/day; general 25-60 mg/kg/day) or the US label (150-200 mg/kg/day; neonatal table by GA/PNA). The neonatal dosing table in the US label is missing from the hospital page.</t>
        </is>
      </c>
      <c r="I36" s="3" t="inlineStr">
        <is>
          <t>Taiwan insert https://mcp.fda.gov.tw/insert/pdfcasefile/i_f87fe441-fe10-4930-90d7-250bb0fcbf57; DailyMed ampicillin TABLE 1 https://dailymed.nlm.nih.gov/dailymed/drugInfo.cfm?setid=3b683547-48ac-48ca-8fd4-6866fd17be34</t>
        </is>
      </c>
      <c r="J36" s="3" t="inlineStr">
        <is>
          <t>Open</t>
        </is>
      </c>
      <c r="K36" s="3" t="inlineStr"/>
    </row>
    <row r="37">
      <c r="A37" s="3" t="n">
        <v>575</v>
      </c>
      <c r="B37" s="3" t="inlineStr">
        <is>
          <t>Ampolin (Ampicillin) (AMP01)</t>
        </is>
      </c>
      <c r="C37" s="7" t="inlineStr">
        <is>
          <t>High</t>
        </is>
      </c>
      <c r="D37" s="3" t="inlineStr">
        <is>
          <t>Dosing – pediatric</t>
        </is>
      </c>
      <c r="E37" s="3" t="inlineStr"/>
      <c r="F37" s="3" t="inlineStr">
        <is>
          <t>Specify cIAI cap as 2,000 mg/dose; note not label-derived</t>
        </is>
      </c>
      <c r="G37" s="3" t="inlineStr">
        <is>
          <t>200 mg/kg/day divided every 6 hours; maximum 2,000 mg</t>
        </is>
      </c>
      <c r="H37" s="3" t="inlineStr">
        <is>
          <t>No label gives a pediatric cIAI dose or this cap. As written, 'maximum 2,000 mg' reads as a daily cap, which would contradict 200 mg/kg/day for any child over 10 kg. It is presumably a per-dose cap and should say '/dose'.</t>
        </is>
      </c>
      <c r="I37" s="3" t="inlineStr">
        <is>
          <t>DailyMed ampicillin DOSAGE AND ADMINISTRATION (no cIAI dose) https://dailymed.nlm.nih.gov/dailymed/drugInfo.cfm?setid=3b683547-48ac-48ca-8fd4-6866fd17be34; Ampolin 仿單 https://mcp.fda.gov.tw/insert/pdfcasefile/i_f87fe441-fe10-4930-90d7-250bb0fcbf57</t>
        </is>
      </c>
      <c r="J37" s="3" t="inlineStr">
        <is>
          <t>Open</t>
        </is>
      </c>
      <c r="K37" s="3" t="inlineStr"/>
    </row>
    <row r="38">
      <c r="A38" s="3" t="n">
        <v>570</v>
      </c>
      <c r="B38" s="3" t="inlineStr">
        <is>
          <t>Ampolin (Ampicillin) (AMP01)</t>
        </is>
      </c>
      <c r="C38" s="7" t="inlineStr">
        <is>
          <t>High</t>
        </is>
      </c>
      <c r="D38" s="3" t="inlineStr">
        <is>
          <t>Dosing – renal/dialysis</t>
        </is>
      </c>
      <c r="E38" s="3" t="inlineStr">
        <is>
          <t>Renal table outdated</t>
        </is>
      </c>
      <c r="F38" s="3" t="inlineStr">
        <is>
          <t>Cite renal intervals source; add post-HD supplemental dose (UK SmPC)</t>
        </is>
      </c>
      <c r="G38" s="3" t="inlineStr">
        <is>
          <t>CrCl 10-50: interval q6-12h; CrCl &lt;10: interval q12-16h</t>
        </is>
      </c>
      <c r="H38" s="3" t="inlineStr">
        <is>
          <t>The TW insert and US labels have no CrCl table. The UK SmPC says only that for CrCl &lt;10 the dose should be reduced or the interval extended, with an extra dose after dialysis. The hospital's intervals cite no source, and the page says nothing about dosing after HD.</t>
        </is>
      </c>
      <c r="I38" s="3" t="inlineStr">
        <is>
          <t>UK SmPC 4.2 https://www.medicines.org.uk/emc/product/12892/smpc; DailyMed ampicillin OVERDOSAGE https://dailymed.nlm.nih.gov/dailymed/drugInfo.cfm?setid=3b683547-48ac-48ca-8fd4-6866fd17be34</t>
        </is>
      </c>
      <c r="J38" s="3" t="inlineStr">
        <is>
          <t>Open</t>
        </is>
      </c>
      <c r="K38" s="3" t="inlineStr"/>
    </row>
    <row r="39">
      <c r="A39" s="3" t="n">
        <v>577</v>
      </c>
      <c r="B39" s="3" t="inlineStr">
        <is>
          <t>Ampolin (Ampicillin) (AMP01)</t>
        </is>
      </c>
      <c r="C39" s="7" t="inlineStr">
        <is>
          <t>High</t>
        </is>
      </c>
      <c r="D39" s="3" t="inlineStr">
        <is>
          <t>Dosing – renal/dialysis</t>
        </is>
      </c>
      <c r="E39" s="3" t="inlineStr">
        <is>
          <t>Renal table outdated</t>
        </is>
      </c>
      <c r="F39" s="3" t="inlineStr">
        <is>
          <t>Revise renal intervals (q12h CrCl 7-30, q24h post-HD in ESRD per Blum 1989); add HD/PD/CRRT guidance with sources</t>
        </is>
      </c>
      <c r="G39" s="3" t="inlineStr">
        <is>
          <t>CrCl 10–50: q6–12h; CrCl &lt;10: q12–16h (uncited)</t>
        </is>
      </c>
      <c r="H39" s="3" t="inlineStr">
        <is>
          <t>No label has a CrCl table: the TW insert has no renal section, the US label has none, and the UK SmPC only says CrCl &lt;10 → reduce dose or extend interval plus a post-dialysis dose. The available PK study (Blum 1989, ampicillin 2 g) supports q12h at CrCl 7–30 and q24h after HD for ESRD, longer than the hospital's q12–16h. The hospital page also gives no HD, PD or CRRT guidance. The label says ampicillin is removed by HD, not PD.</t>
        </is>
      </c>
      <c r="I39" s="3" t="inlineStr">
        <is>
          <t>UK SmPC 4.2 Renal Impairment https://www.medicines.org.uk/emc/product/12892/smpc; DailyMed OVERDOSAGE https://dailymed.nlm.nih.gov/dailymed/drugInfo.cfm?setid=3b683547-48ac-48ca-8fd4-6866fd17be34; Blum RA 1989 PMID 2817847 https://pubmed.ncbi.nlm.nih.gov/2817847/</t>
        </is>
      </c>
      <c r="J39" s="3" t="inlineStr">
        <is>
          <t>Open</t>
        </is>
      </c>
      <c r="K39" s="3" t="inlineStr"/>
    </row>
    <row r="40">
      <c r="A40" s="3" t="n">
        <v>269</v>
      </c>
      <c r="B40" s="3" t="inlineStr">
        <is>
          <t>Antifect (Cefepime) (ANT10)</t>
        </is>
      </c>
      <c r="C40" s="7" t="inlineStr">
        <is>
          <t>High</t>
        </is>
      </c>
      <c r="D40" s="3" t="inlineStr">
        <is>
          <t>Administration/compatibility</t>
        </is>
      </c>
      <c r="E40" s="3" t="inlineStr"/>
      <c r="F40" s="3" t="inlineStr">
        <is>
          <t>Infusion fluids: NS, D5W/D10W, D5NS, M/6 lactate, LR with D5; SWFI for reconstitution only, not plain LR</t>
        </is>
      </c>
      <c r="G40" s="3" t="inlineStr">
        <is>
          <t>稀釋溶液：NS、D5W、SWFI、LR (仿單)</t>
        </is>
      </c>
      <c r="H40" s="3" t="inlineStr">
        <is>
          <t>TW insert/FDA infusion fluids: 0.9% NaCl, 5% and 10% dextrose, M/6 sodium lactate, D5NS, lactated Ringer's WITH 5% dextrose (not plain LR). Sterile water is listed only for reconstitution, not as an infusion diluent.</t>
        </is>
      </c>
      <c r="I40" s="3" t="inlineStr">
        <is>
          <t>Taiwan Antifect insert §3.2 相容性及安定性 — https://mcp.fda.gov.tw/im_detail_1/%E8%A1%9B%E7%BD%B2%E8%97%A5%E8%A3%BD%E5%AD%97%E7%AC%AC047983%E8%99%9F ; US FDA label §2.4, §2.6</t>
        </is>
      </c>
      <c r="J40" s="3" t="inlineStr">
        <is>
          <t>Open</t>
        </is>
      </c>
      <c r="K40" s="3" t="inlineStr"/>
    </row>
    <row r="41">
      <c r="A41" s="3" t="n">
        <v>258</v>
      </c>
      <c r="B41" s="3" t="inlineStr">
        <is>
          <t>Antifect (Cefepime) (ANT10)</t>
        </is>
      </c>
      <c r="C41" s="7" t="inlineStr">
        <is>
          <t>High</t>
        </is>
      </c>
      <c r="D41" s="3" t="inlineStr">
        <is>
          <t>Dosing – renal/dialysis</t>
        </is>
      </c>
      <c r="E41" s="3" t="inlineStr">
        <is>
          <t>Renal table outdated</t>
        </is>
      </c>
      <c r="F41" s="3" t="inlineStr">
        <is>
          <t>Replace regimen columns with label: 500 mg q12h, 1 g q12h, 2 g q12h, 2 g q8h; delete 1 g q6h</t>
        </is>
      </c>
      <c r="G41" s="3" t="inlineStr">
        <is>
          <t>Usual recommended doses at CrCl &gt;60 are 1g Q12H, 2g Q12H, 1g Q6H and 2g Q8H.</t>
        </is>
      </c>
      <c r="H41" s="3" t="inlineStr">
        <is>
          <t>No label has a 1 g q6h regimen. FDA Table 2 regimens are 500 mg q12h, 1 g q12h, 2 g q12h and 2 g q8h. Taiwan 表5 regimens are 2 g q8h, 2 g q12h, 1 g q12h and 0.5 g q12h.</t>
        </is>
      </c>
      <c r="I41" s="3" t="inlineStr">
        <is>
          <t>US FDA label 2.3 Table 2 — https://dailymed.nlm.nih.gov/dailymed/drugInfo.cfm?setid=de477f37-40f6-4295-ae72-a2ee36a8922e; Taiwan Antifect insert 3.3 表5 — https://mcp.fda.gov.tw/im_detail_1/%E8%A1%9B%E7%BD%B2%E8%97%A5%E8%A3%BD%E5%AD%97%E7%AC%AC047983%E8%99%9F</t>
        </is>
      </c>
      <c r="J41" s="3" t="inlineStr">
        <is>
          <t>Open</t>
        </is>
      </c>
      <c r="K41" s="3" t="inlineStr"/>
    </row>
    <row r="42">
      <c r="A42" s="3" t="n">
        <v>259</v>
      </c>
      <c r="B42" s="3" t="inlineStr">
        <is>
          <t>Antifect (Cefepime) (ANT10)</t>
        </is>
      </c>
      <c r="C42" s="7" t="inlineStr">
        <is>
          <t>High</t>
        </is>
      </c>
      <c r="D42" s="3" t="inlineStr">
        <is>
          <t>Dosing – renal/dialysis</t>
        </is>
      </c>
      <c r="E42" s="3" t="inlineStr">
        <is>
          <t>Renal table outdated</t>
        </is>
      </c>
      <c r="F42" s="3" t="inlineStr">
        <is>
          <t>CrCl 30–60: 2 g q12h→2 g q24h; 2 g q8h→2 g q12h; remove 1 g q8h row</t>
        </is>
      </c>
      <c r="G42" s="3" t="inlineStr">
        <is>
          <t>1g Q24H / 1g Q12H / 1g Q8H / 2g Q12H (for the 1g q12h / 2g q12h / 1g q6h / 2g q8h regimens)</t>
        </is>
      </c>
      <c r="H42" s="3" t="inlineStr">
        <is>
          <t>FDA 30-60: 1 g q12h → 1 g q24h; 2 g q12h → 2 g q24h (not 1 g q12h); 2 g q8h → 2 g q12h. The label has no 1 g q6h regimen, so '1g Q8H' has no label basis. Taiwan uses a 30-50 band with the same values.</t>
        </is>
      </c>
      <c r="I42" s="3" t="inlineStr">
        <is>
          <t>US FDA label 2.3 Table 2; Taiwan Antifect insert 表5</t>
        </is>
      </c>
      <c r="J42" s="3" t="inlineStr">
        <is>
          <t>Open</t>
        </is>
      </c>
      <c r="K42" s="3" t="inlineStr"/>
    </row>
    <row r="43">
      <c r="A43" s="3" t="n">
        <v>260</v>
      </c>
      <c r="B43" s="3" t="inlineStr">
        <is>
          <t>Antifect (Cefepime) (ANT10)</t>
        </is>
      </c>
      <c r="C43" s="7" t="inlineStr">
        <is>
          <t>High</t>
        </is>
      </c>
      <c r="D43" s="3" t="inlineStr">
        <is>
          <t>Dosing – renal/dialysis</t>
        </is>
      </c>
      <c r="E43" s="3" t="inlineStr">
        <is>
          <t>Renal table outdated</t>
        </is>
      </c>
      <c r="F43" s="3" t="inlineStr">
        <is>
          <t>CrCl 11–29 for 2 g q8h: 2 g q24h only; label last row CrCl &lt;11 (≤10 TW)</t>
        </is>
      </c>
      <c r="G43" s="3" t="inlineStr">
        <is>
          <t>11-29: 500mg Q24H / 1g Q24H / 1g Q12H / '1g Q12H or 2g Q24H'. The last row (250mg / 500mg / 1g / 1g Q24H) has no CrCl label.</t>
        </is>
      </c>
      <c r="H43" s="3" t="inlineStr">
        <is>
          <t>FDA and Taiwan, for the 2 g q8h regimen at CrCl 11-29: 2 g q24h only. 1 g q12h is not a label option. The last row should be labelled CrCl &lt;11 (FDA) or ≤10 (Taiwan).</t>
        </is>
      </c>
      <c r="I43" s="3" t="inlineStr">
        <is>
          <t>US FDA label 2.3 Table 2; Taiwan Antifect insert 表5</t>
        </is>
      </c>
      <c r="J43" s="3" t="inlineStr">
        <is>
          <t>Open</t>
        </is>
      </c>
      <c r="K43" s="3" t="inlineStr"/>
    </row>
    <row r="44">
      <c r="A44" s="3" t="n">
        <v>261</v>
      </c>
      <c r="B44" s="3" t="inlineStr">
        <is>
          <t>Antifect (Cefepime) (ANT10)</t>
        </is>
      </c>
      <c r="C44" s="7" t="inlineStr">
        <is>
          <t>High</t>
        </is>
      </c>
      <c r="D44" s="3" t="inlineStr">
        <is>
          <t>Dosing – renal/dialysis</t>
        </is>
      </c>
      <c r="E44" s="3" t="inlineStr">
        <is>
          <t>Renal table outdated</t>
        </is>
      </c>
      <c r="F44" s="3" t="inlineStr">
        <is>
          <t>Add HD (1 g day 1, then 500 mg q24h after HD; FN 1 g q24h) and CAPD (usual dose q48h)</t>
        </is>
      </c>
      <c r="G44" s="3" t="inlineStr">
        <is>
          <t>Gives no HD or CAPD rows and uses FDA-style bands (&gt;60 / 30-60 / 11-29).</t>
        </is>
      </c>
      <c r="H44" s="3" t="inlineStr">
        <is>
          <t>All labels give HD (1 g on day 1, then 0.5 g q24h after dialysis; FDA/SmPC: 1 g q24h for FN) and CAPD (usual dose q48h). The stocked Antifect product's Taiwan insert uses &gt;50 / 30-50 / 11-29 / ≤10.</t>
        </is>
      </c>
      <c r="I44" s="3" t="inlineStr">
        <is>
          <t>Taiwan Antifect insert 3.3 表5 and 透析患者; US FDA label 2.3</t>
        </is>
      </c>
      <c r="J44" s="3" t="inlineStr">
        <is>
          <t>Open</t>
        </is>
      </c>
      <c r="K44" s="3" t="inlineStr"/>
    </row>
    <row r="45">
      <c r="A45" s="3" t="n">
        <v>265</v>
      </c>
      <c r="B45" s="3" t="inlineStr">
        <is>
          <t>Antifect (Cefepime) (ANT10)</t>
        </is>
      </c>
      <c r="C45" s="7" t="inlineStr">
        <is>
          <t>High</t>
        </is>
      </c>
      <c r="D45" s="3" t="inlineStr">
        <is>
          <t>Dosing – renal/dialysis</t>
        </is>
      </c>
      <c r="E45" s="3" t="inlineStr">
        <is>
          <t>Renal table outdated</t>
        </is>
      </c>
      <c r="F45" s="3" t="inlineStr">
        <is>
          <t>Replace whole renal table with FDA Table 2/TW 表5 incl. HD and CAPD rows; remove 1 g q6h</t>
        </is>
      </c>
      <c r="G45" s="3" t="inlineStr">
        <is>
          <t>CrCl &gt;60 'usual' regimens: 1g Q12H | 2g Q12H | 1g Q6H | 2g Q8H. 30-60: 1g Q24H | 1g Q12H | 1g Q8H | 2g Q12H. 11-29: 500mg Q24H | 1g Q24H | 1g Q12H | 1g Q12H or 2g Q24H. An unlabeled fourth row: 250mg Q24H | 500mg Q24H | 1g Q24H | 1g Q24H. No HD or CAPD rows.</t>
        </is>
      </c>
      <c r="H45" s="3" t="inlineStr">
        <is>
          <t>FDA Table 2 usual regimens are 500 mg q12h | 1 g q12h | 2 g q12h | 2 g q8h; there is no 1 g q6h. 30-60: 500 mg q24h | 1 g q24h | 2 g q24h | 2 g q12h. 11-29: 500 mg q24h | 500 mg q24h | 1 g q24h | 2 g q24h. &lt;11: 250 mg | 250 mg | 500 mg | 1 g q24h. CAPD: usual dose q48h. HD: 1 g day 1 then 500 mg q24h (FN 1 g q24h), after dialysis. The stocked Antifect insert (表5) gives the same doses with bands &gt;50 / 30-50 / 11-29 / ≤10, plus HD 1 g → 0.5 g q24h and CAPD q48h.</t>
        </is>
      </c>
      <c r="I45" s="3" t="inlineStr">
        <is>
          <t>US FDA label §2.3 Table 2 — https://dailymed.nlm.nih.gov/dailymed/drugInfo.cfm?setid=de477f37-40f6-4295-ae72-a2ee36a8922e ; Taiwan Antifect insert §3.3 表5 — https://mcp.fda.gov.tw/im_detail_1/%E8%A1%9B%E7%BD%B2%E8%97%A5%E8%A3%BD%E5%AD%97%E7%AC%AC047983%E8%99%9F</t>
        </is>
      </c>
      <c r="J45" s="3" t="inlineStr">
        <is>
          <t>Open</t>
        </is>
      </c>
      <c r="K45" s="3" t="inlineStr"/>
    </row>
    <row r="46">
      <c r="A46" s="3" t="n">
        <v>1367</v>
      </c>
      <c r="B46" s="3" t="inlineStr">
        <is>
          <t>Baraclude / Envir (Entecavir) (BAR03, ENV01, ENV02)</t>
        </is>
      </c>
      <c r="C46" s="7" t="inlineStr">
        <is>
          <t>High</t>
        </is>
      </c>
      <c r="D46" s="3" t="inlineStr">
        <is>
          <t>Contraindication/warning</t>
        </is>
      </c>
      <c r="E46" s="3" t="inlineStr">
        <is>
          <t>Missing boxed warning</t>
        </is>
      </c>
      <c r="F46" s="3" t="inlineStr">
        <is>
          <t>Add boxed warnings: HBV flare on stopping, HIV resistance in co-infection, lactic acidosis/hepatomegaly.</t>
        </is>
      </c>
      <c r="G46" s="3" t="inlineStr">
        <is>
          <t>Only 'Headache, fatigue, dizziness, nausea'. The boxed warnings (post-treatment flare, HIV/HBV co-infection, lactic acidosis/hepatomegaly) are not shown. ENV01 lists lactic acidosis, hepatomegaly with steatosis and recurrent hepatitis.</t>
        </is>
      </c>
      <c r="H46" s="3" t="inlineStr">
        <is>
          <t>The US and TW inserts carry a boxed warning (特殊警語) for severe acute HBV exacerbation after stopping, HIV NRTI resistance in untreated HIV/HBV co-infection, and lactic acidosis with severe hepatomegaly with steatosis. These should appear on all three pages.</t>
        </is>
      </c>
      <c r="I46" s="3" t="inlineStr">
        <is>
          <t>US FDA label boxed warning; TW Baraclude 特殊警語 https://mcp.fda.gov.tw/im_detail_1/%E8%A1%9B%E7%BD%B2%E8%97%A5%E8%BC%B8%E5%AD%97%E7%AC%AC024469%E8%99%9F</t>
        </is>
      </c>
      <c r="J46" s="3" t="inlineStr">
        <is>
          <t>Open</t>
        </is>
      </c>
      <c r="K46" s="3" t="inlineStr"/>
    </row>
    <row r="47">
      <c r="A47" s="3" t="n">
        <v>1361</v>
      </c>
      <c r="B47" s="3" t="inlineStr">
        <is>
          <t>Baraclude / Envir (Entecavir) (BAR03, ENV01, ENV02)</t>
        </is>
      </c>
      <c r="C47" s="7" t="inlineStr">
        <is>
          <t>High</t>
        </is>
      </c>
      <c r="D47" s="3" t="inlineStr">
        <is>
          <t>Dosing – renal/dialysis</t>
        </is>
      </c>
      <c r="E47" s="3" t="inlineStr"/>
      <c r="F47" s="3" t="inlineStr">
        <is>
          <t>Replace '10% daily' with tablet-feasible 0.5/1 mg every 7 days after HD; note solution not stocked.</t>
        </is>
      </c>
      <c r="G47" s="3" t="inlineStr">
        <is>
          <t>'Hemodialysis, Peritoneal dialysis: Not significantly dialyzed; Administer 10% of usual indication-specific dose daily'; 'CRRT, PIRRT: Drug clearance is dependent on the effluent flow rate…' (no dose)</t>
        </is>
      </c>
      <c r="H47" s="3" t="inlineStr">
        <is>
          <t>The label puts HD/CAPD in the &lt;10 band: 0.05 mg (or 0.1 mg) QD, which needs the oral solution the hospital does not stock, or 0.5 mg (1 mg) every 7 days, given after HD on dialysis days. A 4-h HD session removes ~13% of a dose. The '10% daily' option cannot be given with the hospital's tablets, and the page does not say so. No label gives a CRRT dose.</t>
        </is>
      </c>
      <c r="I47" s="3" t="inlineStr">
        <is>
          <t>US FDA label §2.4, §10; TW Baraclude §11</t>
        </is>
      </c>
      <c r="J47" s="3" t="inlineStr">
        <is>
          <t>Open</t>
        </is>
      </c>
      <c r="K47" s="3" t="inlineStr"/>
    </row>
    <row r="48">
      <c r="A48" s="3" t="n">
        <v>1371</v>
      </c>
      <c r="B48" s="3" t="inlineStr">
        <is>
          <t>Baraclude / Envir (Entecavir) (BAR03, ENV01, ENV02)</t>
        </is>
      </c>
      <c r="C48" s="7" t="inlineStr">
        <is>
          <t>High</t>
        </is>
      </c>
      <c r="D48" s="3" t="inlineStr">
        <is>
          <t>Dosing – renal/dialysis</t>
        </is>
      </c>
      <c r="E48" s="3" t="inlineStr"/>
      <c r="F48" s="3" t="inlineStr">
        <is>
          <t>Add dose after HD on dialysis days; give label options 0.05/0.1 mg QD or 0.5/1 mg weekly.</t>
        </is>
      </c>
      <c r="G48" s="3" t="inlineStr">
        <is>
          <t>'Hemodialysis, Peritoneal dialysis: Not significantly dialyzed; Administer 10% of usual dose daily'. No instruction to dose after HD.</t>
        </is>
      </c>
      <c r="H48" s="3" t="inlineStr">
        <is>
          <t>A 4-h HD session removes ~13% of a dose (CAPD ~0.3%/7 days). On HD days give the dose after HD (US/TW footnote b). The label options are 0.05/0.1 mg QD (oral solution) or 0.5/1 mg every 7 days.</t>
        </is>
      </c>
      <c r="I48" s="3" t="inlineStr">
        <is>
          <t>US FDA label §2.4 Table 2 footnote b, §12.3 https://dailymed.nlm.nih.gov/dailymed/drugInfo.cfm?setid=d59e9ea4-09ea-47bd-af2f-39f7a2e2aceb</t>
        </is>
      </c>
      <c r="J48" s="3" t="inlineStr">
        <is>
          <t>Open</t>
        </is>
      </c>
      <c r="K48" s="3" t="inlineStr"/>
    </row>
    <row r="49">
      <c r="A49" s="3" t="n">
        <v>620</v>
      </c>
      <c r="B49" s="3" t="inlineStr">
        <is>
          <t>Bicillin (Penicillin G benzathine) (PEN11, BIC02)</t>
        </is>
      </c>
      <c r="C49" s="7" t="inlineStr">
        <is>
          <t>High</t>
        </is>
      </c>
      <c r="D49" s="3" t="inlineStr">
        <is>
          <t>Dosing – adult</t>
        </is>
      </c>
      <c r="E49" s="3" t="inlineStr"/>
      <c r="F49" s="3" t="inlineStr">
        <is>
          <t>Complete truncated syphilis line: 2.4 MU IM single dose</t>
        </is>
      </c>
      <c r="G49" s="3" t="inlineStr">
        <is>
          <t>Syphilis: 1. Primary, Secondary, Early Latent (   [the line is cut off and no dose is shown]</t>
        </is>
      </c>
      <c r="H49" s="3" t="inlineStr">
        <is>
          <t>Primary, secondary and early latent syphilis: 2.4 MU IM as a single dose.</t>
        </is>
      </c>
      <c r="I49" s="3" t="inlineStr">
        <is>
          <t>TW 仿單 §3.1 ('第一期、第二期及潛伏期—2,400,000單位（1劑）'); UK SmPC §4.2 – https://www.medicines.org.uk/emc/product/11043/smpc</t>
        </is>
      </c>
      <c r="J49" s="3" t="inlineStr">
        <is>
          <t>Open</t>
        </is>
      </c>
      <c r="K49" s="3" t="inlineStr"/>
    </row>
    <row r="50">
      <c r="A50" s="3" t="n">
        <v>628</v>
      </c>
      <c r="B50" s="3" t="inlineStr">
        <is>
          <t>Bicillin (Penicillin G benzathine) (PEN11, BIC02)</t>
        </is>
      </c>
      <c r="C50" s="7" t="inlineStr">
        <is>
          <t>High</t>
        </is>
      </c>
      <c r="D50" s="3" t="inlineStr">
        <is>
          <t>Dosing – adult</t>
        </is>
      </c>
      <c r="E50" s="3" t="inlineStr"/>
      <c r="F50" s="3" t="inlineStr">
        <is>
          <t>Complete truncated syphilis dose: 2.4 MU IM single dose</t>
        </is>
      </c>
      <c r="G50" s="3" t="inlineStr">
        <is>
          <t>'Syphilis: 1. Primary, Secondary, Early Latent (' (text cut off; no dose shown)</t>
        </is>
      </c>
      <c r="H50" s="3" t="inlineStr">
        <is>
          <t>Primary, secondary and latent syphilis: 2,400,000 U IM as one dose.</t>
        </is>
      </c>
      <c r="I50" s="3" t="inlineStr">
        <is>
          <t>Taiwan insert 3.1 https://mcp.fda.gov.tw/im_detail_1/%E8%A1%9B%E9%83%A8%E8%97%A5%E8%BC%B8%E5%AD%97%E7%AC%AC026966%E8%99%9F</t>
        </is>
      </c>
      <c r="J50" s="3" t="inlineStr">
        <is>
          <t>Open</t>
        </is>
      </c>
      <c r="K50" s="3" t="inlineStr"/>
    </row>
    <row r="51">
      <c r="A51" s="3" t="n">
        <v>619</v>
      </c>
      <c r="B51" s="3" t="inlineStr">
        <is>
          <t>Bicillin (Penicillin G benzathine) (PEN11, BIC02)</t>
        </is>
      </c>
      <c r="C51" s="7" t="inlineStr">
        <is>
          <t>High</t>
        </is>
      </c>
      <c r="D51" s="3" t="inlineStr">
        <is>
          <t>Dosing – pediatric</t>
        </is>
      </c>
      <c r="E51" s="3" t="inlineStr">
        <is>
          <t>Missing boxed warning</t>
        </is>
      </c>
      <c r="F51" s="3" t="inlineStr">
        <is>
          <t>Replace aqueous PCN G regimen with IM-only benzathine doses; add NOT FOR IV boxed warning</t>
        </is>
      </c>
      <c r="G51" s="3" t="inlineStr">
        <is>
          <t>General dosing, susceptible infection (non-CNS): Infants, Children, and Adolescents: IM, IV: 100,000 to 300,000 units/kg/day in divided doses every 4 to 6 hours; maximum daily dose: 24 million units/day.</t>
        </is>
      </c>
      <c r="H51" s="3" t="inlineStr">
        <is>
          <t>That is the aqueous (crystalline) penicillin G regimen. Benzathine penicillin G is deep IM only, with a boxed warning: 'NOT FOR INTRAVENOUS USE… cardiorespiratory arrest and death'. Pediatric doses are single IM doses: strep URI 0.6 MU for ≤27 kg and 1.2 MU for &gt;27 kg (TW), or congenital syphilis 50,000 U/kg (US). SAFETY ERROR: the field must be corrected.</t>
        </is>
      </c>
      <c r="I51" s="3" t="inlineStr">
        <is>
          <t>TW 仿單 特殊警語 and §3.1 – https://mcp.fda.gov.tw/im_detail_1/%E8%A1%9B%E9%83%A8%E8%97%A5%E8%BC%B8%E5%AD%97%E7%AC%AC026966%E8%99%9F ; US label boxed WARNING and DOSAGE AND ADMINISTRATION – https://dailymed.nlm.nih.gov/dailymed/drugInfo.cfm?setid=012d46f1-d0a0-4676-a879-cd320297ab16</t>
        </is>
      </c>
      <c r="J51" s="3" t="inlineStr">
        <is>
          <t>Open</t>
        </is>
      </c>
      <c r="K51" s="3" t="inlineStr"/>
    </row>
    <row r="52">
      <c r="A52" s="3" t="n">
        <v>627</v>
      </c>
      <c r="B52" s="3" t="inlineStr">
        <is>
          <t>Bicillin (Penicillin G benzathine) (PEN11, BIC02)</t>
        </is>
      </c>
      <c r="C52" s="7" t="inlineStr">
        <is>
          <t>High</t>
        </is>
      </c>
      <c r="D52" s="3" t="inlineStr">
        <is>
          <t>Dosing – pediatric</t>
        </is>
      </c>
      <c r="E52" s="3" t="inlineStr">
        <is>
          <t>Missing boxed warning</t>
        </is>
      </c>
      <c r="F52" s="3" t="inlineStr">
        <is>
          <t>Remove IV aqueous regimen; use IM single doses (0.6/1.2 MU; 50,000 U/kg); add boxed warning</t>
        </is>
      </c>
      <c r="G52" s="3" t="inlineStr">
        <is>
          <t>'Infants, Children, and Adolescents: IM, IV: 100,000 to 300,000 units/kg/day in divided doses every 4 to 6 hours; maximum daily dose: 24 million units/day'</t>
        </is>
      </c>
      <c r="H52" s="3" t="inlineStr">
        <is>
          <t>Penicillin G benzathine is for deep IM injection only. Boxed warning: 'NOT FOR INTRAVENOUS USE … cardiorespiratory arrest and death.' Pediatric doses are single IM injections: ≤27 kg 0.6 MU, &gt;27 kg 1.2 MU (Taiwan insert), or 50,000 U/kg for syphilis. The hospital text is the aqueous penicillin G regimen. SAFETY ERROR.</t>
        </is>
      </c>
      <c r="I52" s="3" t="inlineStr">
        <is>
          <t>Taiwan insert 特殊警語 and 3.1 https://mcp.fda.gov.tw/im_detail_1/%E8%A1%9B%E9%83%A8%E8%97%A5%E8%BC%B8%E5%AD%97%E7%AC%AC026966%E8%99%9F; DailyMed boxed WARNING https://dailymed.nlm.nih.gov/dailymed/drugInfo.cfm?setid=012d46f1-d0a0-4676-a879-cd320297ab16</t>
        </is>
      </c>
      <c r="J52" s="3" t="inlineStr">
        <is>
          <t>Open</t>
        </is>
      </c>
      <c r="K52" s="3" t="inlineStr"/>
    </row>
    <row r="53">
      <c r="A53" s="3" t="n">
        <v>1218</v>
      </c>
      <c r="B53" s="3" t="inlineStr">
        <is>
          <t>Biktarvy (Bictegravir/Emtricitabine/TAF) (BIK01, BIK02)</t>
        </is>
      </c>
      <c r="C53" s="7" t="inlineStr">
        <is>
          <t>High</t>
        </is>
      </c>
      <c r="D53" s="3" t="inlineStr">
        <is>
          <t>Contraindication/warning</t>
        </is>
      </c>
      <c r="E53" s="3" t="inlineStr">
        <is>
          <t>Missing boxed warning</t>
        </is>
      </c>
      <c r="F53" s="3" t="inlineStr">
        <is>
          <t>Add boxed warning for post-treatment HBV exacerbation and HBV testing before initiation.</t>
        </is>
      </c>
      <c r="G53" s="3" t="inlineStr">
        <is>
          <t>No mention anywhere of the boxed warning (post-treatment acute HBV exacerbation) or of HBV testing before starting; the 注意事項 field is empty.</t>
        </is>
      </c>
      <c r="H53" s="3" t="inlineStr">
        <is>
          <t>Both the Taiwan insert (特殊警語) and the US label carry the boxed warning 'post-treatment acute exacerbation of hepatitis B' and require HBV testing before or at initiation.</t>
        </is>
      </c>
      <c r="I53" s="3" t="inlineStr">
        <is>
          <t>Taiwan insert 特殊警語 and §3.1.1 https://mcp.fda.gov.tw/im_detail_1/%E8%A1%9B%E9%83%A8%E8%97%A5%E8%BC%B8%E5%AD%97%E7%AC%AC027570%E8%99%9F; US FDA label Boxed Warning, §2.1 https://dailymed.nlm.nih.gov/dailymed/drugInfo.cfm?setid=664cb8f0-1f65-441b-b0d9-ba3d798be309</t>
        </is>
      </c>
      <c r="J53" s="3" t="inlineStr">
        <is>
          <t>Open</t>
        </is>
      </c>
      <c r="K53" s="3" t="inlineStr"/>
    </row>
    <row r="54">
      <c r="A54" s="3" t="n">
        <v>1214</v>
      </c>
      <c r="B54" s="3" t="inlineStr">
        <is>
          <t>Biktarvy (Bictegravir/Emtricitabine/TAF) (BIK01, BIK02)</t>
        </is>
      </c>
      <c r="C54" s="7" t="inlineStr">
        <is>
          <t>High</t>
        </is>
      </c>
      <c r="D54" s="3" t="inlineStr">
        <is>
          <t>Dosing – hepatic</t>
        </is>
      </c>
      <c r="E54" s="3" t="inlineStr"/>
      <c r="F54" s="3" t="inlineStr">
        <is>
          <t>Fix swapped Child-Pugh classes: A/B no adjustment; C not recommended.</t>
        </is>
      </c>
      <c r="G54" s="3" t="inlineStr">
        <is>
          <t>1. Mild to moderate impairment (Child-Pugh class C): Not recommended (has not been studied); 2. Severe impairment (Child-Pugh class A, B): No dosage adjustments necessary</t>
        </is>
      </c>
      <c r="H54" s="3" t="inlineStr">
        <is>
          <t>Child-Pugh A (mild) and B (moderate): no dose adjustment. Child-Pugh C (severe): not recommended (not studied). The hospital has the Child-Pugh classes swapped, which could stop the drug in mild/moderate disease or allow it in severe disease.</t>
        </is>
      </c>
      <c r="I54" s="3" t="inlineStr">
        <is>
          <t>Taiwan insert §6.6 / §3.3.3 https://mcp.fda.gov.tw/im_detail_1/%E8%A1%9B%E9%83%A8%E8%97%A5%E8%BC%B8%E5%AD%97%E7%AC%AC027570%E8%99%9F; US FDA label §8.7 https://dailymed.nlm.nih.gov/dailymed/drugInfo.cfm?setid=664cb8f0-1f65-441b-b0d9-ba3d798be309</t>
        </is>
      </c>
      <c r="J54" s="3" t="inlineStr">
        <is>
          <t>Open</t>
        </is>
      </c>
      <c r="K54" s="3" t="inlineStr"/>
    </row>
    <row r="55">
      <c r="A55" s="3" t="n">
        <v>1222</v>
      </c>
      <c r="B55" s="3" t="inlineStr">
        <is>
          <t>Biktarvy (Bictegravir/Emtricitabine/TAF) (BIK01, BIK02)</t>
        </is>
      </c>
      <c r="C55" s="7" t="inlineStr">
        <is>
          <t>High</t>
        </is>
      </c>
      <c r="D55" s="3" t="inlineStr">
        <is>
          <t>Dosing – hepatic</t>
        </is>
      </c>
      <c r="E55" s="3" t="inlineStr"/>
      <c r="F55" s="3" t="inlineStr">
        <is>
          <t>Correct swapped Child-Pugh classes: A/B no adjustment, C not recommended.</t>
        </is>
      </c>
      <c r="G55" s="3" t="inlineStr">
        <is>
          <t>1. Mild to moderate impairment (Child-Pugh class C): Not recommended (has not been studied) 2. Severe impairment (Child-Pugh class A, B): No dosage adjustments necessary</t>
        </is>
      </c>
      <c r="H55" s="3" t="inlineStr">
        <is>
          <t>Mild (Child-Pugh A) or moderate (Child-Pugh B): no dose adjustment. Severe (Child-Pugh C): not recommended (not studied).</t>
        </is>
      </c>
      <c r="I55" s="3" t="inlineStr">
        <is>
          <t>Taiwan 仿單 v4 §6.6 / US label §8.7 / UK SmPC 4.2: https://mcp.fda.gov.tw/im_detail_1/%E8%A1%9B%E9%83%A8%E8%97%A5%E8%BC%B8%E5%AD%97%E7%AC%AC027570%E8%99%9F</t>
        </is>
      </c>
      <c r="J55" s="3" t="inlineStr">
        <is>
          <t>Open</t>
        </is>
      </c>
      <c r="K55" s="3" t="inlineStr"/>
    </row>
    <row r="56">
      <c r="A56" s="3" t="n">
        <v>659</v>
      </c>
      <c r="B56" s="3" t="inlineStr">
        <is>
          <t>Bobimixyn (Polymyxin B) (BOB01)</t>
        </is>
      </c>
      <c r="C56" s="7" t="inlineStr">
        <is>
          <t>High</t>
        </is>
      </c>
      <c r="D56" s="3" t="inlineStr">
        <is>
          <t>Contraindication/warning</t>
        </is>
      </c>
      <c r="E56" s="3" t="inlineStr"/>
      <c r="F56" s="3" t="inlineStr">
        <is>
          <t>Add myasthenia gravis contraindication (TW insert §4)</t>
        </is>
      </c>
      <c r="G56" s="3" t="inlineStr">
        <is>
          <t>Hypersensitivity to polymyxin B or any component of the formulation</t>
        </is>
      </c>
      <c r="H56" s="3" t="inlineStr">
        <is>
          <t>The Taiwan insert also contraindicates use in patients with myasthenia gravis ('曾對多黏菌素類抗生素產生嚴重過敏反應者與重症肌無力病人，不得使用本藥品').</t>
        </is>
      </c>
      <c r="I56" s="3" t="inlineStr">
        <is>
          <t>TW insert 4 禁忌 — https://mcp.fda.gov.tw/im_detail_1/%E8%A1%9B%E9%83%A8%E8%97%A5%E8%A3%BD%E5%AD%97%E7%AC%AC061557%E8%99%9F</t>
        </is>
      </c>
      <c r="J56" s="3" t="inlineStr">
        <is>
          <t>Open</t>
        </is>
      </c>
      <c r="K56" s="3" t="inlineStr"/>
    </row>
    <row r="57">
      <c r="A57" s="3" t="n">
        <v>670</v>
      </c>
      <c r="B57" s="3" t="inlineStr">
        <is>
          <t>Bobimixyn (Polymyxin B) (BOB01)</t>
        </is>
      </c>
      <c r="C57" s="7" t="inlineStr">
        <is>
          <t>High</t>
        </is>
      </c>
      <c r="D57" s="3" t="inlineStr">
        <is>
          <t>Contraindication/warning</t>
        </is>
      </c>
      <c r="E57" s="3" t="inlineStr"/>
      <c r="F57" s="3" t="inlineStr">
        <is>
          <t>Add myasthenia gravis contraindication (TW §4)</t>
        </is>
      </c>
      <c r="G57" s="3" t="inlineStr">
        <is>
          <t>Hypersensitivity to polymyxin B or any component only</t>
        </is>
      </c>
      <c r="H57" s="3" t="inlineStr">
        <is>
          <t>TW §4 also contraindicates myasthenia gravis (重症肌無力病人，不得使用本藥品).</t>
        </is>
      </c>
      <c r="I57" s="3" t="inlineStr">
        <is>
          <t>Taiwan insert §4 禁忌</t>
        </is>
      </c>
      <c r="J57" s="3" t="inlineStr">
        <is>
          <t>Open</t>
        </is>
      </c>
      <c r="K57" s="3" t="inlineStr"/>
    </row>
    <row r="58">
      <c r="A58" s="3" t="n">
        <v>658</v>
      </c>
      <c r="B58" s="3" t="inlineStr">
        <is>
          <t>Bobimixyn (Polymyxin B) (BOB01)</t>
        </is>
      </c>
      <c r="C58" s="7" t="inlineStr">
        <is>
          <t>High</t>
        </is>
      </c>
      <c r="D58" s="3" t="inlineStr">
        <is>
          <t>Dosing – adult</t>
        </is>
      </c>
      <c r="E58" s="3" t="inlineStr"/>
      <c r="F58" s="3" t="inlineStr">
        <is>
          <t>Mark loading/30,000 U/kg/day regimen as consensus off-label; state label max 25,000 U/kg/day</t>
        </is>
      </c>
      <c r="G58" s="3" t="inlineStr">
        <is>
          <t>LD 20,000–25,000 units/kg, then 12,500–15,000 units/kg q12h; 'pharmacokinetic data do not support routine dose capping'</t>
        </is>
      </c>
      <c r="H58" s="3" t="inlineStr">
        <is>
          <t>The Taiwan insert and US label both give 15,000–25,000 units/kg/day q12h with a maximum of 25,000 units/kg/day. The hospital's maintenance dose (25,000–30,000 units/kg/day) plus the loading dose goes above the label maximum. These are consensus values (R15/R16) and are not marked as off-label.</t>
        </is>
      </c>
      <c r="I58" s="3" t="inlineStr">
        <is>
          <t>TW insert 3.1; US label Adults and children; Tsuji 2019 R15/R16</t>
        </is>
      </c>
      <c r="J58" s="3" t="inlineStr">
        <is>
          <t>Open</t>
        </is>
      </c>
      <c r="K58" s="3" t="inlineStr"/>
    </row>
    <row r="59">
      <c r="A59" s="3" t="n">
        <v>667</v>
      </c>
      <c r="B59" s="3" t="inlineStr">
        <is>
          <t>Bobimixyn (Polymyxin B) (BOB01)</t>
        </is>
      </c>
      <c r="C59" s="7" t="inlineStr">
        <is>
          <t>High</t>
        </is>
      </c>
      <c r="D59" s="3" t="inlineStr">
        <is>
          <t>Dosing – adult</t>
        </is>
      </c>
      <c r="E59" s="3" t="inlineStr"/>
      <c r="F59" s="3" t="inlineStr">
        <is>
          <t>Label dose 15,000-25,000 U/kg/day (max 25,000); mark consensus loading/higher doses as off-label</t>
        </is>
      </c>
      <c r="G59" s="3" t="inlineStr">
        <is>
          <t>LD 20,000–25,000 units/kg, then 12,500–15,000 units/kg q12h (25,000–30,000 units/kg/day); no routine dose cap</t>
        </is>
      </c>
      <c r="H59" s="3" t="inlineStr">
        <is>
          <t>TW §3.1 and US label: 15,000–25,000 units/kg/day q12h, 'maximum 25,000 units/kg/day'. Neither label has a loading dose. The hospital regimen is the 2019 consensus (R15–R16) and is above the label maximum, but the hospital page does not say it is off-label.</t>
        </is>
      </c>
      <c r="I59" s="3" t="inlineStr">
        <is>
          <t>Taiwan insert §3.1 (URL above); US label Dosage https://dailymed.nlm.nih.gov/dailymed/drugInfo.cfm?setid=b56f18c0-ef5e-4ed9-a5af-f79f3cd189b6</t>
        </is>
      </c>
      <c r="J59" s="3" t="inlineStr">
        <is>
          <t>Open</t>
        </is>
      </c>
      <c r="K59" s="3" t="inlineStr"/>
    </row>
    <row r="60">
      <c r="A60" s="3" t="n">
        <v>660</v>
      </c>
      <c r="B60" s="3" t="inlineStr">
        <is>
          <t>Bobimixyn (Polymyxin B) (BOB01)</t>
        </is>
      </c>
      <c r="C60" s="7" t="inlineStr">
        <is>
          <t>High</t>
        </is>
      </c>
      <c r="D60" s="3" t="inlineStr">
        <is>
          <t>Dosing – pediatric</t>
        </is>
      </c>
      <c r="E60" s="3" t="inlineStr"/>
      <c r="F60" s="3" t="inlineStr">
        <is>
          <t>Replace pediatric regimen with US label 15,000-25,000 U/kg/day; note TW adults only</t>
        </is>
      </c>
      <c r="G60" s="3" t="inlineStr">
        <is>
          <t>Pediatric IV regimen: LD 25,000 units/kg; maintenance 25,000–30,000 units/kg/day divided q12h</t>
        </is>
      </c>
      <c r="H60" s="3" t="inlineStr">
        <is>
          <t>The Taiwan insert indication covers adults only, and section 6.4 has no paediatric information. The US label gives 15,000–25,000 units/kg/day IV (maximum 25,000) for children and up to 40,000 units/kg/day for infants, with no loading dose. The hospital regimen is not from either label.</t>
        </is>
      </c>
      <c r="I60" s="3" t="inlineStr">
        <is>
          <t>TW insert 2, 6.4; US label Adults and children / Infants</t>
        </is>
      </c>
      <c r="J60" s="3" t="inlineStr">
        <is>
          <t>Open</t>
        </is>
      </c>
      <c r="K60" s="3" t="inlineStr"/>
    </row>
    <row r="61">
      <c r="A61" s="3" t="n">
        <v>671</v>
      </c>
      <c r="B61" s="3" t="inlineStr">
        <is>
          <t>Bobimixyn (Polymyxin B) (BOB01)</t>
        </is>
      </c>
      <c r="C61" s="7" t="inlineStr">
        <is>
          <t>High</t>
        </is>
      </c>
      <c r="D61" s="3" t="inlineStr">
        <is>
          <t>Dosing – pediatric</t>
        </is>
      </c>
      <c r="E61" s="3" t="inlineStr"/>
      <c r="F61" s="3" t="inlineStr">
        <is>
          <t>Mark adult-only (TW); align peds to US 15,000–25,000 U/kg/day (infants ≤40,000), remove loading dose</t>
        </is>
      </c>
      <c r="G61" s="3" t="inlineStr">
        <is>
          <t>Infants/children/adolescents: LD 25,000 units/kg; 25,000–30,000 units/kg/day ÷ q12h (range 15,000–40,000)</t>
        </is>
      </c>
      <c r="H61" s="3" t="inlineStr">
        <is>
          <t>TW insert: the indication is for adults only (§2), with no pediatric information (§6.4). The US label gives 15,000–25,000 units/kg/day (max 25,000) for children and up to 40,000 units/kg/day for infants, with no loading dose. The hospital's 25,000–30,000 units/kg/day for children is above the US maximum.</t>
        </is>
      </c>
      <c r="I61" s="3" t="inlineStr">
        <is>
          <t>Taiwan insert §2, §6.4; US label Dosage (Adults and children; Infants)</t>
        </is>
      </c>
      <c r="J61" s="3" t="inlineStr">
        <is>
          <t>Open</t>
        </is>
      </c>
      <c r="K61" s="3" t="inlineStr"/>
    </row>
    <row r="62">
      <c r="A62" s="3" t="n">
        <v>656</v>
      </c>
      <c r="B62" s="3" t="inlineStr">
        <is>
          <t>Bobimixyn (Polymyxin B) (BOB01)</t>
        </is>
      </c>
      <c r="C62" s="7" t="inlineStr">
        <is>
          <t>High</t>
        </is>
      </c>
      <c r="D62" s="3" t="inlineStr">
        <is>
          <t>Dosing – renal/dialysis</t>
        </is>
      </c>
      <c r="E62" s="3" t="inlineStr"/>
      <c r="F62" s="3" t="inlineStr">
        <is>
          <t>Replace 'no adjustment' with label: adjust dose by renal function, monitor closely (TW 3.3/6.7, US)</t>
        </is>
      </c>
      <c r="G62" s="3" t="inlineStr">
        <is>
          <t>No dosage adjustment is necessary for any degree of kidney dysfunction</t>
        </is>
      </c>
      <c r="H62" s="3" t="inlineStr">
        <is>
          <t>The Taiwan insert for this product gives no adjustment only for CrCl 60–89. For CrCl 15–59 and ESRD it says to choose the dose carefully by renal function within 15,000–25,000 units/kg/day (3.3), and section 6.7 says the dose needs adjusting with more frequent renal monitoring. The US label says to reduce from 15,000 units/kg downward. The hospital's wording follows the 2019 consensus (R17), not the label.</t>
        </is>
      </c>
      <c r="I62" s="3" t="inlineStr">
        <is>
          <t>TW insert 3.3, 6.7 — https://mcp.fda.gov.tw/im_detail_1/%E8%A1%9B%E9%83%A8%E8%97%A5%E8%A3%BD%E5%AD%97%E7%AC%AC061557%E8%99%9F; US label (Adults and children) — https://dailymed.nlm.nih.gov/dailymed/drugInfo.cfm?setid=b56f18c0-ef5e-4ed9-a5af-f79f3cd189b6</t>
        </is>
      </c>
      <c r="J62" s="3" t="inlineStr">
        <is>
          <t>Open</t>
        </is>
      </c>
      <c r="K62" s="3" t="inlineStr"/>
    </row>
    <row r="63">
      <c r="A63" s="3" t="n">
        <v>668</v>
      </c>
      <c r="B63" s="3" t="inlineStr">
        <is>
          <t>Bobimixyn (Polymyxin B) (BOB01)</t>
        </is>
      </c>
      <c r="C63" s="7" t="inlineStr">
        <is>
          <t>High</t>
        </is>
      </c>
      <c r="D63" s="3" t="inlineStr">
        <is>
          <t>Dosing – renal/dialysis</t>
        </is>
      </c>
      <c r="E63" s="3" t="inlineStr"/>
      <c r="F63" s="3" t="inlineStr">
        <is>
          <t>Replace 'no adjustment' with label renal dose-adjustment and monitoring advice</t>
        </is>
      </c>
      <c r="G63" s="3" t="inlineStr">
        <is>
          <t>No dosage adjustment for any degree of kidney dysfunction</t>
        </is>
      </c>
      <c r="H63" s="3" t="inlineStr">
        <is>
          <t>TW §3.3: CLcr 15–59 and ESRD keep 15,000–25,000 units/kg/day but '宜考量病患腎功能謹慎選擇劑量'. TW §6.7 says the dose needs adjusting and renal function needs closer monitoring. US label: reduce from 15,000 units/kg downward. Only the 2019 consensus (R17) says no adjustment.</t>
        </is>
      </c>
      <c r="I63" s="3" t="inlineStr">
        <is>
          <t>Taiwan insert §3.3, §6.7; US label Boxed WARNING/Dosage</t>
        </is>
      </c>
      <c r="J63" s="3" t="inlineStr">
        <is>
          <t>Open</t>
        </is>
      </c>
      <c r="K63" s="3" t="inlineStr"/>
    </row>
    <row r="64">
      <c r="A64" s="3" t="n">
        <v>271</v>
      </c>
      <c r="B64" s="3" t="inlineStr">
        <is>
          <t>Brosym (cefoperazone-sulbactam) (BRO04, BUR01)</t>
        </is>
      </c>
      <c r="C64" s="7" t="inlineStr">
        <is>
          <t>High</t>
        </is>
      </c>
      <c r="D64" s="3" t="inlineStr">
        <is>
          <t>Administration/compatibility</t>
        </is>
      </c>
      <c r="E64" s="3" t="inlineStr"/>
      <c r="F64" s="3" t="inlineStr">
        <is>
          <t>Remove IM; IV push ≥3 min or IV infusion only per TW insert</t>
        </is>
      </c>
      <c r="G64" s="3" t="inlineStr">
        <is>
          <t>(IV, IM) The total adult daily dose is 1g/1g to 2g/2g…</t>
        </is>
      </c>
      <c r="H64" s="3" t="inlineStr">
        <is>
          <t>IV push (≥3 min) or IV infusion only: '只限靜脈注射，不可皮下及肌肉注射'</t>
        </is>
      </c>
      <c r="I64" s="3" t="inlineStr">
        <is>
          <t>Brosym TW insert §3.1 &amp; §15(3) — https://mcp.fda.gov.tw/im_detail_1/%E8%A1%9B%E9%83%A8%E8%97%A5%E8%A3%BD%E5%AD%97%E7%AC%AC058156%E8%99%9F</t>
        </is>
      </c>
      <c r="J64" s="3" t="inlineStr">
        <is>
          <t>Open</t>
        </is>
      </c>
      <c r="K64" s="3" t="inlineStr"/>
    </row>
    <row r="65">
      <c r="A65" s="3" t="n">
        <v>278</v>
      </c>
      <c r="B65" s="3" t="inlineStr">
        <is>
          <t>Brosym (cefoperazone-sulbactam) (BRO04, BUR01)</t>
        </is>
      </c>
      <c r="C65" s="7" t="inlineStr">
        <is>
          <t>High</t>
        </is>
      </c>
      <c r="D65" s="3" t="inlineStr">
        <is>
          <t>Administration/compatibility</t>
        </is>
      </c>
      <c r="E65" s="3" t="inlineStr"/>
      <c r="F65" s="3" t="inlineStr">
        <is>
          <t>Remove IM route; IV only (push ≥3 min or infusion)</t>
        </is>
      </c>
      <c r="G65" s="3" t="inlineStr">
        <is>
          <t>Usual dose: (IV, IM)</t>
        </is>
      </c>
      <c r="H65" s="3" t="inlineStr">
        <is>
          <t>IV push (≥3 min) or IV infusion only; '只限靜脈注射，不可皮下及肌肉注射'</t>
        </is>
      </c>
      <c r="I65" s="3" t="inlineStr">
        <is>
          <t>TFDA insert Brosym §3.1, §15 其他 (3)</t>
        </is>
      </c>
      <c r="J65" s="3" t="inlineStr">
        <is>
          <t>Open</t>
        </is>
      </c>
      <c r="K65" s="3" t="inlineStr"/>
    </row>
    <row r="66">
      <c r="A66" s="3" t="n">
        <v>275</v>
      </c>
      <c r="B66" s="3" t="inlineStr">
        <is>
          <t>Brosym (cefoperazone-sulbactam) (BRO04, BUR01)</t>
        </is>
      </c>
      <c r="C66" s="7" t="inlineStr">
        <is>
          <t>High</t>
        </is>
      </c>
      <c r="D66" s="3" t="inlineStr">
        <is>
          <t>Drug interaction</t>
        </is>
      </c>
      <c r="E66" s="3" t="inlineStr">
        <is>
          <t>Interaction list incomplete</t>
        </is>
      </c>
      <c r="F66" s="3" t="inlineStr">
        <is>
          <t>Add disulfiram-like reaction: avoid alcohol during and ≥1 week after therapy</t>
        </is>
      </c>
      <c r="G66" s="3" t="inlineStr">
        <is>
          <t>Neither page mentions alcohol or a disulfiram-like reaction (grep for 酒/alcohol/disulfiram found 0 hits on either page).</t>
        </is>
      </c>
      <c r="H66" s="3" t="inlineStr">
        <is>
          <t>A disulfiram-like reaction with alcohol (N-MTT) is possible. No alcohol during treatment and for at least 1 week afterwards.</t>
        </is>
      </c>
      <c r="I66" s="3" t="inlineStr">
        <is>
          <t>Brosym TW insert §7 交互作用 — https://mcp.fda.gov.tw/im_detail_1/%E8%A1%9B%E9%83%A8%E8%97%A5%E8%A3%BD%E5%AD%97%E7%AC%AC058156%E8%99%9F</t>
        </is>
      </c>
      <c r="J66" s="3" t="inlineStr">
        <is>
          <t>Open</t>
        </is>
      </c>
      <c r="K66" s="3" t="inlineStr"/>
    </row>
    <row r="67">
      <c r="A67" s="3" t="n">
        <v>282</v>
      </c>
      <c r="B67" s="3" t="inlineStr">
        <is>
          <t>Brosym (cefoperazone-sulbactam) (BRO04, BUR01)</t>
        </is>
      </c>
      <c r="C67" s="7" t="inlineStr">
        <is>
          <t>High</t>
        </is>
      </c>
      <c r="D67" s="3" t="inlineStr">
        <is>
          <t>Drug interaction</t>
        </is>
      </c>
      <c r="E67" s="3" t="inlineStr">
        <is>
          <t>Interaction list incomplete</t>
        </is>
      </c>
      <c r="F67" s="3" t="inlineStr">
        <is>
          <t>Add disulfiram-like alcohol reaction (avoid ≥1 week after) and furosemide nephrotoxicity</t>
        </is>
      </c>
      <c r="G67" s="3" t="inlineStr">
        <is>
          <t>No mention of alcohol or the disulfiram-like reaction (text search for alcohol, disulfiram and 酒 found nothing on either page)</t>
        </is>
      </c>
      <c r="H67" s="3" t="inlineStr">
        <is>
          <t>TW 仿單 §7: disulfiram-like reaction (N-MTT); no alcohol during treatment and for at least 1 week after. Furosemide may increase nephrotoxicity.</t>
        </is>
      </c>
      <c r="I67" s="3" t="inlineStr">
        <is>
          <t>TFDA insert Brosym §7 交互作用; Burotam PDF §7 https://mcp.fda.gov.tw/insert/pdfcasefile/i_ae59ce8f-6bf8-4727-adf2-f5f34e067be1</t>
        </is>
      </c>
      <c r="J67" s="3" t="inlineStr">
        <is>
          <t>Open</t>
        </is>
      </c>
      <c r="K67" s="3" t="inlineStr"/>
    </row>
    <row r="68">
      <c r="A68" s="3" t="n">
        <v>270</v>
      </c>
      <c r="B68" s="3" t="inlineStr">
        <is>
          <t>Brosym (cefoperazone-sulbactam) (BRO04, BUR01)</t>
        </is>
      </c>
      <c r="C68" s="7" t="inlineStr">
        <is>
          <t>High</t>
        </is>
      </c>
      <c r="D68" s="3" t="inlineStr">
        <is>
          <t>Pharmacokinetics/other</t>
        </is>
      </c>
      <c r="E68" s="3" t="inlineStr"/>
      <c r="F68" s="3" t="inlineStr">
        <is>
          <t>Correct 2 g vial strength: cefoperazone 1 g + sulbactam 1 g</t>
        </is>
      </c>
      <c r="G68" s="3" t="inlineStr">
        <is>
          <t>powder for reconstitution: cefoperazone sodium 0.5 g and sulbactam sodium 0.5 g (on the 2 g/vial product pages)</t>
        </is>
      </c>
      <c r="H68" s="3" t="inlineStr">
        <is>
          <t>The 2 g vial contains cefoperazone sodium 1000 mg and sulbactam sodium 1000 mg. The 0.5 g/0.5 g strength is the 1 g vial.</t>
        </is>
      </c>
      <c r="I68" s="3" t="inlineStr">
        <is>
          <t>Brosym TW insert §1.1 — https://mcp.fda.gov.tw/im_detail_1/%E8%A1%9B%E9%83%A8%E8%97%A5%E8%A3%BD%E5%AD%97%E7%AC%AC058156%E8%99%9F; Burotam TW insert §1.1 — https://mcp.fda.gov.tw/im_detail_1/%E8%A1%9B%E9%83%A8%E8%97%A5%E8%A3%BD%E5%AD%97%E7%AC%AC061039%E8%99%9F</t>
        </is>
      </c>
      <c r="J68" s="3" t="inlineStr">
        <is>
          <t>Open</t>
        </is>
      </c>
      <c r="K68" s="3" t="inlineStr"/>
    </row>
    <row r="69">
      <c r="A69" s="3" t="n">
        <v>277</v>
      </c>
      <c r="B69" s="3" t="inlineStr">
        <is>
          <t>Brosym (cefoperazone-sulbactam) (BRO04, BUR01)</t>
        </is>
      </c>
      <c r="C69" s="7" t="inlineStr">
        <is>
          <t>High</t>
        </is>
      </c>
      <c r="D69" s="3" t="inlineStr">
        <is>
          <t>Pharmacokinetics/other</t>
        </is>
      </c>
      <c r="E69" s="3" t="inlineStr"/>
      <c r="F69" s="3" t="inlineStr">
        <is>
          <t>Correct 2 g vial strength to cefoperazone 1 g + sulbactam 1 g</t>
        </is>
      </c>
      <c r="G69" s="3" t="inlineStr">
        <is>
          <t>powder for reconstitution: cefoperazone sodium 0.5 g and sulbactam sodium 0.5 g (product listed as 2 g/Vial)</t>
        </is>
      </c>
      <c r="H69" s="3" t="inlineStr">
        <is>
          <t>2 g vial = cefoperazone sodium 1000 mg + sulbactam sodium 1000 mg; 0.5 g/0.5 g is the 1 g vial</t>
        </is>
      </c>
      <c r="I69" s="3" t="inlineStr">
        <is>
          <t>TFDA insert Brosym §1.1 https://mcp.fda.gov.tw/im_detail_1/%E8%A1%9B%E9%83%A8%E8%97%A5%E8%A3%BD%E5%AD%97%E7%AC%AC058156%E8%99%9F ; Burotam §1.1 https://mcp.fda.gov.tw/im_detail_1/%E8%A1%9B%E9%83%A8%E8%97%A5%E8%A3%BD%E5%AD%97%E7%AC%AC061039%E8%99%9F</t>
        </is>
      </c>
      <c r="J69" s="3" t="inlineStr">
        <is>
          <t>Open</t>
        </is>
      </c>
      <c r="K69" s="3" t="inlineStr"/>
    </row>
    <row r="70">
      <c r="A70" s="3" t="n">
        <v>466</v>
      </c>
      <c r="B70" s="3" t="inlineStr">
        <is>
          <t>Cefa (Cefazolin) (CEF01)</t>
        </is>
      </c>
      <c r="C70" s="7" t="inlineStr">
        <is>
          <t>High</t>
        </is>
      </c>
      <c r="D70" s="3" t="inlineStr">
        <is>
          <t>Dosing – pediatric</t>
        </is>
      </c>
      <c r="E70" s="3" t="inlineStr"/>
      <c r="F70" s="3" t="inlineStr">
        <is>
          <t>Label max 100 mg/kg/day; cite guideline source for 150 mg/kg/day or remove</t>
        </is>
      </c>
      <c r="G70" s="3" t="inlineStr">
        <is>
          <t>25–100 mg/kg/day q8h; up to 150 mg/kg/day for serious infection</t>
        </is>
      </c>
      <c r="H70" s="3" t="inlineStr">
        <is>
          <t>Label maximum is 100 mg/kg/day in 3–4 doses (US) or 2–4 doses (UK); TW gives 20–50 mg/kg/day. 150 mg/kg/day is off-label and needs a guideline source.</t>
        </is>
      </c>
      <c r="I70" s="3" t="inlineStr">
        <is>
          <t>US FDA label Pediatric Dosage – https://dailymed.nlm.nih.gov/dailymed/drugInfo.cfm?setid=922fb1a1-ad4c-4a12-8d5d-00fe13af18e8; UK SmPC §4.2 – https://www.medicines.org.uk/emc/product/102464/smpc</t>
        </is>
      </c>
      <c r="J70" s="3" t="inlineStr">
        <is>
          <t>Open</t>
        </is>
      </c>
      <c r="K70" s="3" t="inlineStr"/>
    </row>
    <row r="71">
      <c r="A71" s="3" t="n">
        <v>473</v>
      </c>
      <c r="B71" s="3" t="inlineStr">
        <is>
          <t>Cefa (Cefazolin) (CEF01)</t>
        </is>
      </c>
      <c r="C71" s="7" t="inlineStr">
        <is>
          <t>High</t>
        </is>
      </c>
      <c r="D71" s="3" t="inlineStr">
        <is>
          <t>Dosing – pediatric</t>
        </is>
      </c>
      <c r="E71" s="3" t="inlineStr"/>
      <c r="F71" s="3" t="inlineStr">
        <is>
          <t>Peds: 25–50 mg/kg/day, max 100 mg/kg/day; add neonatal restriction and pediatric renal table</t>
        </is>
      </c>
      <c r="G71" s="3" t="inlineStr">
        <is>
          <t>25-100 mg/kg/day divided q8h; serious infection up to 150 mg/kg/day q6-8h, not to exceed 12 g/day; usual max 2 g/dose</t>
        </is>
      </c>
      <c r="H71" s="3" t="inlineStr">
        <is>
          <t>Labels: 25-50 mg/kg/day in 3-4 doses (UK 2-4), up to 100 mg/kg/day for severe infection. No label supports 150 mg/kg/day. The neonatal (&lt;1 month) restriction and the pediatric renal table are missing.</t>
        </is>
      </c>
      <c r="I71" s="3" t="inlineStr">
        <is>
          <t>US PLR §2.2 Table 2, §2.4 Table 5, §8.4; UK SmPC §4.2; TW 仿單 §5.1 小兒使用</t>
        </is>
      </c>
      <c r="J71" s="3" t="inlineStr">
        <is>
          <t>Open</t>
        </is>
      </c>
      <c r="K71" s="3" t="inlineStr"/>
    </row>
    <row r="72">
      <c r="A72" s="3" t="n">
        <v>462</v>
      </c>
      <c r="B72" s="3" t="inlineStr">
        <is>
          <t>Cefa (Cefazolin) (CEF01)</t>
        </is>
      </c>
      <c r="C72" s="7" t="inlineStr">
        <is>
          <t>High</t>
        </is>
      </c>
      <c r="D72" s="3" t="inlineStr">
        <is>
          <t>Dosing – renal/dialysis</t>
        </is>
      </c>
      <c r="E72" s="3" t="inlineStr">
        <is>
          <t>Renal table outdated</t>
        </is>
      </c>
      <c r="F72" s="3" t="inlineStr">
        <is>
          <t>CrCl &lt;10: give loading dose, then half usual dose q18–24h (US/UK)</t>
        </is>
      </c>
      <c r="G72" s="3" t="inlineStr">
        <is>
          <t>0.5–1 g q24h</t>
        </is>
      </c>
      <c r="H72" s="3" t="inlineStr">
        <is>
          <t>Half the usual dose every 18–24 h, after a loading dose (US and UK). With a 1 g usual dose, 1 g q24h is not a half dose; the hospital gives a fixed q24h interval instead of q18–24h, and no loading dose is mentioned anywhere in the renal field.</t>
        </is>
      </c>
      <c r="I72" s="3" t="inlineStr">
        <is>
          <t>US FDA label DOSAGE AND ADMINISTRATION renal adjustment – https://dailymed.nlm.nih.gov/dailymed/drugInfo.cfm?setid=922fb1a1-ad4c-4a12-8d5d-00fe13af18e8; UK SmPC §4.2 – https://www.medicines.org.uk/emc/product/102464/smpc</t>
        </is>
      </c>
      <c r="J72" s="3" t="inlineStr">
        <is>
          <t>Open</t>
        </is>
      </c>
      <c r="K72" s="3" t="inlineStr"/>
    </row>
    <row r="73">
      <c r="A73" s="3" t="n">
        <v>464</v>
      </c>
      <c r="B73" s="3" t="inlineStr">
        <is>
          <t>Cefa (Cefazolin) (CEF01)</t>
        </is>
      </c>
      <c r="C73" s="7" t="inlineStr">
        <is>
          <t>High</t>
        </is>
      </c>
      <c r="D73" s="3" t="inlineStr">
        <is>
          <t>Dosing – renal/dialysis</t>
        </is>
      </c>
      <c r="E73" s="3" t="inlineStr">
        <is>
          <t>Renal table outdated</t>
        </is>
      </c>
      <c r="F73" s="3" t="inlineStr">
        <is>
          <t>Express renal table as fractions of usual dose so 2 g q8h regimens scale (e.g. 1 g q12h at CrCl 11–34)</t>
        </is>
      </c>
      <c r="G73" s="3" t="inlineStr">
        <is>
          <t>Renal table based on 1 g doses (CrCl &gt;55: 1 g q6–8h), while most treatment regimens use 2 g IV q8h</t>
        </is>
      </c>
      <c r="H73" s="3" t="inlineStr">
        <is>
          <t>The labels express renal dosing as a fraction of the usual dose (full, then ½ dose), so the table should scale from whatever dose is used. A patient on 2 g q8h with CrCl 11–34 would need 1 g q12h by label; the hospital table gives 0.5–1 g q12h. The tables do not line up.</t>
        </is>
      </c>
      <c r="I73" s="3" t="inlineStr">
        <is>
          <t>US FDA label renal adjustment – https://dailymed.nlm.nih.gov/dailymed/drugInfo.cfm?setid=922fb1a1-ad4c-4a12-8d5d-00fe13af18e8</t>
        </is>
      </c>
      <c r="J73" s="3" t="inlineStr">
        <is>
          <t>Open</t>
        </is>
      </c>
      <c r="K73" s="3" t="inlineStr"/>
    </row>
    <row r="74">
      <c r="A74" s="3" t="n">
        <v>470</v>
      </c>
      <c r="B74" s="3" t="inlineStr">
        <is>
          <t>Cefa (Cefazolin) (CEF01)</t>
        </is>
      </c>
      <c r="C74" s="7" t="inlineStr">
        <is>
          <t>High</t>
        </is>
      </c>
      <c r="D74" s="3" t="inlineStr">
        <is>
          <t>Dosing – renal/dialysis</t>
        </is>
      </c>
      <c r="E74" s="3" t="inlineStr">
        <is>
          <t>Renal table outdated</t>
        </is>
      </c>
      <c r="F74" s="3" t="inlineStr">
        <is>
          <t>State loading dose; base reductions on usual dose (incl. 2 g q8h), not fixed 1 g</t>
        </is>
      </c>
      <c r="G74" s="3" t="inlineStr">
        <is>
          <t>ClCr &gt;55: 1 g Q6-8H, and all reduced bands are expressed from a 1 g base</t>
        </is>
      </c>
      <c r="H74" s="3" t="inlineStr">
        <is>
          <t>CrCl ≥55: full usual dose (US Table 1 up to 1-1.5 g q6h; guideline MSSA 2 g q8h). Reductions are fractions of the usual dose, given after a loading dose. The fixed 1 g base conflicts with the 2 g q8h the same page uses for treatment, and there is no loading-dose statement.</t>
        </is>
      </c>
      <c r="I74" s="3" t="inlineStr">
        <is>
          <t>US FDA PLR label §2.1 Table 1, §2.4 Table 4 – https://dailymed.nlm.nih.gov/dailymed/drugInfo.cfm?setid=1367568c-7d27-479f-a4c5-58e99942f686; UK SmPC §4.2 – https://www.medicines.org.uk/emc/product/102464/smpc</t>
        </is>
      </c>
      <c r="J74" s="3" t="inlineStr">
        <is>
          <t>Open</t>
        </is>
      </c>
      <c r="K74" s="3" t="inlineStr"/>
    </row>
    <row r="75">
      <c r="A75" s="3" t="n">
        <v>472</v>
      </c>
      <c r="B75" s="3" t="inlineStr">
        <is>
          <t>Cefa (Cefazolin) (CEF01)</t>
        </is>
      </c>
      <c r="C75" s="7" t="inlineStr">
        <is>
          <t>High</t>
        </is>
      </c>
      <c r="D75" s="3" t="inlineStr">
        <is>
          <t>Dosing – renal/dialysis</t>
        </is>
      </c>
      <c r="E75" s="3" t="inlineStr">
        <is>
          <t>Renal table outdated</t>
        </is>
      </c>
      <c r="F75" s="3" t="inlineStr">
        <is>
          <t>Fix truncated CrCl ≤10 band: loading dose then half dose q18–24h; add HD/PD/CRRT guidance</t>
        </is>
      </c>
      <c r="G75" s="3" t="inlineStr">
        <is>
          <t>0.5-1 gm Q24H (page text is truncated after 'ClCr')</t>
        </is>
      </c>
      <c r="H75" s="3" t="inlineStr">
        <is>
          <t>Half of the usual dose every 18-24 h, after a loading dose. There is also no HD, PD or CRRT guidance.</t>
        </is>
      </c>
      <c r="I75" s="3" t="inlineStr">
        <is>
          <t>US PLR Table 4; UK SmPC §4.2</t>
        </is>
      </c>
      <c r="J75" s="3" t="inlineStr">
        <is>
          <t>Open</t>
        </is>
      </c>
      <c r="K75" s="3" t="inlineStr"/>
    </row>
    <row r="76">
      <c r="A76" s="3" t="n">
        <v>293</v>
      </c>
      <c r="B76" s="3" t="inlineStr">
        <is>
          <t>Cefin (Ceftriaxone) (CEF10)</t>
        </is>
      </c>
      <c r="C76" s="7" t="inlineStr">
        <is>
          <t>High</t>
        </is>
      </c>
      <c r="D76" s="3" t="inlineStr">
        <is>
          <t>Administration/compatibility</t>
        </is>
      </c>
      <c r="E76" s="3" t="inlineStr"/>
      <c r="F76" s="3" t="inlineStr">
        <is>
          <t>Verify against full 仿單; if IV-only product, remove IM route for CEF10</t>
        </is>
      </c>
      <c r="G76" s="3" t="inlineStr">
        <is>
          <t>IV, IVF and IM are all listed for CEF10 (Cefin 2 g).</t>
        </is>
      </c>
      <c r="H76" s="3" t="inlineStr">
        <is>
          <t>The stocked product is registered as 舒復靜脈注射劑, 'Cefin for IV injection'. The 仿單 使用方法 section, as transcribed, describes only IV injection over 2–4 min and IV infusion over at least 30 min. IM use with a lidocaine diluent is described in the FDA and UK labels for other products. This needs checking against the full 仿單 PDF, because the transcription is partial.</t>
        </is>
      </c>
      <c r="I76" s="3" t="inlineStr">
        <is>
          <t>Cefin 仿單 title and 2.2 使用方法 https://mcp.fda.gov.tw/insert/pdfcasefile/i_e5d33886-d20a-423d-9bc2-14ea9861a989</t>
        </is>
      </c>
      <c r="J76" s="3" t="inlineStr">
        <is>
          <t>Open</t>
        </is>
      </c>
      <c r="K76" s="3" t="inlineStr"/>
    </row>
    <row r="77">
      <c r="A77" s="3" t="n">
        <v>286</v>
      </c>
      <c r="B77" s="3" t="inlineStr">
        <is>
          <t>Cefin (Ceftriaxone) (CEF10)</t>
        </is>
      </c>
      <c r="C77" s="7" t="inlineStr">
        <is>
          <t>High</t>
        </is>
      </c>
      <c r="D77" s="3" t="inlineStr">
        <is>
          <t>Contraindication/warning</t>
        </is>
      </c>
      <c r="E77" s="3" t="inlineStr">
        <is>
          <t>Missing boxed warning</t>
        </is>
      </c>
      <c r="F77" s="3" t="inlineStr">
        <is>
          <t>Add contraindications: neonates ≤28 d needing IV calcium/TPN, premature neonates to PMA 41 wk, IV lidocaine diluent</t>
        </is>
      </c>
      <c r="G77" s="3" t="inlineStr">
        <is>
          <t>Hypersensitivity to ceftriaxone/cephalosporins; do not use in hyperbilirubinemic neonates</t>
        </is>
      </c>
      <c r="H77" s="3" t="inlineStr">
        <is>
          <t>The labels also contraindicate: neonates ≤28 days who need (or are expected to need) IV calcium, including TPN; premature neonates up to postmenstrual age 41 weeks (FDA, SmPC); IV use of lidocaine-containing solutions (FDA, SmPC); and, in the SmPC, severe hypersensitivity to any beta-lactam. The TW insert has a boxed calcium warning.</t>
        </is>
      </c>
      <c r="I77" s="3" t="inlineStr">
        <is>
          <t>US FDA CONTRAINDICATIONS https://dailymed.nlm.nih.gov/dailymed/drugInfo.cfm?setid=8351aa37-552d-471d-b293-c564dcb6ec29 ; UK SmPC 4.3 https://www.medicines.org.uk/emc/product/15077/smpc ; TW insert 2.3</t>
        </is>
      </c>
      <c r="J77" s="3" t="inlineStr">
        <is>
          <t>Open</t>
        </is>
      </c>
      <c r="K77" s="3" t="inlineStr"/>
    </row>
    <row r="78">
      <c r="A78" s="3" t="n">
        <v>294</v>
      </c>
      <c r="B78" s="3" t="inlineStr">
        <is>
          <t>Cefin (Ceftriaxone) (CEF10)</t>
        </is>
      </c>
      <c r="C78" s="7" t="inlineStr">
        <is>
          <t>High</t>
        </is>
      </c>
      <c r="D78" s="3" t="inlineStr">
        <is>
          <t>Contraindication/warning</t>
        </is>
      </c>
      <c r="E78" s="3" t="inlineStr">
        <is>
          <t>Missing boxed warning</t>
        </is>
      </c>
      <c r="F78" s="3" t="inlineStr">
        <is>
          <t>Add premature neonate and neonatal IV-calcium contraindications; severe beta-lactam allergy</t>
        </is>
      </c>
      <c r="G78" s="3" t="inlineStr">
        <is>
          <t>Hypersensitivity to ceftriaxone or other cephalosporins; do not use in hyperbilirubinemic neonates.</t>
        </is>
      </c>
      <c r="H78" s="3" t="inlineStr">
        <is>
          <t>All three labels also contraindicate premature neonates (FDA/SmPC: up to PMA 41 weeks; 仿單: 早產兒). They also contraindicate neonates ≤28 days who need or are expected to need IV calcium, including TPN. The site shows the calcium rule only as a mixing alert. The SmPC also contraindicates use after a severe hypersensitivity reaction to any other β-lactam.</t>
        </is>
      </c>
      <c r="I78" s="3" t="inlineStr">
        <is>
          <t>FDA CONTRAINDICATIONS; SmPC 4.3; 仿單 2.3</t>
        </is>
      </c>
      <c r="J78" s="3" t="inlineStr">
        <is>
          <t>Open</t>
        </is>
      </c>
      <c r="K78" s="3" t="inlineStr"/>
    </row>
    <row r="79">
      <c r="A79" s="3" t="n">
        <v>314</v>
      </c>
      <c r="B79" s="3" t="inlineStr">
        <is>
          <t>Cefmore (Cefoxitin) (CEF08)</t>
        </is>
      </c>
      <c r="C79" s="7" t="inlineStr">
        <is>
          <t>High</t>
        </is>
      </c>
      <c r="D79" s="3" t="inlineStr">
        <is>
          <t>Administration/compatibility</t>
        </is>
      </c>
      <c r="E79" s="3" t="inlineStr"/>
      <c r="F79" s="3" t="inlineStr">
        <is>
          <t>Replace 2.2 mL (IM, 1 g) with IV reconstitution for stocked 2 g vial (10–20 mL per US label)</t>
        </is>
      </c>
      <c r="G79" s="3" t="inlineStr">
        <is>
          <t>1g 裝小瓶（Vial）加 2.2ml的溶劑 (the stocked item is the 2 g vial)</t>
        </is>
      </c>
      <c r="H79" s="3" t="inlineStr">
        <is>
          <t>The TW insert gives no reconstitution volume. The US label constitutes 1 g with at least 10 mL and 2 g with 10 or 20 mL for IV use. Neither source supports 2.2 mL, which looks like IM reconstitution taken from another product, and it describes the 1 g vial although the 2 g vial is stocked.</t>
        </is>
      </c>
      <c r="I79" s="3" t="inlineStr">
        <is>
          <t>US FDA label Table 3 / Preparation of Solution; Taiwan insert (no reconstitution section)</t>
        </is>
      </c>
      <c r="J79" s="3" t="inlineStr">
        <is>
          <t>Open</t>
        </is>
      </c>
      <c r="K79" s="3" t="inlineStr"/>
    </row>
    <row r="80">
      <c r="A80" s="3" t="n">
        <v>300</v>
      </c>
      <c r="B80" s="3" t="inlineStr">
        <is>
          <t>Cefmore (Cefoxitin) (CEF08)</t>
        </is>
      </c>
      <c r="C80" s="7" t="inlineStr">
        <is>
          <t>High</t>
        </is>
      </c>
      <c r="D80" s="3" t="inlineStr">
        <is>
          <t>Dosing – adult</t>
        </is>
      </c>
      <c r="E80" s="3" t="inlineStr"/>
      <c r="F80" s="3" t="inlineStr">
        <is>
          <t>Severe infection: 1 g q4h or 2 g q6–8h; reserve 2 g q4h/3 g q6h for e.g. gas gangrene</t>
        </is>
      </c>
      <c r="G80" s="3" t="inlineStr">
        <is>
          <t>In severe infections: 2 g IV Q4H or 3 g IV Q6H</t>
        </is>
      </c>
      <c r="H80" s="3" t="inlineStr">
        <is>
          <t>Moderately severe or severe infections: 1 g q4h or 2 g q6-8h (6-8 g/day). 2 g q4h or 3 g q6h (12 g/day) is the tier for infections needing higher doses, e.g. gas gangrene.</t>
        </is>
      </c>
      <c r="I80" s="3" t="inlineStr">
        <is>
          <t>Taiwan 仿單 §3.1 table; US FDA label Table 1 – https://dailymed.nlm.nih.gov/dailymed/drugInfo.cfm?setid=658a0dc6-6da5-44dc-94f2-1211619297f7</t>
        </is>
      </c>
      <c r="J80" s="3" t="inlineStr">
        <is>
          <t>Open</t>
        </is>
      </c>
      <c r="K80" s="3" t="inlineStr"/>
    </row>
    <row r="81">
      <c r="A81" s="3" t="n">
        <v>308</v>
      </c>
      <c r="B81" s="3" t="inlineStr">
        <is>
          <t>Cefmore (Cefoxitin) (CEF08)</t>
        </is>
      </c>
      <c r="C81" s="7" t="inlineStr">
        <is>
          <t>High</t>
        </is>
      </c>
      <c r="D81" s="3" t="inlineStr">
        <is>
          <t>Dosing – adult</t>
        </is>
      </c>
      <c r="E81" s="3" t="inlineStr"/>
      <c r="F81" s="3" t="inlineStr">
        <is>
          <t>Severe: 1 g q4h or 2 g q6–8h; 12 g/day tier only for higher-dose infections</t>
        </is>
      </c>
      <c r="G81" s="3" t="inlineStr">
        <is>
          <t>In severe infections: 2 g IV Q4H or 3 g IV Q6H</t>
        </is>
      </c>
      <c r="H81" s="3" t="inlineStr">
        <is>
          <t>Moderately severe/severe: 1 g q4h or 2 g q6-8h (6-8 g/day). 2 g q4h or 3 g q6h (12 g/day) is the tier for infections needing higher doses, e.g., gas gangrene.</t>
        </is>
      </c>
      <c r="I81" s="3" t="inlineStr">
        <is>
          <t>Taiwan insert §3.1 table; US FDA label Table 1</t>
        </is>
      </c>
      <c r="J81" s="3" t="inlineStr">
        <is>
          <t>Open</t>
        </is>
      </c>
      <c r="K81" s="3" t="inlineStr"/>
    </row>
    <row r="82">
      <c r="A82" s="3" t="n">
        <v>301</v>
      </c>
      <c r="B82" s="3" t="inlineStr">
        <is>
          <t>Cefmore (Cefoxitin) (CEF08)</t>
        </is>
      </c>
      <c r="C82" s="7" t="inlineStr">
        <is>
          <t>High</t>
        </is>
      </c>
      <c r="D82" s="3" t="inlineStr">
        <is>
          <t>Dosing – renal/dialysis</t>
        </is>
      </c>
      <c r="E82" s="3" t="inlineStr">
        <is>
          <t>Renal table outdated</t>
        </is>
      </c>
      <c r="F82" s="3" t="inlineStr">
        <is>
          <t>Add 1–2 g loading dose, CrCl &lt;5 band 0.5–1 g q24–48h, HD loading after each session; escape '&lt;'</t>
        </is>
      </c>
      <c r="G82" s="3" t="inlineStr">
        <is>
          <t>Four rows. Row 4 is truncated on the web page and reads only 'ClCr', so the &lt;5 mL/min band is not shown (probably an HTML '&lt;' rendering bug). No loading dose and no haemodialysis instruction.</t>
        </is>
      </c>
      <c r="H82" s="3" t="inlineStr">
        <is>
          <t>Loading dose 1-2 g. CrCl &lt;5: 0.5-1 g q24-48h. HD: give the 1-2 g loading dose after each dialysis, then maintenance per table.</t>
        </is>
      </c>
      <c r="I82" s="3" t="inlineStr">
        <is>
          <t>US FDA label D&amp;A + Table 2; Taiwan 仿單 §3.3</t>
        </is>
      </c>
      <c r="J82" s="3" t="inlineStr">
        <is>
          <t>Open</t>
        </is>
      </c>
      <c r="K82" s="3" t="inlineStr"/>
    </row>
    <row r="83">
      <c r="A83" s="3" t="n">
        <v>310</v>
      </c>
      <c r="B83" s="3" t="inlineStr">
        <is>
          <t>Cefmore (Cefoxitin) (CEF08)</t>
        </is>
      </c>
      <c r="C83" s="7" t="inlineStr">
        <is>
          <t>High</t>
        </is>
      </c>
      <c r="D83" s="3" t="inlineStr">
        <is>
          <t>Dosing – renal/dialysis</t>
        </is>
      </c>
      <c r="E83" s="3" t="inlineStr">
        <is>
          <t>Renal table outdated</t>
        </is>
      </c>
      <c r="F83" s="3" t="inlineStr">
        <is>
          <t>Add loading dose, HD post-session dose, and CrCl &lt;5 band; fix '&lt;' rendering</t>
        </is>
      </c>
      <c r="G83" s="3" t="inlineStr">
        <is>
          <t>4 CrCl bands only. No loading dose and no hemodialysis guidance. The 4th line is stored as raw 'ClCr &lt;5 mL/minute' with an unescaped '&lt;', so a browser can drop it (the HTML-to-text view showed only '4. ClCr').</t>
        </is>
      </c>
      <c r="H83" s="3" t="inlineStr">
        <is>
          <t>Loading 1-2 g, then maintenance per table. On hemodialysis, give the 1-2 g loading dose after each session. CrCl &lt;5: 0.5-1 g q24-48h.</t>
        </is>
      </c>
      <c r="I83" s="3" t="inlineStr">
        <is>
          <t>US FDA label DOSAGE AND ADMINISTRATION (loading dose, hemodialysis, Table 2); Taiwan insert §3.3</t>
        </is>
      </c>
      <c r="J83" s="3" t="inlineStr">
        <is>
          <t>Open</t>
        </is>
      </c>
      <c r="K83" s="3" t="inlineStr"/>
    </row>
    <row r="84">
      <c r="A84" s="3" t="n">
        <v>483</v>
      </c>
      <c r="B84" s="3" t="inlineStr">
        <is>
          <t>Cephalexin (CEP02, ULE02)</t>
        </is>
      </c>
      <c r="C84" s="7" t="inlineStr">
        <is>
          <t>High</t>
        </is>
      </c>
      <c r="D84" s="3" t="inlineStr">
        <is>
          <t>Dosing – pediatric</t>
        </is>
      </c>
      <c r="E84" s="3" t="inlineStr"/>
      <c r="F84" s="3" t="inlineStr">
        <is>
          <t>Restore truncated otitis media dose: 75–100 mg/kg/day divided q6h</t>
        </is>
      </c>
      <c r="G84" s="3" t="inlineStr">
        <is>
          <t>'Acute otitis media: (Children &gt;1 year and Adolescents' and then stops. The dose text is missing (same '&lt;' truncation defect).</t>
        </is>
      </c>
      <c r="H84" s="3" t="inlineStr">
        <is>
          <t>Otitis media: 75–100 mg/kg/day in equally divided doses (q6h)</t>
        </is>
      </c>
      <c r="I84" s="3" t="inlineStr">
        <is>
          <t>US FDA label §2.2 https://dailymed.nlm.nih.gov/dailymed/drugInfo.cfm?setid=8e28f049-6110-4473-830f-c494191a7197</t>
        </is>
      </c>
      <c r="J84" s="3" t="inlineStr">
        <is>
          <t>Open</t>
        </is>
      </c>
      <c r="K84" s="3" t="inlineStr"/>
    </row>
    <row r="85">
      <c r="A85" s="3" t="n">
        <v>479</v>
      </c>
      <c r="B85" s="3" t="inlineStr">
        <is>
          <t>Cephalexin (CEP02, ULE02)</t>
        </is>
      </c>
      <c r="C85" s="7" t="inlineStr">
        <is>
          <t>High</t>
        </is>
      </c>
      <c r="D85" s="3" t="inlineStr">
        <is>
          <t>Dosing – renal/dialysis</t>
        </is>
      </c>
      <c r="E85" s="3" t="inlineStr">
        <is>
          <t>Renal table outdated</t>
        </is>
      </c>
      <c r="F85" s="3" t="inlineStr">
        <is>
          <t>Add CrCl 30–59 cap: max 1 g/day (US label)</t>
        </is>
      </c>
      <c r="G85" s="3" t="inlineStr">
        <is>
          <t>CrCl ≥30 mL/min: No dosage adjustment necessary</t>
        </is>
      </c>
      <c r="H85" s="3" t="inlineStr">
        <is>
          <t>CrCl 30–59: no adjustment, but the maximum daily dose should not exceed 1 g. The hospital's own 500 mg QID cellulitis regimen (2 g/day) would exceed this.</t>
        </is>
      </c>
      <c r="I85" s="3" t="inlineStr">
        <is>
          <t>US FDA label §2.3 Table 1 https://dailymed.nlm.nih.gov/dailymed/drugInfo.cfm?setid=8e28f049-6110-4473-830f-c494191a7197</t>
        </is>
      </c>
      <c r="J85" s="3" t="inlineStr">
        <is>
          <t>Open</t>
        </is>
      </c>
      <c r="K85" s="3" t="inlineStr"/>
    </row>
    <row r="86">
      <c r="A86" s="3" t="n">
        <v>480</v>
      </c>
      <c r="B86" s="3" t="inlineStr">
        <is>
          <t>Cephalexin (CEP02, ULE02)</t>
        </is>
      </c>
      <c r="C86" s="7" t="inlineStr">
        <is>
          <t>High</t>
        </is>
      </c>
      <c r="D86" s="3" t="inlineStr">
        <is>
          <t>Dosing – renal/dialysis</t>
        </is>
      </c>
      <c r="E86" s="3" t="inlineStr">
        <is>
          <t>Renal table outdated</t>
        </is>
      </c>
      <c r="F86" s="3" t="inlineStr">
        <is>
          <t>CrCl 15–29: 250 mg q8–12h (not up to 500 mg) per US label</t>
        </is>
      </c>
      <c r="G86" s="3" t="inlineStr">
        <is>
          <t>CrCl 15-30: 250 to 500 mg every 8 to 12 hours</t>
        </is>
      </c>
      <c r="H86" s="3" t="inlineStr">
        <is>
          <t>CrCl 15–29: 250 mg every 8 or 12 hours (the US label maximum is half the hospital's upper value)</t>
        </is>
      </c>
      <c r="I86" s="3" t="inlineStr">
        <is>
          <t>US FDA label §2.3 Table 1 https://dailymed.nlm.nih.gov/dailymed/drugInfo.cfm?setid=8e28f049-6110-4473-830f-c494191a7197</t>
        </is>
      </c>
      <c r="J86" s="3" t="inlineStr">
        <is>
          <t>Open</t>
        </is>
      </c>
      <c r="K86" s="3" t="inlineStr"/>
    </row>
    <row r="87">
      <c r="A87" s="3" t="n">
        <v>481</v>
      </c>
      <c r="B87" s="3" t="inlineStr">
        <is>
          <t>Cephalexin (CEP02, ULE02)</t>
        </is>
      </c>
      <c r="C87" s="7" t="inlineStr">
        <is>
          <t>High</t>
        </is>
      </c>
      <c r="D87" s="3" t="inlineStr">
        <is>
          <t>Dosing – renal/dialysis</t>
        </is>
      </c>
      <c r="E87" s="3" t="inlineStr">
        <is>
          <t>Renal table outdated</t>
        </is>
      </c>
      <c r="F87" s="3" t="inlineStr">
        <is>
          <t>Restore truncated &lt;15 band: CrCl 5–14 250 mg q24h; CrCl 1–4 250 mg q48–60h</t>
        </is>
      </c>
      <c r="G87" s="3" t="inlineStr">
        <is>
          <t>Line reads '3. CrCl ' and then stops. The '&lt;15' threshold and its dose are lost (rendering/encoding defect).</t>
        </is>
      </c>
      <c r="H87" s="3" t="inlineStr">
        <is>
          <t>CrCl 5–14 not on dialysis: 250 mg q24h; CrCl 1–4 not on dialysis: 250 mg q48–60h</t>
        </is>
      </c>
      <c r="I87" s="3" t="inlineStr">
        <is>
          <t>US FDA label §2.3 Table 1 https://dailymed.nlm.nih.gov/dailymed/drugInfo.cfm?setid=8e28f049-6110-4473-830f-c494191a7197</t>
        </is>
      </c>
      <c r="J87" s="3" t="inlineStr">
        <is>
          <t>Open</t>
        </is>
      </c>
      <c r="K87" s="3" t="inlineStr"/>
    </row>
    <row r="88">
      <c r="A88" s="3" t="n">
        <v>482</v>
      </c>
      <c r="B88" s="3" t="inlineStr">
        <is>
          <t>Cephalexin (CEP02, ULE02)</t>
        </is>
      </c>
      <c r="C88" s="7" t="inlineStr">
        <is>
          <t>High</t>
        </is>
      </c>
      <c r="D88" s="3" t="inlineStr">
        <is>
          <t>Dosing – renal/dialysis</t>
        </is>
      </c>
      <c r="E88" s="3" t="inlineStr">
        <is>
          <t>Renal table outdated</t>
        </is>
      </c>
      <c r="F88" s="3" t="inlineStr">
        <is>
          <t>HD/PD: cap at 500 mg/day (UK); note US has insufficient data</t>
        </is>
      </c>
      <c r="G88" s="3" t="inlineStr">
        <is>
          <t>HD: 250 to 500 mg every 12 to 24 hours, after HD; PD: 250 to 500 mg every 12 to 24 hours (up to 1 g/day)</t>
        </is>
      </c>
      <c r="H88" s="3" t="inlineStr">
        <is>
          <t>US: insufficient information to recommend an HD dose. UK SmPC 4.4: if dialysis is required, the daily dose should not exceed 500 mg. The hospital's upper value (1 g/day) is twice the UK maximum.</t>
        </is>
      </c>
      <c r="I88" s="3" t="inlineStr">
        <is>
          <t>US FDA label §2.3 footnote https://dailymed.nlm.nih.gov/dailymed/drugInfo.cfm?setid=8e28f049-6110-4473-830f-c494191a7197 ; UK SmPC §4.4 https://www.medicines.org.uk/emc/product/9144/smpc</t>
        </is>
      </c>
      <c r="J88" s="3" t="inlineStr">
        <is>
          <t>Open</t>
        </is>
      </c>
      <c r="K88" s="3" t="inlineStr"/>
    </row>
    <row r="89">
      <c r="A89" s="3" t="n">
        <v>486</v>
      </c>
      <c r="B89" s="3" t="inlineStr">
        <is>
          <t>Cephalexin (CEP02, ULE02)</t>
        </is>
      </c>
      <c r="C89" s="7" t="inlineStr">
        <is>
          <t>High</t>
        </is>
      </c>
      <c r="D89" s="3" t="inlineStr">
        <is>
          <t>Dosing – renal/dialysis</t>
        </is>
      </c>
      <c r="E89" s="3" t="inlineStr">
        <is>
          <t>Renal table outdated</t>
        </is>
      </c>
      <c r="F89" s="3" t="inlineStr">
        <is>
          <t>Populate ULE02 renal field with CrCl tiers; note no hepatic adjustment</t>
        </is>
      </c>
      <c r="G89" s="3" t="inlineStr">
        <is>
          <t>腎功能調整劑量 and 肝功能調整劑量 are empty</t>
        </is>
      </c>
      <c r="H89" s="3" t="inlineStr">
        <is>
          <t>Renal dosing exists: Ulexin insert 6.7 (lower safe dose in significant impairment) and the US Table 1 CrCl tiers. Hepatic: no label adjustment.</t>
        </is>
      </c>
      <c r="I89" s="3" t="inlineStr">
        <is>
          <t>TW insert Ulexin §6.7 https://mcp.fda.gov.tw/im_detail_1/衛署藥製字第017280號 ; US FDA label §2.3 https://dailymed.nlm.nih.gov/dailymed/drugInfo.cfm?setid=8e28f049-6110-4473-830f-c494191a7197</t>
        </is>
      </c>
      <c r="J89" s="3" t="inlineStr">
        <is>
          <t>Open</t>
        </is>
      </c>
      <c r="K89" s="3" t="inlineStr"/>
    </row>
    <row r="90">
      <c r="A90" s="3" t="n">
        <v>493</v>
      </c>
      <c r="B90" s="3" t="inlineStr">
        <is>
          <t>Cephalexin (CEP02, ULE02)</t>
        </is>
      </c>
      <c r="C90" s="7" t="inlineStr">
        <is>
          <t>High</t>
        </is>
      </c>
      <c r="D90" s="3" t="inlineStr">
        <is>
          <t>Dosing – renal/dialysis</t>
        </is>
      </c>
      <c r="E90" s="3" t="inlineStr">
        <is>
          <t>Renal table outdated</t>
        </is>
      </c>
      <c r="F90" s="3" t="inlineStr">
        <is>
          <t>Add max 1 g/day cap for CrCl 30–59</t>
        </is>
      </c>
      <c r="G90" s="3" t="inlineStr">
        <is>
          <t>'CrCl ≥30 mL/minute: No dosage adjustment necessary.'</t>
        </is>
      </c>
      <c r="H90" s="3" t="inlineStr">
        <is>
          <t>For CrCl 30–59 the US label gives no adjustment but a maximum of 1 g/day. The hospital text leaves out this cap.</t>
        </is>
      </c>
      <c r="I90" s="3" t="inlineStr">
        <is>
          <t>US FDA label 2.3 Table 1 — https://dailymed.nlm.nih.gov/dailymed/drugInfo.cfm?setid=8e28f049-6110-4473-830f-c494191a7197</t>
        </is>
      </c>
      <c r="J90" s="3" t="inlineStr">
        <is>
          <t>Open</t>
        </is>
      </c>
      <c r="K90" s="3" t="inlineStr"/>
    </row>
    <row r="91">
      <c r="A91" s="3" t="n">
        <v>494</v>
      </c>
      <c r="B91" s="3" t="inlineStr">
        <is>
          <t>Cephalexin (CEP02, ULE02)</t>
        </is>
      </c>
      <c r="C91" s="7" t="inlineStr">
        <is>
          <t>High</t>
        </is>
      </c>
      <c r="D91" s="3" t="inlineStr">
        <is>
          <t>Dosing – renal/dialysis</t>
        </is>
      </c>
      <c r="E91" s="3" t="inlineStr">
        <is>
          <t>Renal table outdated</t>
        </is>
      </c>
      <c r="F91" s="3" t="inlineStr">
        <is>
          <t>CrCl 15–29: 250 mg q8h or q12h; remove 500 mg/dose</t>
        </is>
      </c>
      <c r="G91" s="3" t="inlineStr">
        <is>
          <t>'CrCl 15-30 mL/minute: 250 to 500 mg every 8 to 12 hours.'</t>
        </is>
      </c>
      <c r="H91" s="3" t="inlineStr">
        <is>
          <t>US label: CrCl 15–29 → 250 mg q8h or q12h. 500 mg per dose is above the label.</t>
        </is>
      </c>
      <c r="I91" s="3" t="inlineStr">
        <is>
          <t>US FDA label 2.3 Table 1 — https://dailymed.nlm.nih.gov/dailymed/drugInfo.cfm?setid=8e28f049-6110-4473-830f-c494191a7197</t>
        </is>
      </c>
      <c r="J91" s="3" t="inlineStr">
        <is>
          <t>Open</t>
        </is>
      </c>
      <c r="K91" s="3" t="inlineStr"/>
    </row>
    <row r="92">
      <c r="A92" s="3" t="n">
        <v>495</v>
      </c>
      <c r="B92" s="3" t="inlineStr">
        <is>
          <t>Cephalexin (CEP02, ULE02)</t>
        </is>
      </c>
      <c r="C92" s="7" t="inlineStr">
        <is>
          <t>High</t>
        </is>
      </c>
      <c r="D92" s="3" t="inlineStr">
        <is>
          <t>Dosing – renal/dialysis</t>
        </is>
      </c>
      <c r="E92" s="3" t="inlineStr">
        <is>
          <t>Renal table outdated</t>
        </is>
      </c>
      <c r="F92" s="3" t="inlineStr">
        <is>
          <t>Fix garbled &lt;15 tier: CrCl 5–14 250 mg q24h; 1–4 250 mg q48–60h</t>
        </is>
      </c>
      <c r="G92" s="3" t="inlineStr">
        <is>
          <t>Garbled line '3. CrCl Hemodialysis, intermittent…': the '&lt;15' threshold and its dose are missing.</t>
        </is>
      </c>
      <c r="H92" s="3" t="inlineStr">
        <is>
          <t>US label: CrCl 5–14 (not on dialysis) 250 mg q24h; CrCl 1–4 250 mg q48–60h.</t>
        </is>
      </c>
      <c r="I92" s="3" t="inlineStr">
        <is>
          <t>US FDA label 2.3 Table 1 — https://dailymed.nlm.nih.gov/dailymed/drugInfo.cfm?setid=8e28f049-6110-4473-830f-c494191a7197</t>
        </is>
      </c>
      <c r="J92" s="3" t="inlineStr">
        <is>
          <t>Open</t>
        </is>
      </c>
      <c r="K92" s="3" t="inlineStr"/>
    </row>
    <row r="93">
      <c r="A93" s="3" t="n">
        <v>496</v>
      </c>
      <c r="B93" s="3" t="inlineStr">
        <is>
          <t>Cephalexin (CEP02, ULE02)</t>
        </is>
      </c>
      <c r="C93" s="7" t="inlineStr">
        <is>
          <t>High</t>
        </is>
      </c>
      <c r="D93" s="3" t="inlineStr">
        <is>
          <t>Dosing – renal/dialysis</t>
        </is>
      </c>
      <c r="E93" s="3" t="inlineStr">
        <is>
          <t>Renal table outdated</t>
        </is>
      </c>
      <c r="F93" s="3" t="inlineStr">
        <is>
          <t>HD/PD: limit to ≤500 mg/day (UK); note US insufficient HD data</t>
        </is>
      </c>
      <c r="G93" s="3" t="inlineStr">
        <is>
          <t>'Dialyzable (50%) 250 to 500 mg every 12 to 24 hours; administer after hemodialysis on dialysis days'; PD '250 to 500 mg every 12 to 24 hours'</t>
        </is>
      </c>
      <c r="H93" s="3" t="inlineStr">
        <is>
          <t>US label: insufficient information to recommend a dose on haemodialysis. UK SmPC: if dialysis is required, the daily dose should not exceed 500 mg. The hospital's 500 mg q12h (1 g/day) exceeds the UK cap.</t>
        </is>
      </c>
      <c r="I93" s="3" t="inlineStr">
        <is>
          <t>US FDA label 2.3 footnote — https://dailymed.nlm.nih.gov/dailymed/drugInfo.cfm?setid=8e28f049-6110-4473-830f-c494191a7197 ; UK SmPC 4.4 — https://www.medicines.org.uk/emc/product/9144/smpc</t>
        </is>
      </c>
      <c r="J93" s="3" t="inlineStr">
        <is>
          <t>Open</t>
        </is>
      </c>
      <c r="K93" s="3" t="inlineStr"/>
    </row>
    <row r="94">
      <c r="A94" s="3" t="n">
        <v>498</v>
      </c>
      <c r="B94" s="3" t="inlineStr">
        <is>
          <t>Cephalexin (CEP02, ULE02)</t>
        </is>
      </c>
      <c r="C94" s="7" t="inlineStr">
        <is>
          <t>High</t>
        </is>
      </c>
      <c r="D94" s="3" t="inlineStr">
        <is>
          <t>Dosing – renal/dialysis</t>
        </is>
      </c>
      <c r="E94" s="3" t="inlineStr">
        <is>
          <t>Renal table outdated</t>
        </is>
      </c>
      <c r="F94" s="3" t="inlineStr">
        <is>
          <t>Fill ULE02 renal field with US CrCl tiers; state no hepatic adjustment</t>
        </is>
      </c>
      <c r="G94" s="3" t="inlineStr">
        <is>
          <t>Both fields are empty.</t>
        </is>
      </c>
      <c r="H94" s="3" t="inlineStr">
        <is>
          <t>The Ulexin insert says significant renal impairment may need a lower dose. US Table 1 gives numbers (adults and ≥15 y; no data under 15 y). No hepatic adjustment is labelled.</t>
        </is>
      </c>
      <c r="I94" s="3" t="inlineStr">
        <is>
          <t>TW 仿單 Ulexin 6.7; US FDA label 2.3 — https://dailymed.nlm.nih.gov/dailymed/drugInfo.cfm?setid=8e28f049-6110-4473-830f-c494191a7197</t>
        </is>
      </c>
      <c r="J94" s="3" t="inlineStr">
        <is>
          <t>Open</t>
        </is>
      </c>
      <c r="K94" s="3" t="inlineStr"/>
    </row>
    <row r="95">
      <c r="A95" s="3" t="n">
        <v>517</v>
      </c>
      <c r="B95" s="3" t="inlineStr">
        <is>
          <t>Cexime (Cefixime) (CEX02)</t>
        </is>
      </c>
      <c r="C95" s="7" t="inlineStr">
        <is>
          <t>High</t>
        </is>
      </c>
      <c r="D95" s="3" t="inlineStr">
        <is>
          <t>Dosing – renal/dialysis</t>
        </is>
      </c>
      <c r="E95" s="3" t="inlineStr">
        <is>
          <t>Renal table outdated</t>
        </is>
      </c>
      <c r="F95" s="3" t="inlineStr">
        <is>
          <t>Fix garbled CrCl text; add CrCl 21–59/HD 260 mg/day, ≤20/CAPD ~172 mg/day (US)</t>
        </is>
      </c>
      <c r="G95" s="3" t="inlineStr">
        <is>
          <t>'CrCl &gt;20 to CrCl ≤20 mL/minute: 200 mg once daily. Hemodialysis, intermittent: 300 mg once daily. Peritoneal dialysis: 200 mg once daily.'</t>
        </is>
      </c>
      <c r="H95" s="3" t="inlineStr">
        <is>
          <t>US: normal dose if CrCl ≥60. CrCl 21–59 or HD: 260 mg/day. CrCl ≤20 or CAPD: 172 mg/day. UK: normal dose if CrCl ≥20; ≤200 mg once daily if CrCl &lt;20 or on CAPD/HD. TW: reduce dose or extend interval in severe impairment. The hospital's CrCl range is garbled and leaves out the 21–59 tier. Its HD dose of 300 mg/day matches neither the US 260 mg nor the UK ≤200 mg.</t>
        </is>
      </c>
      <c r="I95" s="3" t="inlineStr">
        <is>
          <t>Lupin cefixime suspension §2.3 Table 2 https://dailymed.nlm.nih.gov/dailymed/drugInfo.cfm?setid=6d68dbd9-7d75-4ff1-91db-79ff8ae879ec; UK SmPC §4.2 https://www.medicines.org.uk/emc/product/15047/smpc</t>
        </is>
      </c>
      <c r="J95" s="3" t="inlineStr">
        <is>
          <t>Open</t>
        </is>
      </c>
      <c r="K95" s="3" t="inlineStr"/>
    </row>
    <row r="96">
      <c r="A96" s="3" t="n">
        <v>523</v>
      </c>
      <c r="B96" s="3" t="inlineStr">
        <is>
          <t>Cexime (Cefixime) (CEX02)</t>
        </is>
      </c>
      <c r="C96" s="7" t="inlineStr">
        <is>
          <t>High</t>
        </is>
      </c>
      <c r="D96" s="3" t="inlineStr">
        <is>
          <t>Dosing – renal/dialysis</t>
        </is>
      </c>
      <c r="E96" s="3" t="inlineStr">
        <is>
          <t>Renal table outdated</t>
        </is>
      </c>
      <c r="F96" s="3" t="inlineStr">
        <is>
          <t>Fix garbled CrCl range; add 21–59 tier; correct HD 300 mg to 260 mg (US) or ≤200 mg (UK)</t>
        </is>
      </c>
      <c r="G96" s="3" t="inlineStr">
        <is>
          <t>CrCl≥60: no adjustment; 'CrCl &gt;20 to CrCl ≤20 mL/minute: 200 mg once daily'; Hemodialysis 300 mg once daily; Peritoneal dialysis 200 mg once daily</t>
        </is>
      </c>
      <c r="H96" s="3" t="inlineStr">
        <is>
          <t>US (Lupin Table 2): CrCl 21–59 or HD 260 mg/day; CrCl ≤20 or CAPD ≈172–176 mg/day. UK: CrCl ≥20 normal dose; &lt;20, CAPD or HD ≤200 mg once daily. 仿單: reduce dose or extend interval in severe impairment (no numbers). The hospital's CrCl range is garbled, its CrCl 21–59 tier is missing, and its HD dose of 300 mg/day matches neither the US 260 mg nor the UK ≤200 mg.</t>
        </is>
      </c>
      <c r="I96" s="3" t="inlineStr">
        <is>
          <t>https://dailymed.nlm.nih.gov/dailymed/drugInfo.cfm?setid=6d68dbd9-7d75-4ff1-91db-79ff8ae879ec ; https://www.medicines.org.uk/emc/product/15047/smpc</t>
        </is>
      </c>
      <c r="J96" s="3" t="inlineStr">
        <is>
          <t>Open</t>
        </is>
      </c>
      <c r="K96" s="3" t="inlineStr"/>
    </row>
    <row r="97">
      <c r="A97" s="3" t="n">
        <v>504</v>
      </c>
      <c r="B97" s="3" t="inlineStr">
        <is>
          <t>Claforan (Cefotaxime) (CLA01)</t>
        </is>
      </c>
      <c r="C97" s="7" t="inlineStr">
        <is>
          <t>High</t>
        </is>
      </c>
      <c r="D97" s="3" t="inlineStr">
        <is>
          <t>Dosing – pediatric</t>
        </is>
      </c>
      <c r="E97" s="3" t="inlineStr"/>
      <c r="F97" s="3" t="inlineStr">
        <is>
          <t>Peds: 50–100 mg/kg/day (150–200 severe); neonates 50 mg/kg q12h (0–7 d)/q8h (8–28 d)</t>
        </is>
      </c>
      <c r="G97" s="3" t="inlineStr">
        <is>
          <t>100–200 mg/kg/day given in 2–4 doses (50 mg/kg for neonates)</t>
        </is>
      </c>
      <c r="H97" s="3" t="inlineStr">
        <is>
          <t>仿單: usual 50–100 mg/kg/day in 2–4 doses, raised to 150–200 only for very severe infection; preterm ≤50 mg/kg/day. US FDA: neonates 50 mg/kg q12h (0–7 d) or q8h (8–28 d); 29 d–12 y 50–180 mg/kg/day in 4–6 doses. The hospital's lower limit is twice the usual label dose, and its neonatal dose gives no interval.</t>
        </is>
      </c>
      <c r="I97" s="3" t="inlineStr">
        <is>
          <t>Taiwan 仿單 嬰兒及兒童/早產兒/表2; US FDA DOSAGE AND ADMINISTRATION Pediatric patients</t>
        </is>
      </c>
      <c r="J97" s="3" t="inlineStr">
        <is>
          <t>Open</t>
        </is>
      </c>
      <c r="K97" s="3" t="inlineStr"/>
    </row>
    <row r="98">
      <c r="A98" s="3" t="n">
        <v>513</v>
      </c>
      <c r="B98" s="3" t="inlineStr">
        <is>
          <t>Claforan (Cefotaxime) (CLA01)</t>
        </is>
      </c>
      <c r="C98" s="7" t="inlineStr">
        <is>
          <t>High</t>
        </is>
      </c>
      <c r="D98" s="3" t="inlineStr">
        <is>
          <t>Dosing – pediatric</t>
        </is>
      </c>
      <c r="E98" s="3" t="inlineStr"/>
      <c r="F98" s="3" t="inlineStr">
        <is>
          <t>Peds: start 50 mg/kg/day; add neonatal intervals and preterm ≤50 mg/kg/day</t>
        </is>
      </c>
      <c r="G98" s="3" t="inlineStr">
        <is>
          <t>100–200 mg/kg/day in 2–4 doses (50 mg/kg for neonates)</t>
        </is>
      </c>
      <c r="H98" s="3" t="inlineStr">
        <is>
          <t>The labels start lower: 仿單 50–100 mg/kg/day in 2–4 doses (150–200 only in severe infection); FDA 50–180 mg/kg/day in 4–6 doses; SmPC 50–150 (up to 200). The neonatal dose needs an interval: 50 mg/kg q12h (0–7 d) / q8h (8–28 d). Premature infants ≤50 mg/kg/day (仿單/SmPC) is not mentioned.</t>
        </is>
      </c>
      <c r="I98" s="3" t="inlineStr">
        <is>
          <t>TW 仿單 [用法與用量]; FDA D&amp;A Pediatric; SmPC 4.2</t>
        </is>
      </c>
      <c r="J98" s="3" t="inlineStr">
        <is>
          <t>Open</t>
        </is>
      </c>
      <c r="K98" s="3" t="inlineStr"/>
    </row>
    <row r="99">
      <c r="A99" s="3" t="n">
        <v>500</v>
      </c>
      <c r="B99" s="3" t="inlineStr">
        <is>
          <t>Claforan (Cefotaxime) (CLA01)</t>
        </is>
      </c>
      <c r="C99" s="7" t="inlineStr">
        <is>
          <t>High</t>
        </is>
      </c>
      <c r="D99" s="3" t="inlineStr">
        <is>
          <t>Dosing – renal/dialysis</t>
        </is>
      </c>
      <c r="E99" s="3" t="inlineStr">
        <is>
          <t>Renal table outdated</t>
        </is>
      </c>
      <c r="F99" s="3" t="inlineStr">
        <is>
          <t>Replace interval-extension bands: halve dose at same interval only if CrCl &lt;10 (after 1 g load)</t>
        </is>
      </c>
      <c r="G99" s="3" t="inlineStr">
        <is>
          <t>ClCr &gt;50: 0.5–2 g q8–12h; ClCr 10–50: 0.5–2 g q12–24h; ClCr &lt;10: q24h (interval-extension bands)</t>
        </is>
      </c>
      <c r="H99" s="3" t="inlineStr">
        <is>
          <t>Taiwan 仿單 for the stocked product: CrCl &lt;10 mL/min → 1 g loading dose, then halve the maintenance dose with the interval unchanged (e.g. 1 g q12h→0.5 g q12h). US FDA: halve the dose if CrCl &lt;20 mL/min/1.73m². UK SmPC: CrCl ≤5 → halve, same frequency. No label lengthens the interval or adjusts the dose at CrCl 10–50.</t>
        </is>
      </c>
      <c r="I99" s="3" t="inlineStr">
        <is>
          <t>Taiwan 仿單 腎功能不全病人的劑量 https://mcp.fda.gov.tw/insert/pdfcasefile/i_87c58fb4-a2c8-4280-9aca-5335cfc901eb; US FDA PRECAUTIONS General https://dailymed.nlm.nih.gov/dailymed/drugInfo.cfm?setid=434fb630-c8d6-4583-b3ee-8e4ba6552c3d; UK SmPC 4.2 https://www.medicines.org.uk/emc/product/100184/smpc</t>
        </is>
      </c>
      <c r="J99" s="3" t="inlineStr">
        <is>
          <t>Open</t>
        </is>
      </c>
      <c r="K99" s="3" t="inlineStr"/>
    </row>
    <row r="100">
      <c r="A100" s="3" t="n">
        <v>508</v>
      </c>
      <c r="B100" s="3" t="inlineStr">
        <is>
          <t>Claforan (Cefotaxime) (CLA01)</t>
        </is>
      </c>
      <c r="C100" s="7" t="inlineStr">
        <is>
          <t>High</t>
        </is>
      </c>
      <c r="D100" s="3" t="inlineStr">
        <is>
          <t>Dosing – renal/dialysis</t>
        </is>
      </c>
      <c r="E100" s="3" t="inlineStr">
        <is>
          <t>Renal table outdated</t>
        </is>
      </c>
      <c r="F100" s="3" t="inlineStr">
        <is>
          <t>Remove CrCl 10–50 interval extension; halve dose same interval only in severe impairment; HD 1–2 g/day post-HD</t>
        </is>
      </c>
      <c r="G100" s="3" t="inlineStr">
        <is>
          <t>CrCl-banded regimen with interval extension: &gt;50: 0.5–2 g q8–12h; 10–50: 0.5–2 g q12–24h; &lt;10: q24h</t>
        </is>
      </c>
      <c r="H100" s="3" t="inlineStr">
        <is>
          <t>No adjustment until severe impairment, then halve the dose at the SAME interval: 仿單 CrCl &lt;10 (GFR &lt;5) after a 1 g load; FDA CrCl &lt;20 mL/min/1.73m²; SmPC CrCl ≤5. HD 1–2 g/day after dialysis (仿單). The hospital's q12–24h at CrCl 10–50 can underdose: CRRT/AKI PK data show dose reduction risks subtherapeutic levels (Koedijk 2016).</t>
        </is>
      </c>
      <c r="I100" s="3" t="inlineStr">
        <is>
          <t>TW 仿單 [用法與用量] 腎功能不全; FDA PRECAUTIONS General; SmPC 4.2</t>
        </is>
      </c>
      <c r="J100" s="3" t="inlineStr">
        <is>
          <t>Open</t>
        </is>
      </c>
      <c r="K100" s="3" t="inlineStr"/>
    </row>
    <row r="101">
      <c r="A101" s="3" t="n">
        <v>7</v>
      </c>
      <c r="B101" s="3" t="inlineStr">
        <is>
          <t>Colistin (COL04)</t>
        </is>
      </c>
      <c r="C101" s="7" t="inlineStr">
        <is>
          <t>High</t>
        </is>
      </c>
      <c r="D101" s="3" t="inlineStr">
        <is>
          <t>Dosing – adult</t>
        </is>
      </c>
      <c r="E101" s="3" t="inlineStr"/>
      <c r="F101" s="3" t="inlineStr">
        <is>
          <t>Correct strength: 2 MIU ≈ 66.8 mg CBA ≈ 160 mg CMS; label units explicitly</t>
        </is>
      </c>
      <c r="G101" s="3" t="inlineStr">
        <is>
          <t>"Sodium Colistin Methanesulfonate 66.6 mg (2 MIU)/Vial"</t>
        </is>
      </c>
      <c r="H101" s="3" t="inlineStr">
        <is>
          <t>2 MIU ≈ 66.8 mg colistin base activity (CBA) ≈ 160 mg CMS. 66.6 vs 66.8 also inconsistent</t>
        </is>
      </c>
      <c r="I101" s="3" t="inlineStr">
        <is>
          <t>UK SmPC conversion table</t>
        </is>
      </c>
      <c r="J101" s="3" t="inlineStr">
        <is>
          <t>Open</t>
        </is>
      </c>
      <c r="K101" s="3" t="inlineStr"/>
    </row>
    <row r="102">
      <c r="A102" s="3" t="n">
        <v>5</v>
      </c>
      <c r="B102" s="3" t="inlineStr">
        <is>
          <t>Colistin (COL04)</t>
        </is>
      </c>
      <c r="C102" s="7" t="inlineStr">
        <is>
          <t>High</t>
        </is>
      </c>
      <c r="D102" s="3" t="inlineStr">
        <is>
          <t>Dosing – renal/dialysis</t>
        </is>
      </c>
      <c r="E102" s="3" t="inlineStr">
        <is>
          <t>Renal table outdated</t>
        </is>
      </c>
      <c r="F102" s="3" t="inlineStr">
        <is>
          <t>Fix severe renal row: 1.5 mg/kg every 36 h for CrCl 10–29 (not per day/100 mg)</t>
        </is>
      </c>
      <c r="G102" s="3" t="inlineStr">
        <is>
          <t>"1.5 mg/kg/day OR 100 mg/day, every 36 hours"</t>
        </is>
      </c>
      <c r="H102" s="3" t="inlineStr">
        <is>
          <t>**1.5 mg/kg every 36 hours** (≈1 mg/kg/day), CrCl 10–29</t>
        </is>
      </c>
      <c r="I102" s="3" t="inlineStr">
        <is>
          <t>US label (Coly-Mycin M), Dosage table</t>
        </is>
      </c>
      <c r="J102" s="3" t="inlineStr">
        <is>
          <t>Open</t>
        </is>
      </c>
      <c r="K102" s="3" t="inlineStr"/>
    </row>
    <row r="103">
      <c r="A103" s="3" t="n">
        <v>331</v>
      </c>
      <c r="B103" s="3" t="inlineStr">
        <is>
          <t>Cravit (levofloxacin) (CRA03, LEV08)</t>
        </is>
      </c>
      <c r="C103" s="7" t="inlineStr">
        <is>
          <t>High</t>
        </is>
      </c>
      <c r="D103" s="3" t="inlineStr">
        <is>
          <t>Adverse effects</t>
        </is>
      </c>
      <c r="E103" s="3" t="inlineStr">
        <is>
          <t>Missing boxed warning</t>
        </is>
      </c>
      <c r="F103" s="3" t="inlineStr">
        <is>
          <t>Add FQ boxed warnings: tendon rupture, neuropathy, CNS, MG, QT, aortic aneurysm, hepatotoxicity, dysglycemia</t>
        </is>
      </c>
      <c r="G103" s="3" t="inlineStr">
        <is>
          <t>GI upset, headache, insomnia, dizziness (the Chinese note mentions tendinitis and dysglycaemia)</t>
        </is>
      </c>
      <c r="H103" s="3" t="inlineStr">
        <is>
          <t>Boxed-warning and W&amp;P FQ class risks are missing: tendinitis/rupture, peripheral neuropathy (may be irreversible), CNS/psychiatric effects, MG exacerbation, QT prolongation, aortic aneurysm/dissection, hepatotoxicity, dysglycemia</t>
        </is>
      </c>
      <c r="I103" s="3" t="inlineStr">
        <is>
          <t>US FDA label sec 5.1–5.13; Taiwan 仿單 特殊警語 (衛授食字第1141411455號)</t>
        </is>
      </c>
      <c r="J103" s="3" t="inlineStr">
        <is>
          <t>Open</t>
        </is>
      </c>
      <c r="K103" s="3" t="inlineStr"/>
    </row>
    <row r="104">
      <c r="A104" s="3" t="n">
        <v>340</v>
      </c>
      <c r="B104" s="3" t="inlineStr">
        <is>
          <t>Cravit (levofloxacin) (CRA03, LEV08)</t>
        </is>
      </c>
      <c r="C104" s="7" t="inlineStr">
        <is>
          <t>High</t>
        </is>
      </c>
      <c r="D104" s="3" t="inlineStr">
        <is>
          <t>Adverse effects</t>
        </is>
      </c>
      <c r="E104" s="3" t="inlineStr">
        <is>
          <t>Missing boxed warning</t>
        </is>
      </c>
      <c r="F104" s="3" t="inlineStr">
        <is>
          <t>Add FQ boxed/TFDA warnings: tendinopathy, neuropathy, CNS/psychiatric, MG, QT, aortic, dysglycaemia</t>
        </is>
      </c>
      <c r="G104" s="3" t="inlineStr">
        <is>
          <t>Nausea, headache, diarrhea, insomnia, dizziness, and constipation</t>
        </is>
      </c>
      <c r="H104" s="3" t="inlineStr">
        <is>
          <t>Leaves out the boxed and TFDA-mandated FQ warnings: tendinitis/rupture, peripheral neuropathy, CNS/psychiatric effects, MG exacerbation, QT prolongation, aortic aneurysm/dissection, dysglycaemia (FDA 5.1–5.13; TFDA 衛授食字第1141411455號)</t>
        </is>
      </c>
      <c r="I104" s="3" t="inlineStr">
        <is>
          <t>https://dailymed.nlm.nih.gov/dailymed/drugInfo.cfm?setid=5a65b2bc-9edc-f193-e063-6394a90a0104</t>
        </is>
      </c>
      <c r="J104" s="3" t="inlineStr">
        <is>
          <t>Open</t>
        </is>
      </c>
      <c r="K104" s="3" t="inlineStr"/>
    </row>
    <row r="105">
      <c r="A105" s="3" t="n">
        <v>333</v>
      </c>
      <c r="B105" s="3" t="inlineStr">
        <is>
          <t>Cravit (levofloxacin) (CRA03, LEV08)</t>
        </is>
      </c>
      <c r="C105" s="7" t="inlineStr">
        <is>
          <t>High</t>
        </is>
      </c>
      <c r="D105" s="3" t="inlineStr">
        <is>
          <t>Contraindication/warning</t>
        </is>
      </c>
      <c r="E105" s="3" t="inlineStr"/>
      <c r="F105" s="3" t="inlineStr">
        <is>
          <t>Add contraindications: epilepsy, prior FQ tendinopathy, pregnancy, breastfeeding (children &lt;18 UK)</t>
        </is>
      </c>
      <c r="G105" s="3" t="inlineStr">
        <is>
          <t>Not reported in the brief's summary of the monograph (not independently re-checked)</t>
        </is>
      </c>
      <c r="H105" s="3" t="inlineStr">
        <is>
          <t>Taiwan inserts and UK SmPC: epilepsy, history of FQ-related tendinopathy, pregnancy, breastfeeding (SmPC also children &lt;18 y)</t>
        </is>
      </c>
      <c r="I105" s="3" t="inlineStr">
        <is>
          <t>Taiwan 仿單 Cravit sec 4; P.L. 750 mg sec 4; UK SmPC 4.3</t>
        </is>
      </c>
      <c r="J105" s="3" t="inlineStr">
        <is>
          <t>Open</t>
        </is>
      </c>
      <c r="K105" s="3" t="inlineStr"/>
    </row>
    <row r="106">
      <c r="A106" s="3" t="n">
        <v>339</v>
      </c>
      <c r="B106" s="3" t="inlineStr">
        <is>
          <t>Cravit (levofloxacin) (CRA03, LEV08)</t>
        </is>
      </c>
      <c r="C106" s="7" t="inlineStr">
        <is>
          <t>High</t>
        </is>
      </c>
      <c r="D106" s="3" t="inlineStr">
        <is>
          <t>Contraindication/warning</t>
        </is>
      </c>
      <c r="E106" s="3" t="inlineStr"/>
      <c r="F106" s="3" t="inlineStr">
        <is>
          <t>Add contraindications: epilepsy, FQ tendinopathy history, pregnancy, breastfeeding</t>
        </is>
      </c>
      <c r="G106" s="3" t="inlineStr">
        <is>
          <t>Hypersensitivity to levofloxacin, other fluoroquinolones</t>
        </is>
      </c>
      <c r="H106" s="3" t="inlineStr">
        <is>
          <t>Taiwan inserts (Cravit tab/IV sec 4; P.L. 750 sec 4) also contraindicate use in epilepsy, a history of FQ-related tendinopathy, pregnancy and breastfeeding</t>
        </is>
      </c>
      <c r="I106" s="3" t="inlineStr">
        <is>
          <t>https://mcp.fda.gov.tw/im_detail_1/%E8%A1%9B%E7%BD%B2%E8%97%A5%E8%A3%BD%E5%AD%97%E7%AC%AC057839%E8%99%9F</t>
        </is>
      </c>
      <c r="J106" s="3" t="inlineStr">
        <is>
          <t>Open</t>
        </is>
      </c>
      <c r="K106" s="3" t="inlineStr"/>
    </row>
    <row r="107">
      <c r="A107" s="3" t="n">
        <v>336</v>
      </c>
      <c r="B107" s="3" t="inlineStr">
        <is>
          <t>Cravit (levofloxacin) (CRA03, LEV08)</t>
        </is>
      </c>
      <c r="C107" s="7" t="inlineStr">
        <is>
          <t>High</t>
        </is>
      </c>
      <c r="D107" s="3" t="inlineStr">
        <is>
          <t>Dosing – adult</t>
        </is>
      </c>
      <c r="E107" s="3" t="inlineStr"/>
      <c r="F107" s="3" t="inlineStr">
        <is>
          <t>Skin: cSSSI 750 mg QD 7–14 d; uSSSI 500 mg QD 7–10 d; 5-day course only CAP/ABS/cUTI</t>
        </is>
      </c>
      <c r="G107" s="3" t="inlineStr">
        <is>
          <t>'pneumonia, sinusitis, and skin infections－750 mg QD for 5 days'</t>
        </is>
      </c>
      <c r="H107" s="3" t="inlineStr">
        <is>
          <t>FDA Table 1 and P.L. 750 仿單 3.1: cSSSI 750 mg QD ×7–14 d; uncomplicated SSSI 500 mg QD ×7–10 d. The 5-day 750 mg course applies only to CAP, ABS and cUTI/AP</t>
        </is>
      </c>
      <c r="I107" s="3" t="inlineStr">
        <is>
          <t>https://dailymed.nlm.nih.gov/dailymed/drugInfo.cfm?setid=5a65b2bc-9edc-f193-e063-6394a90a0104 ; https://mcp.fda.gov.tw/im_detail_1/%E8%A1%9B%E7%BD%B2%E8%97%A5%E8%A3%BD%E5%AD%97%E7%AC%AC057839%E8%99%9F</t>
        </is>
      </c>
      <c r="J107" s="3" t="inlineStr">
        <is>
          <t>Open</t>
        </is>
      </c>
      <c r="K107" s="3" t="inlineStr"/>
    </row>
    <row r="108">
      <c r="A108" s="3" t="n">
        <v>327</v>
      </c>
      <c r="B108" s="3" t="inlineStr">
        <is>
          <t>Cravit (levofloxacin) (CRA03, LEV08)</t>
        </is>
      </c>
      <c r="C108" s="7" t="inlineStr">
        <is>
          <t>High</t>
        </is>
      </c>
      <c r="D108" s="3" t="inlineStr">
        <is>
          <t>Dosing – renal/dialysis</t>
        </is>
      </c>
      <c r="E108" s="3" t="inlineStr">
        <is>
          <t>Renal table outdated</t>
        </is>
      </c>
      <c r="F108" s="3" t="inlineStr">
        <is>
          <t>Restore full renal table (truncated): 750→q48h; 500→250 q24h/q48h; HD/CAPD rows</t>
        </is>
      </c>
      <c r="G108" s="3" t="inlineStr">
        <is>
          <t>Text is cut off mid-entry: '...Clcr 20~49 ml/min: 250m'</t>
        </is>
      </c>
      <c r="H108" s="3" t="inlineStr">
        <is>
          <t>Full table: US 750 mg q24h → 20–49: 750 mg q48h; 10–19/HD/CAPD: 750 ×1 then 500 mg q48h. 500 mg q24h → 20–49: 500 ×1 then 250 mg q24h; 10–19/HD/CAPD: 500 ×1 then 250 mg q48h.</t>
        </is>
      </c>
      <c r="I108" s="3" t="inlineStr">
        <is>
          <t>US FDA label sec 2.3 Table 3: https://dailymed.nlm.nih.gov/dailymed/drugInfo.cfm?setid=5a65b2bc-9edc-f193-e063-6394a90a0104</t>
        </is>
      </c>
      <c r="J108" s="3" t="inlineStr">
        <is>
          <t>Open</t>
        </is>
      </c>
      <c r="K108" s="3" t="inlineStr"/>
    </row>
    <row r="109">
      <c r="A109" s="3" t="n">
        <v>334</v>
      </c>
      <c r="B109" s="3" t="inlineStr">
        <is>
          <t>Cravit (levofloxacin) (CRA03, LEV08)</t>
        </is>
      </c>
      <c r="C109" s="7" t="inlineStr">
        <is>
          <t>High</t>
        </is>
      </c>
      <c r="D109" s="3" t="inlineStr">
        <is>
          <t>Dosing – renal/dialysis</t>
        </is>
      </c>
      <c r="E109" s="3" t="inlineStr">
        <is>
          <t>Renal table outdated</t>
        </is>
      </c>
      <c r="F109" s="3" t="inlineStr">
        <is>
          <t>Restore truncated renal text; US table for LEV08; TW 125 mg-step table for Cravit</t>
        </is>
      </c>
      <c r="G109" s="3" t="inlineStr">
        <is>
          <t>Text cut off mid-sentence: '...After an initial dose of 500mg QD, Clcr 20~49 ml/min: 250m'. The CRA01 Cravit IV entry has the full US-style text.</t>
        </is>
      </c>
      <c r="H109" s="3" t="inlineStr">
        <is>
          <t>Full US table (FDA 2.3 Table 3) for LEV08. For Cravit, the TFDA 仿單 sec 3.3 has the EU-style 125 mg-step table</t>
        </is>
      </c>
      <c r="I109" s="3" t="inlineStr">
        <is>
          <t>https://pharmacy.fjuh.fju.edu.tw/Key_Search/P4?query=CRA03 ; https://pharmacy.fjuh.fju.edu.tw/Key_Search/P4?query=LEV08 ; https://dailymed.nlm.nih.gov/dailymed/drugInfo.cfm?setid=5a65b2bc-9edc-f193-e063-6394a90a0104</t>
        </is>
      </c>
      <c r="J109" s="3" t="inlineStr">
        <is>
          <t>Open</t>
        </is>
      </c>
      <c r="K109" s="3" t="inlineStr"/>
    </row>
    <row r="110">
      <c r="A110" s="3" t="n">
        <v>181</v>
      </c>
      <c r="B110" s="3" t="inlineStr">
        <is>
          <t>Cresemba (Isavuconazonium) (CRE02, CRE03)</t>
        </is>
      </c>
      <c r="C110" s="7" t="inlineStr">
        <is>
          <t>High</t>
        </is>
      </c>
      <c r="D110" s="3" t="inlineStr">
        <is>
          <t>Administration/compatibility</t>
        </is>
      </c>
      <c r="E110" s="3" t="inlineStr"/>
      <c r="F110" s="3" t="inlineStr">
        <is>
          <t>Add mandatory 0.2–1.2 µm PES in-line filter; no bolus; no co-infusion</t>
        </is>
      </c>
      <c r="G110" s="3" t="inlineStr">
        <is>
          <t>Dilute in NS or D5W (≥250 mL), infuse over ≥1 h. No in-line filter mentioned.</t>
        </is>
      </c>
      <c r="H110" s="3" t="inlineStr">
        <is>
          <t>The infusion must be given through an in-line filter with a PES microporous membrane, pore size 0.2–1.2 µm. It must not be given as a bolus or with other IV drugs.</t>
        </is>
      </c>
      <c r="I110" s="3" t="inlineStr">
        <is>
          <t>Taiwan insert 027796 §3.1/§3.2; US FDA label §2.1/§2.5, https://dailymed.nlm.nih.gov/dailymed/drugInfo.cfm?setid=8f7f73b8-586a-4df0-935f-fecd4696c16c</t>
        </is>
      </c>
      <c r="J110" s="3" t="inlineStr">
        <is>
          <t>Open</t>
        </is>
      </c>
      <c r="K110" s="3" t="inlineStr"/>
    </row>
    <row r="111">
      <c r="A111" s="3" t="n">
        <v>190</v>
      </c>
      <c r="B111" s="3" t="inlineStr">
        <is>
          <t>Cresemba (Isavuconazonium) (CRE02, CRE03)</t>
        </is>
      </c>
      <c r="C111" s="7" t="inlineStr">
        <is>
          <t>High</t>
        </is>
      </c>
      <c r="D111" s="3" t="inlineStr">
        <is>
          <t>Administration/compatibility</t>
        </is>
      </c>
      <c r="E111" s="3" t="inlineStr"/>
      <c r="F111" s="3" t="inlineStr">
        <is>
          <t>Add PES in-line filter 0.2–1.2 µm; dedicated line; flush before/after</t>
        </is>
      </c>
      <c r="G111" s="3" t="inlineStr">
        <is>
          <t>IVD; NS/D5W ≥250 mL; ≥1 h (no filter mentioned)</t>
        </is>
      </c>
      <c r="H111" s="3" t="inlineStr">
        <is>
          <t>Taiwan injection insert §3.1/§3.2: the infusion must go through a PES in-line filter of 0.2–1.2 μm. Do not share the line with other infusions; flush with NS/D5W before and after.</t>
        </is>
      </c>
      <c r="I111" s="3" t="inlineStr">
        <is>
          <t>https://mcp.fda.gov.tw/im_detail_1/%E8%A1%9B%E9%83%A8%E8%97%A5%E8%BC%B8%E5%AD%97%E7%AC%AC027796%E8%99%9F</t>
        </is>
      </c>
      <c r="J111" s="3" t="inlineStr">
        <is>
          <t>Open</t>
        </is>
      </c>
      <c r="K111" s="3" t="inlineStr"/>
    </row>
    <row r="112">
      <c r="A112" s="3" t="n">
        <v>180</v>
      </c>
      <c r="B112" s="3" t="inlineStr">
        <is>
          <t>Cresemba (Isavuconazonium) (CRE02, CRE03)</t>
        </is>
      </c>
      <c r="C112" s="7" t="inlineStr">
        <is>
          <t>High</t>
        </is>
      </c>
      <c r="D112" s="3" t="inlineStr">
        <is>
          <t>Pharmacokinetics/other</t>
        </is>
      </c>
      <c r="E112" s="3" t="inlineStr"/>
      <c r="F112" s="3" t="inlineStr">
        <is>
          <t>Label strengths as isavuconazole base (200 mg vial = 372.6 mg sulfate); CRE03 is capsule</t>
        </is>
      </c>
      <c r="G112" s="3" t="inlineStr">
        <is>
          <t>'Isavuconazonium 針 200 mg' and 'Isavuconazonium 100mg tab', while the dose is written as 372 mg</t>
        </is>
      </c>
      <c r="H112" s="3" t="inlineStr">
        <is>
          <t>200 mg and 100 mg are isavuconazole (base). The vial contains 372.6 mg and each capsule 186.3 mg isavuconazonium sulfate. CRE03 is a hard capsule, not a tablet. Mixing the salt name with base strengths, and 372 mg doses with a '200 mg' product label, risks dosing errors.</t>
        </is>
      </c>
      <c r="I112" s="3" t="inlineStr">
        <is>
          <t>Taiwan insert 027796 §1.1, '每支小瓶含有 200 mg isavuconazole（相當於372.6 mg isavuconazonium sulfate）'; 027795 §1.1/§1.3, '每顆膠囊含有 100 mg isavuconazole（相當於 186.3 mg isavuconazonium sulfate）… 劑型 膠囊劑'</t>
        </is>
      </c>
      <c r="J112" s="3" t="inlineStr">
        <is>
          <t>Open</t>
        </is>
      </c>
      <c r="K112" s="3" t="inlineStr"/>
    </row>
    <row r="113">
      <c r="A113" s="3" t="n">
        <v>189</v>
      </c>
      <c r="B113" s="3" t="inlineStr">
        <is>
          <t>Cresemba (Isavuconazonium) (CRE02, CRE03)</t>
        </is>
      </c>
      <c r="C113" s="7" t="inlineStr">
        <is>
          <t>High</t>
        </is>
      </c>
      <c r="D113" s="3" t="inlineStr">
        <is>
          <t>Pharmacokinetics/other</t>
        </is>
      </c>
      <c r="E113" s="3" t="inlineStr"/>
      <c r="F113" s="3" t="inlineStr">
        <is>
          <t>Fix strength/salt naming (isavuconazole base vs sulfate) and CRE03 dosage form to capsule</t>
        </is>
      </c>
      <c r="G113" s="3" t="inlineStr">
        <is>
          <t>'Isavuconazonium 針 200 mg', 規格 200mg/vial; CRE03 規格 'Isavuconazonium 100mg tab' (劑型 Cap)</t>
        </is>
      </c>
      <c r="H113" s="3" t="inlineStr">
        <is>
          <t>The 200 mg and 100 mg figures are isavuconazole, not isavuconazonium. Per the Taiwan inserts §1.1, one vial = 200 mg isavuconazole (372.6 mg isavuconazonium sulfate) and one capsule = 100 mg isavuconazole (186 mg sulfate). CRE03 is a capsule, not a tablet.</t>
        </is>
      </c>
      <c r="I113" s="3" t="inlineStr">
        <is>
          <t>https://mcp.fda.gov.tw/im_detail_1/%E8%A1%9B%E9%83%A8%E8%97%A5%E8%BC%B8%E5%AD%97%E7%AC%AC027796%E8%99%9F ; https://mcp.fda.gov.tw/im_detail_1/%E8%A1%9B%E9%83%A8%E8%97%A5%E8%BC%B8%E5%AD%97%E7%AC%AC027795%E8%99%9F</t>
        </is>
      </c>
      <c r="J113" s="3" t="inlineStr">
        <is>
          <t>Open</t>
        </is>
      </c>
      <c r="K113" s="3" t="inlineStr"/>
    </row>
    <row r="114">
      <c r="A114" s="3" t="n">
        <v>348</v>
      </c>
      <c r="B114" s="3" t="inlineStr">
        <is>
          <t>Cubicin (Daptomycin) (CUB01)</t>
        </is>
      </c>
      <c r="C114" s="7" t="inlineStr">
        <is>
          <t>High</t>
        </is>
      </c>
      <c r="D114" s="3" t="inlineStr">
        <is>
          <t>Contraindication/warning</t>
        </is>
      </c>
      <c r="E114" s="3" t="inlineStr">
        <is>
          <t>Missing SCAR (SJS/TEN/DRESS)</t>
        </is>
      </c>
      <c r="F114" s="3" t="inlineStr">
        <is>
          <t>Add baseline/weekly CPK monitoring with stop thresholds; add eosinophilic pneumonia, DRESS, TIN, neuropathy</t>
        </is>
      </c>
      <c r="G114" s="3" t="inlineStr">
        <is>
          <t>Lists GI effects, anaemia, rash, itching, rhabdomyolysis and the statin warning; no CPK monitoring and no eosinophilic pneumonia</t>
        </is>
      </c>
      <c r="H114" s="3" t="inlineStr">
        <is>
          <t>All labels require baseline/weekly CPK monitoring with stop thresholds (&gt;1000 U/L with symptoms, &gt;2000 U/L without) and warn of eosinophilic pneumonia, DRESS, TIN and peripheral neuropathy. This is an omission rather than a direct contradiction.</t>
        </is>
      </c>
      <c r="I114" s="3" t="inlineStr">
        <is>
          <t>US FDA label §5.2–5.6; TW insert 警語及注意事項 5.1.2–5.1.6</t>
        </is>
      </c>
      <c r="J114" s="3" t="inlineStr">
        <is>
          <t>Open</t>
        </is>
      </c>
      <c r="K114" s="3" t="inlineStr"/>
    </row>
    <row r="115">
      <c r="A115" s="3" t="n">
        <v>355</v>
      </c>
      <c r="B115" s="3" t="inlineStr">
        <is>
          <t>Cubicin (Daptomycin) (CUB01)</t>
        </is>
      </c>
      <c r="C115" s="7" t="inlineStr">
        <is>
          <t>High</t>
        </is>
      </c>
      <c r="D115" s="3" t="inlineStr">
        <is>
          <t>Contraindication/warning</t>
        </is>
      </c>
      <c r="E115" s="3" t="inlineStr">
        <is>
          <t>Missing SCAR (SJS/TEN/DRESS)</t>
        </is>
      </c>
      <c r="F115" s="3" t="inlineStr">
        <is>
          <t>Add weekly CPK monitoring, stop thresholds, eosinophilic pneumonia, DRESS, TIN, neuropathy warnings</t>
        </is>
      </c>
      <c r="G115" s="3" t="inlineStr">
        <is>
          <t>Lists diarrhoea, vomiting, constipation, anaemia, rash, pruritus, erythema and statin myotoxicity. 主要副作用: 橫紋肌溶解症、過敏反應、腸胃道症狀. No CPK monitoring, no eosinophilic pneumonia.</t>
        </is>
      </c>
      <c r="H115" s="3" t="inlineStr">
        <is>
          <t>CPK must be monitored weekly (more often with statins or renal impairment). Stop if CPK &gt;1,000 U/L with symptoms or &gt;2,000 U/L without. Eosinophilic pneumonia, DRESS, TIN and peripheral neuropathy are boxed in Warnings.</t>
        </is>
      </c>
      <c r="I115" s="3" t="inlineStr">
        <is>
          <t>仿單 5.1.2-5.1.6; US label §5.2-5.6</t>
        </is>
      </c>
      <c r="J115" s="3" t="inlineStr">
        <is>
          <t>Open</t>
        </is>
      </c>
      <c r="K115" s="3" t="inlineStr"/>
    </row>
    <row r="116">
      <c r="A116" s="3" t="n">
        <v>347</v>
      </c>
      <c r="B116" s="3" t="inlineStr">
        <is>
          <t>Cubicin (Daptomycin) (CUB01)</t>
        </is>
      </c>
      <c r="C116" s="7" t="inlineStr">
        <is>
          <t>High</t>
        </is>
      </c>
      <c r="D116" s="3" t="inlineStr">
        <is>
          <t>Dosing – pediatric</t>
        </is>
      </c>
      <c r="E116" s="3" t="inlineStr"/>
      <c r="F116" s="3" t="inlineStr">
        <is>
          <t>Remove infant &lt;1 y doses and q12h; use label age bands, once daily (cSSSI 5–10, SAB 7–12 mg/kg q24h)</t>
        </is>
      </c>
      <c r="G116" s="3" t="inlineStr">
        <is>
          <t>Includes infants under 1 year (e.g. 6 mg/kg q12h) and age bands different from the labels</t>
        </is>
      </c>
      <c r="H116" s="3" t="inlineStr">
        <is>
          <t>Avoid under 12 months (neonatal dog neuromuscular toxicity, US §5.7/TW 5.1.7). No label recommends q12h dosing; once daily only (US §5.2). Label bands: cSSSI 12–17 y 5, 7–11 y 7, 2–6 y 9, 1–&lt;2 y 10 mg/kg q24h; bacteremia 12–17 y 7, 7–11 y 9, 1–6 y 12 mg/kg q24h.</t>
        </is>
      </c>
      <c r="I116" s="3" t="inlineStr">
        <is>
          <t>US FDA label §2.3, §2.5, §5.2, §5.7; TW insert 表一/表二; UK SmPC 4.2</t>
        </is>
      </c>
      <c r="J116" s="3" t="inlineStr">
        <is>
          <t>Open</t>
        </is>
      </c>
      <c r="K116" s="3" t="inlineStr"/>
    </row>
    <row r="117">
      <c r="A117" s="3" t="n">
        <v>353</v>
      </c>
      <c r="B117" s="3" t="inlineStr">
        <is>
          <t>Cubicin (Daptomycin) (CUB01)</t>
        </is>
      </c>
      <c r="C117" s="7" t="inlineStr">
        <is>
          <t>High</t>
        </is>
      </c>
      <c r="D117" s="3" t="inlineStr">
        <is>
          <t>Dosing – pediatric</t>
        </is>
      </c>
      <c r="E117" s="3" t="inlineStr"/>
      <c r="F117" s="3" t="inlineStr">
        <is>
          <t>Delete infant q12h/15 mg/kg doses; avoid &lt;12 months; use fixed label age-band q24h doses</t>
        </is>
      </c>
      <c r="G117" s="3" t="inlineStr">
        <is>
          <t>Infants: 6 mg/kg q12h (one infant 15 mg/kg q12h); infants 8-10 mg/kg q24h; children 7-11: 7-9 mg/kg q24h; ≥12 y and adolescents: 5-7 mg/kg q24h</t>
        </is>
      </c>
      <c r="H117" s="3" t="inlineStr">
        <is>
          <t>Avoid under 12 months (neuromuscular/nervous-system effects in neonatal dogs). Fixed age-band doses: cSSSI 12-17y 5, 7-11y 7, 2-6y 9, 1-&lt;2y 10 mg/kg q24h; SAB 12-17y 7, 7-11y 9, 1-6y 12 mg/kg q24h. Paediatric renal dosing not established.</t>
        </is>
      </c>
      <c r="I117" s="3" t="inlineStr">
        <is>
          <t>仿單 3.1.3, 3.1.5, 5.1.7; US label §2.3, §2.5, §5.7</t>
        </is>
      </c>
      <c r="J117" s="3" t="inlineStr">
        <is>
          <t>Open</t>
        </is>
      </c>
      <c r="K117" s="3" t="inlineStr"/>
    </row>
    <row r="118">
      <c r="A118" s="3" t="n">
        <v>145</v>
      </c>
      <c r="B118" s="3" t="inlineStr">
        <is>
          <t>Diflucan (Fluconazole) (DIF02, FLU22)</t>
        </is>
      </c>
      <c r="C118" s="7" t="inlineStr">
        <is>
          <t>High</t>
        </is>
      </c>
      <c r="D118" s="3" t="inlineStr">
        <is>
          <t>Contraindication/warning</t>
        </is>
      </c>
      <c r="E118" s="3" t="inlineStr"/>
      <c r="F118" s="3" t="inlineStr">
        <is>
          <t>Add azole hypersensitivity, terfenadine (≥400 mg/d), cisapride, astemizole contraindications</t>
        </is>
      </c>
      <c r="G118" s="3" t="inlineStr">
        <is>
          <t>Only CYP3A4-metabolised QT-prolonging drugs</t>
        </is>
      </c>
      <c r="H118" s="3" t="inlineStr">
        <is>
          <t>The TW insert §4 also contraindicates hypersensitivity to fluconazole or related azoles, terfenadine with fluconazole ≥400 mg/day, and names cisapride, astemizole, erythromycin, pimozide and quinidine. The UK SmPC 4.3 is the same.</t>
        </is>
      </c>
      <c r="I118" s="3" t="inlineStr">
        <is>
          <t>TW Diflucan IV insert §4 禁忌; UK SmPC §4.3</t>
        </is>
      </c>
      <c r="J118" s="3" t="inlineStr">
        <is>
          <t>Open</t>
        </is>
      </c>
      <c r="K118" s="3" t="inlineStr"/>
    </row>
    <row r="119">
      <c r="A119" s="3" t="n">
        <v>153</v>
      </c>
      <c r="B119" s="3" t="inlineStr">
        <is>
          <t>Diflucan (Fluconazole) (DIF02, FLU22)</t>
        </is>
      </c>
      <c r="C119" s="7" t="inlineStr">
        <is>
          <t>High</t>
        </is>
      </c>
      <c r="D119" s="3" t="inlineStr">
        <is>
          <t>Contraindication/warning</t>
        </is>
      </c>
      <c r="E119" s="3" t="inlineStr"/>
      <c r="F119" s="3" t="inlineStr">
        <is>
          <t>Add terfenadine, cisapride, astemizole contraindications; list azole hypersensitivity as contraindication</t>
        </is>
      </c>
      <c r="G119" s="3" t="inlineStr">
        <is>
          <t>Hypersensitivity (cross-reaction with other azoles: use caution); coadministration with CYP3A4 substrates that prolong QTc (eg, erythromycin, pimozide, quinidine)</t>
        </is>
      </c>
      <c r="H119" s="3" t="inlineStr">
        <is>
          <t>TW inserts §4 and UK SmPC 4.3 also contraindicate terfenadine (with fluconazole ≥400 mg/day multiple doses), cisapride and astemizole. They list hypersensitivity to related azole compounds as a contraindication, not just a caution (the US label says caution).</t>
        </is>
      </c>
      <c r="I119" s="3" t="inlineStr">
        <is>
          <t>TW 仿單 DIFLUCAN IV §4 禁忌; UK SmPC 4.3 https://www.medicines.org.uk/emc/product/15231/smpc</t>
        </is>
      </c>
      <c r="J119" s="3" t="inlineStr">
        <is>
          <t>Open</t>
        </is>
      </c>
      <c r="K119" s="3" t="inlineStr"/>
    </row>
    <row r="120">
      <c r="A120" s="3" t="n">
        <v>144</v>
      </c>
      <c r="B120" s="3" t="inlineStr">
        <is>
          <t>Diflucan (Fluconazole) (DIF02, FLU22)</t>
        </is>
      </c>
      <c r="C120" s="7" t="inlineStr">
        <is>
          <t>High</t>
        </is>
      </c>
      <c r="D120" s="3" t="inlineStr">
        <is>
          <t>Dosing – renal/dialysis</t>
        </is>
      </c>
      <c r="E120" s="3" t="inlineStr">
        <is>
          <t>Renal table outdated</t>
        </is>
      </c>
      <c r="F120" s="3" t="inlineStr">
        <is>
          <t>Align renal bands with TW inserts (incl. q72h/⅓ and q96h/¼ tiers); add HD dose after each session</t>
        </is>
      </c>
      <c r="G120" s="3" t="inlineStr">
        <is>
          <t>DIF02: CrCl &gt;50 no change, CrCl &lt;50 → 50% dose; FLU22: CrCl ≤50 → 50% reduction</t>
        </is>
      </c>
      <c r="H120" s="3" t="inlineStr">
        <is>
          <t>These values follow the US/UK labels (≤50 → 50%, HD 100% after each session), not the hospital's own TW inserts. DIF02 TW insert: &gt;40 normal; 21–40 q48h or ½; 10–20 q72h or ⅓; HD dose after each session. FLU22 TW insert: &gt;50 normal; 21–50 q48h or ½; 11–20 q96h or ¼. DIF02 also uses &lt;50 where the labels say ≤50, and gives no HD instruction.</t>
        </is>
      </c>
      <c r="I120" s="3" t="inlineStr">
        <is>
          <t>TW Diflucan IV insert §3.3; TW Fluene insert §3.3; US FDA label Dosage In Patients With Impaired Renal Function</t>
        </is>
      </c>
      <c r="J120" s="3" t="inlineStr">
        <is>
          <t>Open</t>
        </is>
      </c>
      <c r="K120" s="3" t="inlineStr"/>
    </row>
    <row r="121">
      <c r="A121" s="3" t="n">
        <v>151</v>
      </c>
      <c r="B121" s="3" t="inlineStr">
        <is>
          <t>Diflucan (Fluconazole) (DIF02, FLU22)</t>
        </is>
      </c>
      <c r="C121" s="7" t="inlineStr">
        <is>
          <t>High</t>
        </is>
      </c>
      <c r="D121" s="3" t="inlineStr">
        <is>
          <t>Dosing – renal/dialysis</t>
        </is>
      </c>
      <c r="E121" s="3" t="inlineStr">
        <is>
          <t>Renal table outdated</t>
        </is>
      </c>
      <c r="F121" s="3" t="inlineStr">
        <is>
          <t>Use TW Diflucan IV bands (&gt;40, 21–40, 10–20) after loading days; add HD dosing</t>
        </is>
      </c>
      <c r="G121" s="3" t="inlineStr">
        <is>
          <t>ClCr &gt;50: no adjustment; ClCr &lt;50: 50% of usual daily dose</t>
        </is>
      </c>
      <c r="H121" s="3" t="inlineStr">
        <is>
          <t>The TW insert of the stocked product (Diflucan IV) uses CrCl &gt;40 normal, 21–40 q48h or ½, 10–20 q72h or ⅓, with normal dose on days 1–2 and HD dosing after each session. The US/UK rule uses '≤50' (not '&lt;50') after a loading dose. The hospital entry has no HD guidance.</t>
        </is>
      </c>
      <c r="I121" s="3" t="inlineStr">
        <is>
          <t>TW 仿單 DIFLUCAN IV §3.3 腎功能受損病人 https://mcp.fda.gov.tw/im_detail_1/%E8%A1%9B%E7%BD%B2%E8%97%A5%E8%BC%B8%E5%AD%97%E7%AC%AC018790%E8%99%9F</t>
        </is>
      </c>
      <c r="J121" s="3" t="inlineStr">
        <is>
          <t>Open</t>
        </is>
      </c>
      <c r="K121" s="3" t="inlineStr"/>
    </row>
    <row r="122">
      <c r="A122" s="3" t="n">
        <v>152</v>
      </c>
      <c r="B122" s="3" t="inlineStr">
        <is>
          <t>Diflucan (Fluconazole) (DIF02, FLU22)</t>
        </is>
      </c>
      <c r="C122" s="7" t="inlineStr">
        <is>
          <t>High</t>
        </is>
      </c>
      <c r="D122" s="3" t="inlineStr">
        <is>
          <t>Dosing – renal/dialysis</t>
        </is>
      </c>
      <c r="E122" s="3" t="inlineStr">
        <is>
          <t>Renal table outdated</t>
        </is>
      </c>
      <c r="F122" s="3" t="inlineStr">
        <is>
          <t>Use TW Fluene bands (&gt;50, 21–50 ½, 11–20 ¼ or q96h); add HD full dose post-dialysis</t>
        </is>
      </c>
      <c r="G122" s="3" t="inlineStr">
        <is>
          <t>Maintenance dose: CrCl ≤50 mL/min: reduce dose by 50%</t>
        </is>
      </c>
      <c r="H122" s="3" t="inlineStr">
        <is>
          <t>TW Fluene insert: CrCl &gt;50 normal; 21–50 q48h or ½; 11–20 q96h or ¼; HD: normal dose after each dialysis. The hospital rule follows the US/UK label, not its own TW insert.</t>
        </is>
      </c>
      <c r="I122" s="3" t="inlineStr">
        <is>
          <t>TW 仿單 FLUENE 腎功能不全之劑量 https://mcp.fda.gov.tw/im_detail_1/%E8%A1%9B%E7%BD%B2%E8%97%A5%E8%A3%BD%E5%AD%97%E7%AC%AC041997%E8%99%9F</t>
        </is>
      </c>
      <c r="J122" s="3" t="inlineStr">
        <is>
          <t>Open</t>
        </is>
      </c>
      <c r="K122" s="3" t="inlineStr"/>
    </row>
    <row r="123">
      <c r="A123" s="3" t="n">
        <v>845</v>
      </c>
      <c r="B123" s="3" t="inlineStr">
        <is>
          <t>Disfect (Fusidic acid) (DIS01)</t>
        </is>
      </c>
      <c r="C123" s="7" t="inlineStr">
        <is>
          <t>High</t>
        </is>
      </c>
      <c r="D123" s="3" t="inlineStr">
        <is>
          <t>Contraindication/warning</t>
        </is>
      </c>
      <c r="E123" s="3" t="inlineStr">
        <is>
          <t>Interaction list incomplete</t>
        </is>
      </c>
      <c r="F123" s="3" t="inlineStr">
        <is>
          <t>Add statin co-administration CI and DRESS/SJS/TEN warning; CI includes excipients</t>
        </is>
      </c>
      <c r="G123" s="3" t="inlineStr">
        <is>
          <t>Lists only hypersensitivity to fusidic acid. No mention of the statin interaction or of DRESS/SJS/TEN.</t>
        </is>
      </c>
      <c r="H123" s="3" t="inlineStr">
        <is>
          <t>"Statins (HMG-CoA reductase inhibitors) and systemic Fucidin must not be co-administered" (rhabdomyolysis, including fatalities; restart the statin 7 days after the last dose). The SmPC also warns of DRESS/TEN/SJS: stop the drug and do not reintroduce. Contraindication: hypersensitivity to the active substance OR any excipient.</t>
        </is>
      </c>
      <c r="I123" s="3" t="inlineStr">
        <is>
          <t>UK SmPC Fucidin 250 mg Tablets §4.3, §4.4, §4.5 - https://www.medicines.org.uk/emc/product/5515/smpc</t>
        </is>
      </c>
      <c r="J123" s="3" t="inlineStr">
        <is>
          <t>Open</t>
        </is>
      </c>
      <c r="K123" s="3" t="inlineStr"/>
    </row>
    <row r="124">
      <c r="A124" s="3" t="n">
        <v>838</v>
      </c>
      <c r="B124" s="3" t="inlineStr">
        <is>
          <t>Disfect (Fusidic acid) (DIS01)</t>
        </is>
      </c>
      <c r="C124" s="7" t="inlineStr">
        <is>
          <t>High</t>
        </is>
      </c>
      <c r="D124" s="3" t="inlineStr">
        <is>
          <t>Drug interaction</t>
        </is>
      </c>
      <c r="E124" s="3" t="inlineStr">
        <is>
          <t>Interaction list incomplete</t>
        </is>
      </c>
      <c r="F124" s="3" t="inlineStr">
        <is>
          <t>Add statin CI (rhabdomyolysis; restart 7 d after last dose), CYP3A4, coumarin INR, HIV PIs</t>
        </is>
      </c>
      <c r="G124" s="3" t="inlineStr">
        <is>
          <t>No statin warning; the precautions field is empty and contraindications list hypersensitivity only</t>
        </is>
      </c>
      <c r="H124" s="3" t="inlineStr">
        <is>
          <t>Statins must not be co-administered with systemic fusidic acid because of rhabdomyolysis, including fatal cases. Stop the statin and restart it 7 days after the last dose. Also avoid CYP3A4 substrates, monitor INR with coumarins, and do not combine with HIV protease inhibitors.</t>
        </is>
      </c>
      <c r="I124" s="3" t="inlineStr">
        <is>
          <t>UK SmPC 5515 sections 4.4 and 4.5 — https://www.medicines.org.uk/emc/product/5515/smpc</t>
        </is>
      </c>
      <c r="J124" s="3" t="inlineStr">
        <is>
          <t>Open</t>
        </is>
      </c>
      <c r="K124" s="3" t="inlineStr"/>
    </row>
    <row r="125">
      <c r="A125" s="3" t="n">
        <v>1242</v>
      </c>
      <c r="B125" s="3" t="inlineStr">
        <is>
          <t>Dovato (Dolutegravir/Lamivudine) (DOV01)</t>
        </is>
      </c>
      <c r="C125" s="7" t="inlineStr">
        <is>
          <t>High</t>
        </is>
      </c>
      <c r="D125" s="3" t="inlineStr">
        <is>
          <t>Contraindication/warning</t>
        </is>
      </c>
      <c r="E125" s="3" t="inlineStr">
        <is>
          <t>Missing boxed warning</t>
        </is>
      </c>
      <c r="F125" s="3" t="inlineStr">
        <is>
          <t>Add HBV boxed warning, extra DTG 50 mg with rifampin/carbamazepine, and polyvalent cation spacing.</t>
        </is>
      </c>
      <c r="G125" s="3" t="inlineStr">
        <is>
          <t>No HBV boxed warning. No rifampin/carbamazepine extra dolutegravir dosing. No polyvalent cation spacing. The contraindications list hypersensitivity and dofetilide only.</t>
        </is>
      </c>
      <c r="H125" s="3" t="inlineStr">
        <is>
          <t>Boxed warning: lamivudine-resistant HBV and HBV exacerbation in co-infection; test HBV before starting. Add dolutegravir 50 mg about 12 h after Dovato with rifampin or carbamazepine. Take Dovato 2 h before or 6 h after polyvalent cations.</t>
        </is>
      </c>
      <c r="I125" s="3" t="inlineStr">
        <is>
          <t>US boxed warning, §2.3, Table 5; TW 特殊警語, §3.1, §7.4</t>
        </is>
      </c>
      <c r="J125" s="3" t="inlineStr">
        <is>
          <t>Open</t>
        </is>
      </c>
      <c r="K125" s="3" t="inlineStr"/>
    </row>
    <row r="126">
      <c r="A126" s="3" t="n">
        <v>1253</v>
      </c>
      <c r="B126" s="3" t="inlineStr">
        <is>
          <t>Dovato (Dolutegravir/Lamivudine) (DOV01)</t>
        </is>
      </c>
      <c r="C126" s="7" t="inlineStr">
        <is>
          <t>High</t>
        </is>
      </c>
      <c r="D126" s="3" t="inlineStr">
        <is>
          <t>Contraindication/warning</t>
        </is>
      </c>
      <c r="E126" s="3" t="inlineStr">
        <is>
          <t>Missing boxed warning</t>
        </is>
      </c>
      <c r="F126" s="3" t="inlineStr">
        <is>
          <t>Add HBV boxed warning and HBV testing before starting.</t>
        </is>
      </c>
      <c r="G126" s="3" t="inlineStr">
        <is>
          <t>No mention of the HBV boxed warning or HBV testing before starting</t>
        </is>
      </c>
      <c r="H126" s="3" t="inlineStr">
        <is>
          <t>FDA boxed warning and TW 特殊警語: test HBV before starting; lamivudine-resistant HBV can emerge; severe HBV exacerbation after stopping.</t>
        </is>
      </c>
      <c r="I126" s="3" t="inlineStr">
        <is>
          <t>US FDA DOVATO Boxed Warning/§5.1; TW insert 特殊警語</t>
        </is>
      </c>
      <c r="J126" s="3" t="inlineStr">
        <is>
          <t>Open</t>
        </is>
      </c>
      <c r="K126" s="3" t="inlineStr"/>
    </row>
    <row r="127">
      <c r="A127" s="3" t="n">
        <v>1250</v>
      </c>
      <c r="B127" s="3" t="inlineStr">
        <is>
          <t>Dovato (Dolutegravir/Lamivudine) (DOV01)</t>
        </is>
      </c>
      <c r="C127" s="7" t="inlineStr">
        <is>
          <t>High</t>
        </is>
      </c>
      <c r="D127" s="3" t="inlineStr">
        <is>
          <t>Dosing – renal/dialysis</t>
        </is>
      </c>
      <c r="E127" s="3" t="inlineStr"/>
      <c r="F127" s="3" t="inlineStr">
        <is>
          <t>Restore lost '&lt;30' threshold: not recommended if CrCl &lt;30 mL/min.</t>
        </is>
      </c>
      <c r="G127" s="3" t="inlineStr">
        <is>
          <t>'3. CrCl ' then 'Use is not recommended' (the '&lt;30' threshold is lost in HTML)</t>
        </is>
      </c>
      <c r="H127" s="3" t="inlineStr">
        <is>
          <t>Not recommended if CrCl &lt;30 mL/min</t>
        </is>
      </c>
      <c r="I127" s="3" t="inlineStr">
        <is>
          <t>US FDA DOVATO §2.4/§8.6 – https://dailymed.nlm.nih.gov/dailymed/drugInfo.cfm?setid=68e45422-43ed-4cfb-9356-fae88d14a53a</t>
        </is>
      </c>
      <c r="J127" s="3" t="inlineStr">
        <is>
          <t>Open</t>
        </is>
      </c>
      <c r="K127" s="3" t="inlineStr"/>
    </row>
    <row r="128">
      <c r="A128" s="3" t="n">
        <v>1254</v>
      </c>
      <c r="B128" s="3" t="inlineStr">
        <is>
          <t>Dovato (Dolutegravir/Lamivudine) (DOV01)</t>
        </is>
      </c>
      <c r="C128" s="7" t="inlineStr">
        <is>
          <t>High</t>
        </is>
      </c>
      <c r="D128" s="3" t="inlineStr">
        <is>
          <t>Drug interaction</t>
        </is>
      </c>
      <c r="E128" s="3" t="inlineStr">
        <is>
          <t>Interaction list incomplete</t>
        </is>
      </c>
      <c r="F128" s="3" t="inlineStr">
        <is>
          <t>Add extra DTG 50 mg ~12 h with rifampin/carbamazepine; avoid oxcarbazepine, phenytoin, phenobarbital, St John's wort.</t>
        </is>
      </c>
      <c r="G128" s="3" t="inlineStr">
        <is>
          <t>One tablet once daily (no mention of inducers)</t>
        </is>
      </c>
      <c r="H128" s="3" t="inlineStr">
        <is>
          <t>With rifampin/carbamazepine: extra DTG 50 mg ~12 h after Dovato. Avoid oxcarbazepine, phenytoin, phenobarbital, St John's wort (FDA).</t>
        </is>
      </c>
      <c r="I128" s="3" t="inlineStr">
        <is>
          <t>US FDA DOVATO §2.3, Table 5; TW insert 表1</t>
        </is>
      </c>
      <c r="J128" s="3" t="inlineStr">
        <is>
          <t>Open</t>
        </is>
      </c>
      <c r="K128" s="3" t="inlineStr"/>
    </row>
    <row r="129">
      <c r="A129" s="3" t="n">
        <v>748</v>
      </c>
      <c r="B129" s="3" t="inlineStr">
        <is>
          <t>Doxycycline (DOX04)</t>
        </is>
      </c>
      <c r="C129" s="7" t="inlineStr">
        <is>
          <t>High</t>
        </is>
      </c>
      <c r="D129" s="3" t="inlineStr">
        <is>
          <t>Contraindication/warning</t>
        </is>
      </c>
      <c r="E129" s="3" t="inlineStr"/>
      <c r="F129" s="3" t="inlineStr">
        <is>
          <t>Contraindication: hypersensitivity only; tooth staining is a warning; allow ≤8 y for anthrax and RMSF</t>
        </is>
      </c>
      <c r="G129" s="3" t="inlineStr">
        <is>
          <t>Hypersensitivity to any tetracycline products, last half of pregnancy, infancy, and childhood up to 8 years of age (except anthrax)</t>
        </is>
      </c>
      <c r="H129" s="3" t="inlineStr">
        <is>
          <t>US label CONTRAINDICATIONS: hypersensitivity to any tetracycline only. Tooth development (last half of pregnancy to age 8) is a WARNING, and use at 8 y or younger is allowed for severe or life-threatening conditions, e.g. anthrax AND Rocky Mountain spotted fever, not anthrax alone. The UK SmPC instead contraindicates pregnancy and nursing mothers outright (4.3) and says not to use under 8 y (4.2). The hospital text matches neither label.</t>
        </is>
      </c>
      <c r="I129" s="3" t="inlineStr">
        <is>
          <t>US FDA label CONTRAINDICATIONS, WARNINGS, Pediatric Use: https://dailymed.nlm.nih.gov/dailymed/drugInfo.cfm?setid=3e7cf78f-3b48-4614-9fa4-c6d1e0c05a35; UK SmPC 4.2/4.3: https://www.medicines.org.uk/emc/product/13082/smpc</t>
        </is>
      </c>
      <c r="J129" s="3" t="inlineStr">
        <is>
          <t>Open</t>
        </is>
      </c>
      <c r="K129" s="3" t="inlineStr"/>
    </row>
    <row r="130">
      <c r="A130" s="3" t="n">
        <v>753</v>
      </c>
      <c r="B130" s="3" t="inlineStr">
        <is>
          <t>Doxycycline (DOX04)</t>
        </is>
      </c>
      <c r="C130" s="7" t="inlineStr">
        <is>
          <t>High</t>
        </is>
      </c>
      <c r="D130" s="3" t="inlineStr">
        <is>
          <t>Contraindication/warning</t>
        </is>
      </c>
      <c r="E130" s="3" t="inlineStr"/>
      <c r="F130" s="3" t="inlineStr">
        <is>
          <t>Fix contraindications: hypersensitivity only; ≤8 y allowed for severe infection incl. RMSF</t>
        </is>
      </c>
      <c r="G130" s="3" t="inlineStr">
        <is>
          <t>Hypersensitivity to any tetracycline products, last half of pregnancy, infancy, and childhood up to 8 years of age (except anthrax)</t>
        </is>
      </c>
      <c r="H130" s="3" t="inlineStr">
        <is>
          <t>US: contraindicated only in tetracycline hypersensitivity. Tooth development (last half of pregnancy to age 8) is a WARNING, and ≤8 y use is allowed in severe or life-threatening conditions such as anthrax AND RMSF (not anthrax only). UK: contraindicates pregnancy and lactation, and says do not use &lt;8 y. TW 培力 insert: no contraindication section beyond stopping for allergy and the Al(OH)3 gel interaction. The hospital entry matches none of the three labels.</t>
        </is>
      </c>
      <c r="I130" s="3" t="inlineStr">
        <is>
          <t>US CONTRAINDICATIONS/WARNINGS/Pediatric Use (DailyMed setid 3e7cf78f-3b48-4614-9fa4-c6d1e0c05a35); UK SmPC 4.2/4.3; TW 衛署藥製字第034900號 注意事項</t>
        </is>
      </c>
      <c r="J130" s="3" t="inlineStr">
        <is>
          <t>Open</t>
        </is>
      </c>
      <c r="K130" s="3" t="inlineStr"/>
    </row>
    <row r="131">
      <c r="A131" s="3" t="n">
        <v>552</v>
      </c>
      <c r="B131" s="3" t="inlineStr">
        <is>
          <t>Emblaveo (Aztreonam-avibactam) (EMB01)</t>
        </is>
      </c>
      <c r="C131" s="7" t="inlineStr">
        <is>
          <t>High</t>
        </is>
      </c>
      <c r="D131" s="3" t="inlineStr">
        <is>
          <t>Dosing – renal/dialysis</t>
        </is>
      </c>
      <c r="E131" s="3" t="inlineStr">
        <is>
          <t>Renal table outdated</t>
        </is>
      </c>
      <c r="F131" s="3" t="inlineStr">
        <is>
          <t>Add CRRT note: higher dose than HD, guided by CRRT clearance; insufficient data for other RRT</t>
        </is>
      </c>
      <c r="G131" s="3" t="inlineStr">
        <is>
          <t>No note on CRRT or other renal replacement therapy</t>
        </is>
      </c>
      <c r="H131" s="3" t="inlineStr">
        <is>
          <t>The UK says data are insufficient for RRT other than HD, that CRRT needs a higher dose than HD, and that the dose should be guided by CRRT clearance.</t>
        </is>
      </c>
      <c r="I131" s="3" t="inlineStr">
        <is>
          <t>UK SmPC 4.2 Renal impairment — https://www.medicines.org.uk/emc/product/15895/smpc</t>
        </is>
      </c>
      <c r="J131" s="3" t="inlineStr">
        <is>
          <t>Open</t>
        </is>
      </c>
      <c r="K131" s="3" t="inlineStr"/>
    </row>
    <row r="132">
      <c r="A132" s="3" t="n">
        <v>561</v>
      </c>
      <c r="B132" s="3" t="inlineStr">
        <is>
          <t>Emblaveo (Aztreonam-avibactam) (EMB01)</t>
        </is>
      </c>
      <c r="C132" s="7" t="inlineStr">
        <is>
          <t>High</t>
        </is>
      </c>
      <c r="D132" s="3" t="inlineStr">
        <is>
          <t>Dosing – renal/dialysis</t>
        </is>
      </c>
      <c r="E132" s="3" t="inlineStr">
        <is>
          <t>Renal table outdated</t>
        </is>
      </c>
      <c r="F132" s="3" t="inlineStr">
        <is>
          <t>Add CRRT higher-dose guidance; fix footnote to CrCl ≤15</t>
        </is>
      </c>
      <c r="G132" s="3" t="inlineStr">
        <is>
          <t>The IHD table has no note on CRRT or other renal replacement therapy, and footnote d shows 'CrCL   15' with the ≤ symbol missing</t>
        </is>
      </c>
      <c r="H132" s="3" t="inlineStr">
        <is>
          <t>SmPC 4.2: there are insufficient data for RRT other than HD (e.g. CVVH, PD), and CRRT patients need a higher dose than HD patients, guided by CRRT clearance. Footnote d should read CrCL ≤ 15 mL/min.</t>
        </is>
      </c>
      <c r="I132" s="3" t="inlineStr">
        <is>
          <t>UK SmPC 4.2 Table 2 footnote d and RRT paragraph — https://www.medicines.org.uk/emc/product/15895/smpc</t>
        </is>
      </c>
      <c r="J132" s="3" t="inlineStr">
        <is>
          <t>Open</t>
        </is>
      </c>
      <c r="K132" s="3" t="inlineStr"/>
    </row>
    <row r="133">
      <c r="A133" s="3" t="n">
        <v>1169</v>
      </c>
      <c r="B133" s="3" t="inlineStr">
        <is>
          <t>Epbutol (Ethambutol) (EPB01)</t>
        </is>
      </c>
      <c r="C133" s="7" t="inlineStr">
        <is>
          <t>High</t>
        </is>
      </c>
      <c r="D133" s="3" t="inlineStr">
        <is>
          <t>Contraindication/warning</t>
        </is>
      </c>
      <c r="E133" s="3" t="inlineStr">
        <is>
          <t>Missing SCAR (SJS/TEN/DRESS)</t>
        </is>
      </c>
      <c r="F133" s="3" t="inlineStr">
        <is>
          <t>Add hepatotoxicity (fatal), TW diabetes/alcoholism caution, SCAR warning, gout, neuropathy, thrombocytopenia.</t>
        </is>
      </c>
      <c r="G133" s="3" t="inlineStr">
        <is>
          <t>Lists only optic neuritis, and 頭痛、眩暈、腹痛、食慾差、噁心、嘔吐. No hepatotoxicity, no diabetes/alcoholism caution, no SCAR warning.</t>
        </is>
      </c>
      <c r="H133" s="3" t="inlineStr">
        <is>
          <t>TW 仿單 §5(一): 糖尿病患者、酒精中毒患者勿使用; §8: hepatitis, jaundice, abnormal LFT, very rare hepatic failure. US Warnings: liver toxicity including fatalities, baseline and periodic LFT. UK 4.4: SJS/TEN/DRESS → do not rechallenge. US/UK: hyperuricaemia/gout, thrombocytopenia, peripheral neuropathy.</t>
        </is>
      </c>
      <c r="I133" s="3" t="inlineStr">
        <is>
          <t>Taiwan 仿單: https://mcp.fda.gov.tw/im_detail_1/%E8%A1%9B%E7%BD%B2%E8%97%A5%E8%A3%BD%E5%AD%97%E7%AC%AC019877%E8%99%9F; US label WARNINGS/ADVERSE REACTIONS; UK SmPC 4.4/4.8</t>
        </is>
      </c>
      <c r="J133" s="3" t="inlineStr">
        <is>
          <t>Open</t>
        </is>
      </c>
      <c r="K133" s="3" t="inlineStr"/>
    </row>
    <row r="134">
      <c r="A134" s="3" t="n">
        <v>1175</v>
      </c>
      <c r="B134" s="3" t="inlineStr">
        <is>
          <t>Epbutol (Ethambutol) (EPB01)</t>
        </is>
      </c>
      <c r="C134" s="7" t="inlineStr">
        <is>
          <t>High</t>
        </is>
      </c>
      <c r="D134" s="3" t="inlineStr">
        <is>
          <t>Contraindication/warning</t>
        </is>
      </c>
      <c r="E134" s="3" t="inlineStr">
        <is>
          <t>Missing SCAR (SJS/TEN/DRESS)</t>
        </is>
      </c>
      <c r="F134" s="3" t="inlineStr">
        <is>
          <t>Add fatal hepatotoxicity/LFT monitoring, diabetes/alcoholism caution, SCAR no-rechallenge, gout, neuropathy, cytopenias.</t>
        </is>
      </c>
      <c r="G134" s="3" t="inlineStr">
        <is>
          <t>副作用: optic neuritis only. 主要副作用: 頭痛、眩暈、腹痛、食慾差、噁心、嘔吐. 注意事項 and 肝功能調整劑量 are blank.</t>
        </is>
      </c>
      <c r="H134" s="3" t="inlineStr">
        <is>
          <t>Missing label warnings: hepatotoxicity including fatalities with baseline/periodic LFT (US Warnings; 仿單 §8 肝炎、黃疸、肝衰竭); 仿單 §5(一) 糖尿病、酒精中毒患者勿使用; UK §4.4 SCAR (SJS/TEN/DRESS, never rechallenge); hyperuricaemia/gout; peripheral neuropathy; thrombocytopenia/leukopenia/neutropenia.</t>
        </is>
      </c>
      <c r="I134" s="3" t="inlineStr">
        <is>
          <t>US FDA WARNINGS/ADVERSE REACTIONS; UK SmPC §4.4/4.8; TW 仿單 §5, §8: https://mcp.fda.gov.tw/im_detail_1/%E8%A1%9B%E7%BD%B2%E8%97%A5%E8%A3%BD%E5%AD%97%E7%AC%AC019877%E8%99%9F</t>
        </is>
      </c>
      <c r="J134" s="3" t="inlineStr">
        <is>
          <t>Open</t>
        </is>
      </c>
      <c r="K134" s="3" t="inlineStr"/>
    </row>
    <row r="135">
      <c r="A135" s="3" t="n">
        <v>1164</v>
      </c>
      <c r="B135" s="3" t="inlineStr">
        <is>
          <t>Epbutol (Ethambutol) (EPB01)</t>
        </is>
      </c>
      <c r="C135" s="7" t="inlineStr">
        <is>
          <t>High</t>
        </is>
      </c>
      <c r="D135" s="3" t="inlineStr">
        <is>
          <t>Dosing – adult</t>
        </is>
      </c>
      <c r="E135" s="3" t="inlineStr"/>
      <c r="F135" s="3" t="inlineStr">
        <is>
          <t>Fix twice-weekly 76–90 kg dose: 2,400 mg conflicts with 44–53 mg/kg (≈4,000 mg).</t>
        </is>
      </c>
      <c r="G135" s="3" t="inlineStr">
        <is>
          <t>2,400 mg (44.4 to 52.6 mg/kg)</t>
        </is>
      </c>
      <c r="H135" s="3" t="inlineStr">
        <is>
          <t>The figure contradicts itself: 2,400 mg/76–90 kg = 26.7–31.6 mg/kg (the same as the thrice-weekly row). The quoted 44.4–52.6 mg/kg corresponds to 4,000 mg. No label supports twice-weekly dosing; US/TW/UK are once daily (UK renal only: three times a week).</t>
        </is>
      </c>
      <c r="I135" s="3" t="inlineStr">
        <is>
          <t>US label DOSAGE AND ADMINISTRATION ('once every 24-hour basis only'): https://dailymed.nlm.nih.gov/dailymed/drugInfo.cfm?setid=e0d4a594-d3e0-47b0-9f11-f4dbd4552d5a; arithmetic from hospital P4 page https://pharmacy.fjuh.fju.edu.tw/Key_Search/P4?query=EPB01</t>
        </is>
      </c>
      <c r="J135" s="3" t="inlineStr">
        <is>
          <t>Open</t>
        </is>
      </c>
      <c r="K135" s="3" t="inlineStr"/>
    </row>
    <row r="136">
      <c r="A136" s="3" t="n">
        <v>1172</v>
      </c>
      <c r="B136" s="3" t="inlineStr">
        <is>
          <t>Epbutol (Ethambutol) (EPB01)</t>
        </is>
      </c>
      <c r="C136" s="7" t="inlineStr">
        <is>
          <t>High</t>
        </is>
      </c>
      <c r="D136" s="3" t="inlineStr">
        <is>
          <t>Dosing – adult</t>
        </is>
      </c>
      <c r="E136" s="3" t="inlineStr"/>
      <c r="F136" s="3" t="inlineStr">
        <is>
          <t>Correct twice-weekly 76–90 kg dose to 4,000 mg (or remove BIW); listed 2,400 mg underdoses.</t>
        </is>
      </c>
      <c r="G136" s="3" t="inlineStr">
        <is>
          <t>2,400 mg (44.4 to 52.6 mg/kg)</t>
        </is>
      </c>
      <c r="H136" s="3" t="inlineStr">
        <is>
          <t>The site's own mg/kg range works out to 4,000 mg (4,000/90 = 44.4; 4,000/76 = 52.6). 2,400 mg is the thrice-weekly value for the same band (26.7–31.6 mg/kg), so it looks like a copy error. As listed, the dose is about 40% too low for a twice-weekly regimen. Twice-weekly dosing is also not in any label.</t>
        </is>
      </c>
      <c r="I136" s="3" t="inlineStr">
        <is>
          <t>P4 https://pharmacy.fjuh.fju.edu.tw/Key_Search/P4?query=EPB01 (internal arithmetic); ATS/CDC/IDSA 2016 EMB whole-tablet table (PMID 27516382)</t>
        </is>
      </c>
      <c r="J136" s="3" t="inlineStr">
        <is>
          <t>Open</t>
        </is>
      </c>
      <c r="K136" s="3" t="inlineStr"/>
    </row>
    <row r="137">
      <c r="A137" s="3" t="n">
        <v>1166</v>
      </c>
      <c r="B137" s="3" t="inlineStr">
        <is>
          <t>Epbutol (Ethambutol) (EPB01)</t>
        </is>
      </c>
      <c r="C137" s="7" t="inlineStr">
        <is>
          <t>High</t>
        </is>
      </c>
      <c r="D137" s="3" t="inlineStr">
        <is>
          <t>Dosing – renal/dialysis</t>
        </is>
      </c>
      <c r="E137" s="3" t="inlineStr">
        <is>
          <t>Renal table outdated</t>
        </is>
      </c>
      <c r="F137" s="3" t="inlineStr">
        <is>
          <t>Replace reduced daily renal doses with 15–25 mg/kg three times weekly for CrCl &lt;30/HD, after HD.</t>
        </is>
      </c>
      <c r="G137" s="3" t="inlineStr">
        <is>
          <t>ClCr 10–50: 15 mg/kg q24–36h or 7.5–10 mg/kg/day; ClCr &lt;10: q48h (the '&lt;10' text renders truncated as 'ClCr 3.'); HD: slightly dialyzable, give post-dialysis</t>
        </is>
      </c>
      <c r="H137" s="3" t="inlineStr">
        <is>
          <t>TW 仿單 and US give no numbers (US: dose by serum levels). UK SmPC: CrCl &lt;30 → 15–25 mg/kg (max 2.5 g) 3×/week + plasma-level monitoring. ATS 2016: for CrCl ≥30 use standard doses; for CrCl &lt;30/HD lengthen the interval to thrice weekly rather than lowering the dose. The hospital's reduced daily doses ('7.5–10 mg/kg/day') and q48h for CrCl &lt;10 are not in any label or guideline reviewed. Post-HD dosing is consistent with ATS 2016.</t>
        </is>
      </c>
      <c r="I137" s="3" t="inlineStr">
        <is>
          <t>UK SmPC 4.2: https://www.medicines.org.uk/emc/product/14174/smpc; ATS/CDC/IDSA 2016 'Renal Disease' (PMID 27516382)</t>
        </is>
      </c>
      <c r="J137" s="3" t="inlineStr">
        <is>
          <t>Open</t>
        </is>
      </c>
      <c r="K137" s="3" t="inlineStr"/>
    </row>
    <row r="138">
      <c r="A138" s="3" t="n">
        <v>1174</v>
      </c>
      <c r="B138" s="3" t="inlineStr">
        <is>
          <t>Epbutol (Ethambutol) (EPB01)</t>
        </is>
      </c>
      <c r="C138" s="7" t="inlineStr">
        <is>
          <t>High</t>
        </is>
      </c>
      <c r="D138" s="3" t="inlineStr">
        <is>
          <t>Dosing – renal/dialysis</t>
        </is>
      </c>
      <c r="E138" s="3" t="inlineStr">
        <is>
          <t>Renal table outdated</t>
        </is>
      </c>
      <c r="F138" s="3" t="inlineStr">
        <is>
          <t>Replace reduced-dose renal table with interval extension: 15–25 mg/kg TIW post-HD for CrCl &lt;30.</t>
        </is>
      </c>
      <c r="G138" s="3" t="inlineStr">
        <is>
          <t>ClCr 10–50: 15 mg/kg q24–36h or 7.5–10 mg/kg/day; ClCr &lt;10: 15 mg/kg q48h or 5 mg/kg/day; HD: slightly dialyzable (5–20%), dose post-dialysis</t>
        </is>
      </c>
      <c r="H138" s="3" t="inlineStr">
        <is>
          <t>No label gives these numbers. 仿單: accumulation, caution (no numbers). US: reduce as determined by serum levels. UK: preferably avoid; CrCl &lt;30 → 15–25 mg/kg (max 2.5 g) three times a week + plasma levels. ATS 2016: standard dose when CrCl &gt;30; for CrCl &lt;30/HD lengthen the interval to thrice weekly rather than lowering the dose (lower doses reduce the peak and can compromise efficacy), which argues against the hospital's 7.5–10 and 5 mg/kg/day options. NTM 2020: 15–25 mg/kg 3×/week. A high-flux HD study showed a mean 41% fall in serum level (Chew 2017), more than '5–20%'.</t>
        </is>
      </c>
      <c r="I138" s="3" t="inlineStr">
        <is>
          <t>TW 仿單 §5; US FDA PRECAUTIONS; UK SmPC §4.2; ATS 2016 Renal Disease (PMID 27516382); NTM 2020 (PMID 32628747); PMID 28396542</t>
        </is>
      </c>
      <c r="J138" s="3" t="inlineStr">
        <is>
          <t>Open</t>
        </is>
      </c>
      <c r="K138" s="3" t="inlineStr"/>
    </row>
    <row r="139">
      <c r="A139" s="3" t="n">
        <v>1414</v>
      </c>
      <c r="B139" s="3" t="inlineStr">
        <is>
          <t>Epclusa (Sofosbuvir/Velpatasvir) (EPC01)</t>
        </is>
      </c>
      <c r="C139" s="7" t="inlineStr">
        <is>
          <t>High</t>
        </is>
      </c>
      <c r="D139" s="3" t="inlineStr">
        <is>
          <t>Contraindication/warning</t>
        </is>
      </c>
      <c r="E139" s="3" t="inlineStr"/>
      <c r="F139" s="3" t="inlineStr">
        <is>
          <t>Add contraindications: strong P-gp/CYP inducers, hypersensitivity, ribavirin contraindications with RBV regimen.</t>
        </is>
      </c>
      <c r="G139" s="3" t="inlineStr">
        <is>
          <t>There are no contraindications listed in the manufacturer's labeling.</t>
        </is>
      </c>
      <c r="H139" s="3" t="inlineStr">
        <is>
          <t>US: the Epclusa + ribavirin regimen is contraindicated wherever ribavirin is contraindicated (e.g. pregnancy, male partners of pregnant women). UK: hypersensitivity; strong P-gp/CYP inducers (carbamazepine, phenobarbital, phenytoin, rifampicin, rifabutin, St John's wort).</t>
        </is>
      </c>
      <c r="I139" s="3" t="inlineStr">
        <is>
          <t>US FDA label §4, §8.1; UK SmPC §4.3</t>
        </is>
      </c>
      <c r="J139" s="3" t="inlineStr">
        <is>
          <t>Open</t>
        </is>
      </c>
      <c r="K139" s="3" t="inlineStr"/>
    </row>
    <row r="140">
      <c r="A140" s="3" t="n">
        <v>1415</v>
      </c>
      <c r="B140" s="3" t="inlineStr">
        <is>
          <t>Epclusa (Sofosbuvir/Velpatasvir) (EPC01)</t>
        </is>
      </c>
      <c r="C140" s="7" t="inlineStr">
        <is>
          <t>High</t>
        </is>
      </c>
      <c r="D140" s="3" t="inlineStr">
        <is>
          <t>Contraindication/warning</t>
        </is>
      </c>
      <c r="E140" s="3" t="inlineStr">
        <is>
          <t>Missing boxed warning</t>
        </is>
      </c>
      <c r="F140" s="3" t="inlineStr">
        <is>
          <t>Add HBV reactivation boxed warning, amiodarone bradycardia, inducer and other interactions.</t>
        </is>
      </c>
      <c r="G140" s="3" t="inlineStr">
        <is>
          <t>Omits the HBV reactivation boxed warning, the amiodarone bradycardia warning and the inducer interactions. Side effects listed only as 'Nausea, Headache, Fatigue'.</t>
        </is>
      </c>
      <c r="H140" s="3" t="inlineStr">
        <is>
          <t>Boxed warning: HBV reactivation (test HBsAg/anti-HBc first). §5.2: serious symptomatic bradycardia with amiodarone. §5.3/§7: P-gp/CYP inducers not recommended. Also PPI restriction, rosuvastatin ≤10 mg, digoxin TDM, hypoglycaemia/INR changes.</t>
        </is>
      </c>
      <c r="I140" s="3" t="inlineStr">
        <is>
          <t>US FDA label Boxed Warning, §5.1–5.3, §7.3</t>
        </is>
      </c>
      <c r="J140" s="3" t="inlineStr">
        <is>
          <t>Open</t>
        </is>
      </c>
      <c r="K140" s="3" t="inlineStr"/>
    </row>
    <row r="141">
      <c r="A141" s="3" t="n">
        <v>1421</v>
      </c>
      <c r="B141" s="3" t="inlineStr">
        <is>
          <t>Epclusa (Sofosbuvir/Velpatasvir) (EPC01)</t>
        </is>
      </c>
      <c r="C141" s="7" t="inlineStr">
        <is>
          <t>High</t>
        </is>
      </c>
      <c r="D141" s="3" t="inlineStr">
        <is>
          <t>Contraindication/warning</t>
        </is>
      </c>
      <c r="E141" s="3" t="inlineStr"/>
      <c r="F141" s="3" t="inlineStr">
        <is>
          <t>Add contraindications: hypersensitivity and strong P-gp/CYP inducers (rifampicin, carbamazepine, phenytoin, etc.).</t>
        </is>
      </c>
      <c r="G141" s="3" t="inlineStr">
        <is>
          <t>There are no contraindications listed in the manufacturer's labeling.</t>
        </is>
      </c>
      <c r="H141" s="3" t="inlineStr">
        <is>
          <t>TW仿單 (stocked product) and UK SmPC §4.3: hypersensitivity, plus strong P-gp/CYP inducers (carbamazepine, phenobarbital, phenytoin, rifampicin, rifabutin, St John's wort). FDA §4: contraindicated when ribavirin is contraindicated (combination regimen).</t>
        </is>
      </c>
      <c r="I141" s="3" t="inlineStr">
        <is>
          <t>TW仿單 §4.3/§4.5; UK SmPC §4.3; FDA §4</t>
        </is>
      </c>
      <c r="J141" s="3" t="inlineStr">
        <is>
          <t>Open</t>
        </is>
      </c>
      <c r="K141" s="3" t="inlineStr"/>
    </row>
    <row r="142">
      <c r="A142" s="3" t="n">
        <v>1424</v>
      </c>
      <c r="B142" s="3" t="inlineStr">
        <is>
          <t>Epclusa (Sofosbuvir/Velpatasvir) (EPC01)</t>
        </is>
      </c>
      <c r="C142" s="7" t="inlineStr">
        <is>
          <t>High</t>
        </is>
      </c>
      <c r="D142" s="3" t="inlineStr">
        <is>
          <t>Contraindication/warning</t>
        </is>
      </c>
      <c r="E142" s="3" t="inlineStr">
        <is>
          <t>Missing boxed warning</t>
        </is>
      </c>
      <c r="F142" s="3" t="inlineStr">
        <is>
          <t>Add HBV reactivation boxed warning, amiodarone bradycardia, inducer contraindication, hypoglycaemia/INR.</t>
        </is>
      </c>
      <c r="G142" s="3" t="inlineStr">
        <is>
          <t>No warnings listed: no HBV reactivation, amiodarone bradycardia or inducer interactions</t>
        </is>
      </c>
      <c r="H142" s="3" t="inlineStr">
        <is>
          <t>FDA boxed warning: HBV reactivation (test HBsAg/anti-HBc before treatment). Serious symptomatic bradycardia/heart block with amiodarone. Inducers contraindicated (TW/UK) or not recommended (US). Hypoglycaemia and INR changes as HCV clears.</t>
        </is>
      </c>
      <c r="I142" s="3" t="inlineStr">
        <is>
          <t>FDA boxed warning/§5.1–5.3/§7.3; TW仿單 §4.4/§4.5; UK SmPC §4.4</t>
        </is>
      </c>
      <c r="J142" s="3" t="inlineStr">
        <is>
          <t>Open</t>
        </is>
      </c>
      <c r="K142" s="3" t="inlineStr"/>
    </row>
    <row r="143">
      <c r="A143" s="3" t="n">
        <v>1425</v>
      </c>
      <c r="B143" s="3" t="inlineStr">
        <is>
          <t>Epclusa (Sofosbuvir/Velpatasvir) (EPC01)</t>
        </is>
      </c>
      <c r="C143" s="7" t="inlineStr">
        <is>
          <t>High</t>
        </is>
      </c>
      <c r="D143" s="3" t="inlineStr">
        <is>
          <t>Dosing – adult</t>
        </is>
      </c>
      <c r="E143" s="3" t="inlineStr"/>
      <c r="F143" s="3" t="inlineStr">
        <is>
          <t>Add decompensated cirrhosis regimen Epclusa + ribavirin 12 wk; RBV 24 wk after NS5A failure; TW ≥12 y.</t>
        </is>
      </c>
      <c r="G143" s="3" t="inlineStr">
        <is>
          <t>'One tablet once daily for 12 weeks'; indication lists adults only</t>
        </is>
      </c>
      <c r="H143" s="3" t="inlineStr">
        <is>
          <t>Correct for compensated disease. Decompensated cirrhosis needs Epclusa + ribavirin × 12 wk (weight-based RBV). TW/UK: consider + RBV × 24 wk after NS5A failure. TW indication is ≥12 y and ≥30 kg, not adults only.</t>
        </is>
      </c>
      <c r="I143" s="3" t="inlineStr">
        <is>
          <t>FDA §2.2/§2.3; TW仿單 §4.1/§4.2; UK SmPC §4.2</t>
        </is>
      </c>
      <c r="J143" s="3" t="inlineStr">
        <is>
          <t>Open</t>
        </is>
      </c>
      <c r="K143" s="3" t="inlineStr"/>
    </row>
    <row r="144">
      <c r="A144" s="3" t="n">
        <v>853</v>
      </c>
      <c r="B144" s="3" t="inlineStr">
        <is>
          <t>Eraxis (Anidulafungin) (ERA01)</t>
        </is>
      </c>
      <c r="C144" s="7" t="inlineStr">
        <is>
          <t>High</t>
        </is>
      </c>
      <c r="D144" s="3" t="inlineStr">
        <is>
          <t>Contraindication/warning</t>
        </is>
      </c>
      <c r="E144" s="3" t="inlineStr"/>
      <c r="F144" s="3" t="inlineStr">
        <is>
          <t>Add CI: known or suspected hereditary fructose intolerance</t>
        </is>
      </c>
      <c r="G144" s="3" t="inlineStr">
        <is>
          <t>Hypersensitivity to anidulafungin, any component, or other echinocandins (only)</t>
        </is>
      </c>
      <c r="H144" s="3" t="inlineStr">
        <is>
          <t>The TW and US labels also contraindicate known or suspected hereditary fructose intolerance (the product contains fructose), because of the risk of life-threatening hypoglycemia, lactic acidosis and hepatic failure.</t>
        </is>
      </c>
      <c r="I144" s="3" t="inlineStr">
        <is>
          <t>Taiwan insert §4 禁忌 '已知或疑似患有遺傳性果糖不耐症(HFI)之病人' https://mcp.fda.gov.tw/im_detail_1/%E8%A1%9B%E7%BD%B2%E8%97%A5%E8%BC%B8%E5%AD%97%E7%AC%AC024758%E8%99%9F; US FDA label §4 https://dailymed.nlm.nih.gov/dailymed/drugInfo.cfm?setid=a88d9010-55fb-4a02-baff-042cd27688ea</t>
        </is>
      </c>
      <c r="J144" s="3" t="inlineStr">
        <is>
          <t>Open</t>
        </is>
      </c>
      <c r="K144" s="3" t="inlineStr"/>
    </row>
    <row r="145">
      <c r="A145" s="3" t="n">
        <v>864</v>
      </c>
      <c r="B145" s="3" t="inlineStr">
        <is>
          <t>Eraxis (Anidulafungin) (ERA01)</t>
        </is>
      </c>
      <c r="C145" s="7" t="inlineStr">
        <is>
          <t>High</t>
        </is>
      </c>
      <c r="D145" s="3" t="inlineStr">
        <is>
          <t>Contraindication/warning</t>
        </is>
      </c>
      <c r="E145" s="3" t="inlineStr"/>
      <c r="F145" s="3" t="inlineStr">
        <is>
          <t>Add hereditary fructose intolerance contraindication</t>
        </is>
      </c>
      <c r="G145" s="3" t="inlineStr">
        <is>
          <t>Hypersensitivity to anidulafungin, any component, or other echinocandins (only)</t>
        </is>
      </c>
      <c r="H145" s="3" t="inlineStr">
        <is>
          <t>Also contraindicated in known or suspected hereditary fructose intolerance (the product contains fructose).</t>
        </is>
      </c>
      <c r="I145" s="3" t="inlineStr">
        <is>
          <t>TW §4 禁忌 https://mcp.fda.gov.tw/im_detail_1/%E8%A1%9B%E7%BD%B2%E8%97%A5%E8%BC%B8%E5%AD%97%E7%AC%AC024758%E8%99%9F; US §4</t>
        </is>
      </c>
      <c r="J145" s="3" t="inlineStr">
        <is>
          <t>Open</t>
        </is>
      </c>
      <c r="K145" s="3" t="inlineStr"/>
    </row>
    <row r="146">
      <c r="A146" s="3" t="n">
        <v>356</v>
      </c>
      <c r="B146" s="3" t="inlineStr">
        <is>
          <t>Ertapenem (ERT01)</t>
        </is>
      </c>
      <c r="C146" s="7" t="inlineStr">
        <is>
          <t>High</t>
        </is>
      </c>
      <c r="D146" s="3" t="inlineStr">
        <is>
          <t>Indication/coverage</t>
        </is>
      </c>
      <c r="E146" s="3" t="inlineStr"/>
      <c r="F146" s="3" t="inlineStr">
        <is>
          <t>Restrict pneumonia to community-acquired; state HAP/VAP not approved (no Pseudomonas/Acinetobacter cover)</t>
        </is>
      </c>
      <c r="G146" s="3" t="inlineStr">
        <is>
          <t>Pneumonia (unqualified)</t>
        </is>
      </c>
      <c r="H146" s="3" t="inlineStr">
        <is>
          <t>Community-acquired pneumonia only. HAP/VAP is not approved (P. aeruginosa and Acinetobacter are resistant).</t>
        </is>
      </c>
      <c r="I146" s="3" t="inlineStr">
        <is>
          <t>US FDA label §1.3; UK SmPC 4.1; TW 仿單 2 適應症 (感染性肺炎 Community Acquired Pneumonia)</t>
        </is>
      </c>
      <c r="J146" s="3" t="inlineStr">
        <is>
          <t>Open</t>
        </is>
      </c>
      <c r="K146" s="3" t="inlineStr"/>
    </row>
    <row r="147">
      <c r="A147" s="3" t="n">
        <v>365</v>
      </c>
      <c r="B147" s="3" t="inlineStr">
        <is>
          <t>Ertapenem (ERT01)</t>
        </is>
      </c>
      <c r="C147" s="7" t="inlineStr">
        <is>
          <t>High</t>
        </is>
      </c>
      <c r="D147" s="3" t="inlineStr">
        <is>
          <t>Indication/coverage</t>
        </is>
      </c>
      <c r="E147" s="3" t="inlineStr"/>
      <c r="F147" s="3" t="inlineStr">
        <is>
          <t>Restrict pneumonia to CAP; HAP/VAP not approved</t>
        </is>
      </c>
      <c r="G147" s="3" t="inlineStr">
        <is>
          <t>Pneumonia</t>
        </is>
      </c>
      <c r="H147" s="3" t="inlineStr">
        <is>
          <t>Community-acquired pneumonia only (HAP/VAP are not approved).</t>
        </is>
      </c>
      <c r="I147" s="3" t="inlineStr">
        <is>
          <t>US label 1.3; UK SmPC 4.1; TW insert 2 (感染性肺炎 Community Acquired Pneumonia)</t>
        </is>
      </c>
      <c r="J147" s="3" t="inlineStr">
        <is>
          <t>Open</t>
        </is>
      </c>
      <c r="K147" s="3" t="inlineStr"/>
    </row>
    <row r="148">
      <c r="A148" s="3" t="n">
        <v>730</v>
      </c>
      <c r="B148" s="3" t="inlineStr">
        <is>
          <t>Erythromycin (ERY03)</t>
        </is>
      </c>
      <c r="C148" s="7" t="inlineStr">
        <is>
          <t>High</t>
        </is>
      </c>
      <c r="D148" s="3" t="inlineStr">
        <is>
          <t>Adverse effects</t>
        </is>
      </c>
      <c r="E148" s="3" t="inlineStr">
        <is>
          <t>Missing SCAR (SJS/TEN/DRESS)</t>
        </is>
      </c>
      <c r="F148" s="3" t="inlineStr">
        <is>
          <t>Add QT/torsades, CDAD, hearing loss, IHPS, SJS/TEN, nephritis, pancreatitis, seizures</t>
        </is>
      </c>
      <c r="G148" s="3" t="inlineStr">
        <is>
          <t>Diarrhea, loss of appetite, nausea, stomach cramps, vomiting, cholestatic hepatitis</t>
        </is>
      </c>
      <c r="H148" s="3" t="inlineStr">
        <is>
          <t>It leaves out boxed-level warnings found in both labels: QT prolongation and torsades de pointes (fatalities reported), CDAD, reversible hearing loss, IHPS in infants, SJS/TEN, interstitial nephritis, pancreatitis and seizures.</t>
        </is>
      </c>
      <c r="I148" s="3" t="inlineStr">
        <is>
          <t>US DailyMed WARNINGS and ADVERSE REACTIONS; UK SmPC 4.8</t>
        </is>
      </c>
      <c r="J148" s="3" t="inlineStr">
        <is>
          <t>Open</t>
        </is>
      </c>
      <c r="K148" s="3" t="inlineStr"/>
    </row>
    <row r="149">
      <c r="A149" s="3" t="n">
        <v>729</v>
      </c>
      <c r="B149" s="3" t="inlineStr">
        <is>
          <t>Erythromycin (ERY03)</t>
        </is>
      </c>
      <c r="C149" s="7" t="inlineStr">
        <is>
          <t>High</t>
        </is>
      </c>
      <c r="D149" s="3" t="inlineStr">
        <is>
          <t>Contraindication/warning</t>
        </is>
      </c>
      <c r="E149" s="3" t="inlineStr">
        <is>
          <t>Interaction list incomplete</t>
        </is>
      </c>
      <c r="F149" s="3" t="inlineStr">
        <is>
          <t>Add lovastatin, simvastatin, domperidone, ivabradine, lomitapide etc., QT history, hypoK/hypoMg; move liver to precautions</t>
        </is>
      </c>
      <c r="G149" s="3" t="inlineStr">
        <is>
          <t>Lists astemizole, cisapride, DHE, ergotamine, pimozide, terfenadine and hypersensitivity, plus 'Use with caution to patient with pre-existing liver disease'</t>
        </is>
      </c>
      <c r="H149" s="3" t="inlineStr">
        <is>
          <t>The list is incomplete. The US label also contraindicates lovastatin and simvastatin. UK SmPC 4.3 adds domperidone, ivabradine, lomitapide, tolterodine, mizolastine and amisulpride, a history of QT prolongation or ventricular arrhythmia, and hypokalaemia/hypomagnesaemia. Liver disease is a precaution (caution), not a contraindication.</t>
        </is>
      </c>
      <c r="I149" s="3" t="inlineStr">
        <is>
          <t>US DailyMed CONTRAINDICATIONS; UK SmPC 4.3, 4.4</t>
        </is>
      </c>
      <c r="J149" s="3" t="inlineStr">
        <is>
          <t>Open</t>
        </is>
      </c>
      <c r="K149" s="3" t="inlineStr"/>
    </row>
    <row r="150">
      <c r="A150" s="3" t="n">
        <v>742</v>
      </c>
      <c r="B150" s="3" t="inlineStr">
        <is>
          <t>Erythromycin (ERY03)</t>
        </is>
      </c>
      <c r="C150" s="7" t="inlineStr">
        <is>
          <t>High</t>
        </is>
      </c>
      <c r="D150" s="3" t="inlineStr">
        <is>
          <t>Contraindication/warning</t>
        </is>
      </c>
      <c r="E150" s="3" t="inlineStr">
        <is>
          <t>Interaction list incomplete</t>
        </is>
      </c>
      <c r="F150" s="3" t="inlineStr">
        <is>
          <t>Add statins, domperidone, amisulpride, etc., QT history, electrolyte disorders; move liver to precautions</t>
        </is>
      </c>
      <c r="G150" s="3" t="inlineStr">
        <is>
          <t>astemizole, cisapride, DHE, ergotamine, pimozide, terfenadine; hypersensitivity; "Use with caution to patient with pre-existing liver disease"</t>
        </is>
      </c>
      <c r="H150" s="3" t="inlineStr">
        <is>
          <t>The list omits the US contraindications lovastatin and simvastatin. It also omits the UK SmPC 4.3 contraindications: domperidone, amisulpride, mizolastine, tolterodine, ivabradine, lomitapide, history of QT prolongation or ventricular arrhythmia, and hypokalaemia/hypomagnesaemia. Liver disease is a precaution ("caution"), not a contraindication, and is misfiled under 禁忌症.</t>
        </is>
      </c>
      <c r="I150" s="3" t="inlineStr">
        <is>
          <t>US CONTRAINDICATIONS https://dailymed.nlm.nih.gov/dailymed/drugInfo.cfm?setid=a2dcb48a-212c-1b0c-ec35-ee2ade85847f ; UK SmPC 4.3/4.4 https://www.medicines.org.uk/emc/product/10659/smpc</t>
        </is>
      </c>
      <c r="J150" s="3" t="inlineStr">
        <is>
          <t>Open</t>
        </is>
      </c>
      <c r="K150" s="3" t="inlineStr"/>
    </row>
    <row r="151">
      <c r="A151" s="3" t="n">
        <v>743</v>
      </c>
      <c r="B151" s="3" t="inlineStr">
        <is>
          <t>Erythromycin (ERY03)</t>
        </is>
      </c>
      <c r="C151" s="7" t="inlineStr">
        <is>
          <t>High</t>
        </is>
      </c>
      <c r="D151" s="3" t="inlineStr">
        <is>
          <t>Contraindication/warning</t>
        </is>
      </c>
      <c r="E151" s="3" t="inlineStr"/>
      <c r="F151" s="3" t="inlineStr">
        <is>
          <t>Add QT prolongation/torsades warning (TW §5.1, US WARNINGS, UK contraindication)</t>
        </is>
      </c>
      <c r="G151" s="3" t="inlineStr">
        <is>
          <t>Side effects list GI effects and cholestatic hepatitis only; QT prolongation is not mentioned anywhere</t>
        </is>
      </c>
      <c r="H151" s="3" t="inlineStr">
        <is>
          <t>QT prolongation and torsades de pointes (fatalities reported) is a US WARNING and a UK 4.3 contraindication. It is the only warning in the stocked product's own TW insert (§5.1/§7, hydroxychloroquine).</t>
        </is>
      </c>
      <c r="I151" s="3" t="inlineStr">
        <is>
          <t>TW 仿單 §5.1 https://mcp.fda.gov.tw/im_detail_1/%E8%A1%9B%E7%BD%B2%E8%97%A5%E8%A3%BD%E5%AD%97%E7%AC%AC000106%E8%99%9F ; US WARNINGS QT https://dailymed.nlm.nih.gov/dailymed/drugInfo.cfm?setid=a2dcb48a-212c-1b0c-ec35-ee2ade85847f</t>
        </is>
      </c>
      <c r="J151" s="3" t="inlineStr">
        <is>
          <t>Open</t>
        </is>
      </c>
      <c r="K151" s="3" t="inlineStr"/>
    </row>
    <row r="152">
      <c r="A152" s="3" t="n">
        <v>727</v>
      </c>
      <c r="B152" s="3" t="inlineStr">
        <is>
          <t>Erythromycin (ERY03)</t>
        </is>
      </c>
      <c r="C152" s="7" t="inlineStr">
        <is>
          <t>High</t>
        </is>
      </c>
      <c r="D152" s="3" t="inlineStr">
        <is>
          <t>Pregnancy</t>
        </is>
      </c>
      <c r="E152" s="3" t="inlineStr">
        <is>
          <t>FDA letter category</t>
        </is>
      </c>
      <c r="F152" s="3" t="inlineStr">
        <is>
          <t>Replace B with narrative; add estolate pregnancy hepatotoxicity warning (avoid estolate in pregnancy)</t>
        </is>
      </c>
      <c r="G152" s="3" t="inlineStr">
        <is>
          <t>B [FDA]</t>
        </is>
      </c>
      <c r="H152" s="3" t="inlineStr">
        <is>
          <t>FDA letter categories are retired. The US label says use only if clearly needed. UK SmPC 4.6 reports a possible small increase in cardiovascular malformations after first-trimester exposure. For the estolate salt specifically, an RCT found SGOT elevation in 9.9% of pregnant women vs 1.8% on placebo and judged estolate 'inadvisable' in pregnancy.</t>
        </is>
      </c>
      <c r="I152" s="3" t="inlineStr">
        <is>
          <t>US DailyMed PRECAUTIONS Teratogenic Effects; UK SmPC 4.6 https://www.medicines.org.uk/emc/product/10659/smpc; McCormack 1977 PMID 21610</t>
        </is>
      </c>
      <c r="J152" s="3" t="inlineStr">
        <is>
          <t>Open</t>
        </is>
      </c>
      <c r="K152" s="3" t="inlineStr"/>
    </row>
    <row r="153">
      <c r="A153" s="3" t="n">
        <v>737</v>
      </c>
      <c r="B153" s="3" t="inlineStr">
        <is>
          <t>Erythromycin (ERY03)</t>
        </is>
      </c>
      <c r="C153" s="7" t="inlineStr">
        <is>
          <t>High</t>
        </is>
      </c>
      <c r="D153" s="3" t="inlineStr">
        <is>
          <t>Pregnancy</t>
        </is>
      </c>
      <c r="E153" s="3" t="inlineStr">
        <is>
          <t>FDA letter category</t>
        </is>
      </c>
      <c r="F153" s="3" t="inlineStr">
        <is>
          <t>Replace B with narrative; add estolate contraindicated in pregnancy (hepatotoxicity)</t>
        </is>
      </c>
      <c r="G153" s="3" t="inlineStr">
        <is>
          <t>B [FDA]</t>
        </is>
      </c>
      <c r="H153" s="3" t="inlineStr">
        <is>
          <t>FDA letter categories are retired. The US label says "use during pregnancy only if clearly needed". UK SmPC 4.6 notes a possible small increase in cardiovascular malformations after first-trimester exposure. For the estolate salt that ERY03 contains, pregnancy hepatotoxicity has been reported: SGOT elevation 9.9% vs 1.8% on placebo (McCormack 1977), and CDC STD 2015 calls estolate contraindicated in pregnancy. The hospital page has no warning about this.</t>
        </is>
      </c>
      <c r="I153" s="3" t="inlineStr">
        <is>
          <t>US label PRECAUTIONS Teratogenic Effects https://dailymed.nlm.nih.gov/dailymed/drugInfo.cfm?setid=a2dcb48a-212c-1b0c-ec35-ee2ade85847f ; UK SmPC 4.6 https://www.medicines.org.uk/emc/product/10659/smpc ; PMID 21610 https://pubmed.ncbi.nlm.nih.gov/21610/ ; PMID 26042815 https://pubmed.ncbi.nlm.nih.gov/26042815/ ; hospital page https://pharmacy.fjuh.fju.edu.tw/Key_Search/P4?query=ERY03</t>
        </is>
      </c>
      <c r="J153" s="3" t="inlineStr">
        <is>
          <t>Open</t>
        </is>
      </c>
      <c r="K153" s="3" t="inlineStr"/>
    </row>
    <row r="154">
      <c r="A154" s="3" t="n">
        <v>1008</v>
      </c>
      <c r="B154" s="3" t="inlineStr">
        <is>
          <t>Famvir (Famciclovir) (FAM01)</t>
        </is>
      </c>
      <c r="C154" s="7" t="inlineStr">
        <is>
          <t>High</t>
        </is>
      </c>
      <c r="D154" s="3" t="inlineStr">
        <is>
          <t>Dosing – renal/dialysis</t>
        </is>
      </c>
      <c r="E154" s="3" t="inlineStr">
        <is>
          <t>Renal table outdated</t>
        </is>
      </c>
      <c r="F154" s="3" t="inlineStr">
        <is>
          <t>Replace renal table with FDA/UK bands for 500 mg q8h (40–59 q12h, 20–39 q24h, &lt;20 250 mg q24h) per regimen</t>
        </is>
      </c>
      <c r="G154" s="3" t="inlineStr">
        <is>
          <t>CrCl ≥30: no adjustment; 10–29: 125 mg Q8H; HD 250 mg (zoster) / 125 mg (genital HSV) after each session</t>
        </is>
      </c>
      <c r="H154" s="3" t="inlineStr">
        <is>
          <t>This is the TW insert table, which is built on the 250 mg TID zoster / first-episode regimen. The hospital pairs it with a 500 mg q8h zoster dose and with 1 g BID, 500 mg BID and 250 mg BID regimens. FDA and UK require reduction already at CrCl 40–59 for 500 mg q8h (→ q12h), then 20–39 → 500 mg q24h and &lt;20 → 250 mg q24h. A patient with CrCl 30–59 on the hospital's 500 mg q8h would therefore receive an unadjusted dose; FDA 5.1 warns of acute renal failure with inappropriately high doses. The TW table also excludes recurrent GH and does not cover the HIV, suppression or 1 g regimens.</t>
        </is>
      </c>
      <c r="I154" s="3" t="inlineStr">
        <is>
          <t>FDA §2.3 Table 1 &amp; §5.1 — https://dailymed.nlm.nih.gov/dailymed/drugInfo.cfm?setid=2c44b8d2-3b70-4e8b-af03-2e917178f761; UK SmPC §4.2 Table 1 — https://www.medicines.org.uk/emc/product/11710/smpc; TW 仿單 腎功能不全者 — https://mcp.fda.gov.tw/insert/pdfcasefile/i_04a54732-34c4-4625-b7ff-206556a81038</t>
        </is>
      </c>
      <c r="J154" s="3" t="inlineStr">
        <is>
          <t>Open</t>
        </is>
      </c>
      <c r="K154" s="3" t="inlineStr"/>
    </row>
    <row r="155">
      <c r="A155" s="3" t="n">
        <v>1017</v>
      </c>
      <c r="B155" s="3" t="inlineStr">
        <is>
          <t>Famvir (Famciclovir) (FAM01)</t>
        </is>
      </c>
      <c r="C155" s="7" t="inlineStr">
        <is>
          <t>High</t>
        </is>
      </c>
      <c r="D155" s="3" t="inlineStr">
        <is>
          <t>Dosing – renal/dialysis</t>
        </is>
      </c>
      <c r="E155" s="3" t="inlineStr">
        <is>
          <t>Renal table outdated</t>
        </is>
      </c>
      <c r="F155" s="3" t="inlineStr">
        <is>
          <t>Specify base regimen; add FDA/SmPC renal bands for 500 mg q8h and other regimens, plus &lt;10 guidance</t>
        </is>
      </c>
      <c r="G155" s="3" t="inlineStr">
        <is>
          <t>CrCl ≥30 no change; CrCl 10–29: 125 mg Q8H (no base regimen stated)</t>
        </is>
      </c>
      <c r="H155" s="3" t="inlineStr">
        <is>
          <t>These values come from the TW insert table, which applies only to the TW 250 mg TID zoster and first-episode regimens. Combined with the hospital's own 500 mg q8h zoster dose, they cut the dose to 25%. FDA/SmPC for 500 mg q8h: 40–59 500 q12h; 20–39 500 q24h; &lt;20 250 q24h. The hospital gives no renal values for the 1 g BID, 1500 mg, suppression or HIV regimens, and no &lt;10 guidance.</t>
        </is>
      </c>
      <c r="I155" s="3" t="inlineStr">
        <is>
          <t>TW仿單 腎功能不全者; FDA 2.3 Table 1; SmPC 4.2 Table 1 https://www.medicines.org.uk/emc/product/11710/smpc</t>
        </is>
      </c>
      <c r="J155" s="3" t="inlineStr">
        <is>
          <t>Open</t>
        </is>
      </c>
      <c r="K155" s="3" t="inlineStr"/>
    </row>
    <row r="156">
      <c r="A156" s="3" t="n">
        <v>532</v>
      </c>
      <c r="B156" s="3" t="inlineStr">
        <is>
          <t>Fetroja (Cefiderocol) (FET01)</t>
        </is>
      </c>
      <c r="C156" s="7" t="inlineStr">
        <is>
          <t>High</t>
        </is>
      </c>
      <c r="D156" s="3" t="inlineStr">
        <is>
          <t>Dosing – renal/dialysis</t>
        </is>
      </c>
      <c r="E156" s="3" t="inlineStr">
        <is>
          <t>Renal table outdated</t>
        </is>
      </c>
      <c r="F156" s="3" t="inlineStr">
        <is>
          <t>Restore full renal table: 30–59 1.5 g q8h; 15–29 1 g q8h; &lt;15/HD 0.75 g q12h; CRRT by effluent</t>
        </is>
      </c>
      <c r="G156" s="3" t="inlineStr">
        <is>
          <t>Text is cut off: 'CrCl ?120 mL/minute: 2 g every 6 hours. CrCl 60 to ' (the rest of the renal, HD and CRRT table is missing)</t>
        </is>
      </c>
      <c r="H156" s="3" t="inlineStr">
        <is>
          <t>Full table: CrCl 30–59 1.5 g q8h; 15–29 1 g q8h; &lt;15 or HD 0.75 g q12h after HD; CRRT dosed by effluent flow rate (≤2 L/h 1.5 g q12h ... ≥4.1 L/h 2 g q8h)</t>
        </is>
      </c>
      <c r="I156" s="3" t="inlineStr">
        <is>
          <t>TW 仿單 §3.1 表3-1/3-2; US FDA label §2.2 Tables 1–2</t>
        </is>
      </c>
      <c r="J156" s="3" t="inlineStr">
        <is>
          <t>Open</t>
        </is>
      </c>
      <c r="K156" s="3" t="inlineStr"/>
    </row>
    <row r="157">
      <c r="A157" s="3" t="n">
        <v>543</v>
      </c>
      <c r="B157" s="3" t="inlineStr">
        <is>
          <t>Fetroja (Cefiderocol) (FET01)</t>
        </is>
      </c>
      <c r="C157" s="7" t="inlineStr">
        <is>
          <t>High</t>
        </is>
      </c>
      <c r="D157" s="3" t="inlineStr">
        <is>
          <t>Dosing – renal/dialysis</t>
        </is>
      </c>
      <c r="E157" s="3" t="inlineStr">
        <is>
          <t>Renal table outdated</t>
        </is>
      </c>
      <c r="F157" s="3" t="inlineStr">
        <is>
          <t>Restore truncated renal table incl. HD and CRRT effluent-based dosing</t>
        </is>
      </c>
      <c r="G157" s="3" t="inlineStr">
        <is>
          <t>'…CrCl ?120 mL/minute: 2 g every 6 hours. CrCl 60 to ' (cut off; no table for CrCl &lt;60, HD or CRRT)</t>
        </is>
      </c>
      <c r="H157" s="3" t="inlineStr">
        <is>
          <t>Full table: 30-59 → 1.5 g q8h; 15-29 → 1 g q8h; &lt;15/HD → 0.75 g q12h after HD; CRRT by effluent flow rate (TW 表3-1/3-2).</t>
        </is>
      </c>
      <c r="I157" s="3" t="inlineStr">
        <is>
          <t>Taiwan insert §3.1 表3-1, 表3-2</t>
        </is>
      </c>
      <c r="J157" s="3" t="inlineStr">
        <is>
          <t>Open</t>
        </is>
      </c>
      <c r="K157" s="3" t="inlineStr"/>
    </row>
    <row r="158">
      <c r="A158" s="3" t="n">
        <v>381</v>
      </c>
      <c r="B158" s="3" t="inlineStr">
        <is>
          <t>Flumarin (Flomoxef) (FLU05)</t>
        </is>
      </c>
      <c r="C158" s="7" t="inlineStr">
        <is>
          <t>High</t>
        </is>
      </c>
      <c r="D158" s="3" t="inlineStr">
        <is>
          <t>Adverse effects</t>
        </is>
      </c>
      <c r="E158" s="3" t="inlineStr">
        <is>
          <t>Missing SCAR (SJS/TEN/DRESS)</t>
        </is>
      </c>
      <c r="F158" s="3" t="inlineStr">
        <is>
          <t>Add serious ADRs: anaphylaxis, AKI, cytopenias, C. difficile colitis, SJS/TEN, pneumonitis, vitamin K deficiency bleeding</t>
        </is>
      </c>
      <c r="G158" s="3" t="inlineStr">
        <is>
          <t>Eosinophilia, thrombocytosis, low RBC/Hb/WBC, raised liver enzymes, loose stools, stomatitis, numb tongue, rash/urticaria (no serious adverse effects listed)</t>
        </is>
      </c>
      <c r="H158" s="3" t="inlineStr">
        <is>
          <t>Serious adverse effects: shock/anaphylaxis, acute renal failure, pancytopenia/agranulocytosis/thrombocytopenia/haemolytic anaemia, pseudomembranous colitis, TEN/SJS, interstitial pneumonia/PIE, hepatic dysfunction/jaundice. Also vitamin K deficiency (hypoprothrombinaemia, bleeding) and vitamin B deficiency. The hospital list omits all of these.</t>
        </is>
      </c>
      <c r="I158" s="3" t="inlineStr">
        <is>
          <t>Taiwan insert, 【使用注意事項】六.副作用, https://mcp.fda.gov.tw/insert/pdfcasefile/f00601dd-69fd-4c6e-a282-74a0922a818d</t>
        </is>
      </c>
      <c r="J158" s="3" t="inlineStr">
        <is>
          <t>Open</t>
        </is>
      </c>
      <c r="K158" s="3" t="inlineStr"/>
    </row>
    <row r="159">
      <c r="A159" s="3" t="n">
        <v>388</v>
      </c>
      <c r="B159" s="3" t="inlineStr">
        <is>
          <t>Flumarin (Flomoxef) (FLU05)</t>
        </is>
      </c>
      <c r="C159" s="7" t="inlineStr">
        <is>
          <t>High</t>
        </is>
      </c>
      <c r="D159" s="3" t="inlineStr">
        <is>
          <t>Adverse effects</t>
        </is>
      </c>
      <c r="E159" s="3" t="inlineStr">
        <is>
          <t>Missing SCAR (SJS/TEN/DRESS)</t>
        </is>
      </c>
      <c r="F159" s="3" t="inlineStr">
        <is>
          <t>Add serious ADRs incl. anaphylaxis, AKI, cytopenias, C. difficile, SJS/TEN, vitamin K/B deficiency</t>
        </is>
      </c>
      <c r="G159" s="3" t="inlineStr">
        <is>
          <t>Eosinophilia, thrombocytosis, low RBC/Hb/WBC, raised liver enzymes, loose stools, stomatitis, numb tongue, rash/urticaria</t>
        </is>
      </c>
      <c r="H159" s="3" t="inlineStr">
        <is>
          <t>Also lists the serious ADRs: shock/anaphylaxis, acute kidney failure, pancytopenia/agranulocytosis, thrombocytopenia, haemolytic anaemia, pseudomembranous colitis, TEN/SJS, interstitial pneumonia/PIE and hepatic dysfunction/jaundice. It also warns of vitamin K deficiency (hypoprothrombinaemia, bleeding) and vitamin B deficiency. 'Numb tongue' is not a label term; the closest is 舌炎 under vitamin B deficiency.</t>
        </is>
      </c>
      <c r="I159" s="3" t="inlineStr">
        <is>
          <t>Taiwan insert Flumarin 1g, 使用注意事項 六.1-2 — https://mcp.fda.gov.tw/insert/pdfcasefile/f00601dd-69fd-4c6e-a282-74a0922a818d</t>
        </is>
      </c>
      <c r="J159" s="3" t="inlineStr">
        <is>
          <t>Open</t>
        </is>
      </c>
      <c r="K159" s="3" t="inlineStr"/>
    </row>
    <row r="160">
      <c r="A160" s="3" t="n">
        <v>377</v>
      </c>
      <c r="B160" s="3" t="inlineStr">
        <is>
          <t>Flumarin (Flomoxef) (FLU05)</t>
        </is>
      </c>
      <c r="C160" s="7" t="inlineStr">
        <is>
          <t>High</t>
        </is>
      </c>
      <c r="D160" s="3" t="inlineStr">
        <is>
          <t>Dosing – pediatric</t>
        </is>
      </c>
      <c r="E160" s="3" t="inlineStr"/>
      <c r="F160" s="3" t="inlineStr">
        <is>
          <t>Neonates: 20 mg/kg/dose, 2–3×/day ≤3 days old, 3–4×/day from day 4; remove 30 mg/kg</t>
        </is>
      </c>
      <c r="G160" s="3" t="inlineStr">
        <is>
          <t>Neonates 20-30 mg/kg 2-3 times a day</t>
        </is>
      </c>
      <c r="H160" s="3" t="inlineStr">
        <is>
          <t>Premature infants and neonates: 20 mg/kg per dose, 2-3×/day within the first 3 days of life and 3-4×/day from day 4. Can be increased to 150 mg/kg/day in 3-4 doses. There is no 30 mg/kg per-dose figure, and the hospital omits the day-4+ frequency.</t>
        </is>
      </c>
      <c r="I160" s="3" t="inlineStr">
        <is>
          <t>Taiwan insert, 【用法・用量】, https://mcp.fda.gov.tw/insert/pdfcasefile/f00601dd-69fd-4c6e-a282-74a0922a818d</t>
        </is>
      </c>
      <c r="J160" s="3" t="inlineStr">
        <is>
          <t>Open</t>
        </is>
      </c>
      <c r="K160" s="3" t="inlineStr"/>
    </row>
    <row r="161">
      <c r="A161" s="3" t="n">
        <v>384</v>
      </c>
      <c r="B161" s="3" t="inlineStr">
        <is>
          <t>Flumarin (Flomoxef) (FLU05)</t>
        </is>
      </c>
      <c r="C161" s="7" t="inlineStr">
        <is>
          <t>High</t>
        </is>
      </c>
      <c r="D161" s="3" t="inlineStr">
        <is>
          <t>Dosing – pediatric</t>
        </is>
      </c>
      <c r="E161" s="3" t="inlineStr"/>
      <c r="F161" s="3" t="inlineStr">
        <is>
          <t>Neonates 20 mg/kg/dose; 2–3×/day first 3 days, 3–4×/day from day 4; max 150 mg/kg/day</t>
        </is>
      </c>
      <c r="G161" s="3" t="inlineStr">
        <is>
          <t>20-30 mg/kg 2-3 times/day</t>
        </is>
      </c>
      <c r="H161" s="3" t="inlineStr">
        <is>
          <t>20 mg/kg per dose, 2-3×/day in the first 3 days and 3-4×/day from day 4. Only the daily total can rise, to 150 mg/kg/day in 3-4 doses.</t>
        </is>
      </c>
      <c r="I161" s="3" t="inlineStr">
        <is>
          <t>Taiwan insert Flumarin 1g, 【用法・用量】 — https://mcp.fda.gov.tw/insert/pdfcasefile/f00601dd-69fd-4c6e-a282-74a0922a818d</t>
        </is>
      </c>
      <c r="J161" s="3" t="inlineStr">
        <is>
          <t>Open</t>
        </is>
      </c>
      <c r="K161" s="3" t="inlineStr"/>
    </row>
    <row r="162">
      <c r="A162" s="3" t="n">
        <v>376</v>
      </c>
      <c r="B162" s="3" t="inlineStr">
        <is>
          <t>Flumarin (Flomoxef) (FLU05)</t>
        </is>
      </c>
      <c r="C162" s="7" t="inlineStr">
        <is>
          <t>High</t>
        </is>
      </c>
      <c r="D162" s="3" t="inlineStr">
        <is>
          <t>Dosing – renal/dialysis</t>
        </is>
      </c>
      <c r="E162" s="3" t="inlineStr">
        <is>
          <t>Renal table outdated</t>
        </is>
      </c>
      <c r="F162" s="3" t="inlineStr">
        <is>
          <t>Remove unsourced renal table (3 g/day exceeds usual 1–2 g/day); use label: reduce dose/extend interval</t>
        </is>
      </c>
      <c r="G162" s="3" t="inlineStr">
        <is>
          <t>CrCl 50-80 → 3 g/day; 25-50 → 2 g/day; 5-25 → 1 g/day; &lt;5 → 0.5 g/day</t>
        </is>
      </c>
      <c r="H162" s="3" t="inlineStr">
        <is>
          <t>No numeric renal dose table. Only 高度腎障害患者…需減低投與量或延長投與間隔, plus a half-life-by-CrCl table (1.31 h at &gt;70 up to 9.62 h at &lt;5). 3 g/day at CrCl 50-80 is above the label's usual adult dose of 1-2 g/day (4 g/day is only for refractory/severe infection).</t>
        </is>
      </c>
      <c r="I162" s="3" t="inlineStr">
        <is>
          <t>Taiwan insert Flumarin 1g, 【使用注意事項】三.3 and 【體內藥物動力學】表7, https://mcp.fda.gov.tw/insert/pdfcasefile/f00601dd-69fd-4c6e-a282-74a0922a818d</t>
        </is>
      </c>
      <c r="J162" s="3" t="inlineStr">
        <is>
          <t>Open</t>
        </is>
      </c>
      <c r="K162" s="3" t="inlineStr"/>
    </row>
    <row r="163">
      <c r="A163" s="3" t="n">
        <v>383</v>
      </c>
      <c r="B163" s="3" t="inlineStr">
        <is>
          <t>Flumarin (Flomoxef) (FLU05)</t>
        </is>
      </c>
      <c r="C163" s="7" t="inlineStr">
        <is>
          <t>High</t>
        </is>
      </c>
      <c r="D163" s="3" t="inlineStr">
        <is>
          <t>Dosing – renal/dialysis</t>
        </is>
      </c>
      <c r="E163" s="3" t="inlineStr">
        <is>
          <t>Renal table outdated</t>
        </is>
      </c>
      <c r="F163" s="3" t="inlineStr">
        <is>
          <t>Remove unsourced CrCl table (3 g/day &gt; usual dose); cite label reduce dose/extend interval</t>
        </is>
      </c>
      <c r="G163" s="3" t="inlineStr">
        <is>
          <t>CrCl 50-80 → 3 g/day; 25-50 → 2 g/day; 5-25 → 1 g/day; &lt;5 → 0.5 g/day</t>
        </is>
      </c>
      <c r="H163" s="3" t="inlineStr">
        <is>
          <t>No numeric renal dose table. Only 「高度腎障害患者…需減低投與量或延長投與間隔」 plus half-life by CrCl (表7). Usual adult dose is 1-2 g/day, so 3 g/day at CrCl 50-80 is above the usual dose.</t>
        </is>
      </c>
      <c r="I163" s="3" t="inlineStr">
        <is>
          <t>Taiwan insert Flumarin 1g, 使用注意事項 三.3 and 體內藥物動力學 4 — https://mcp.fda.gov.tw/insert/pdfcasefile/f00601dd-69fd-4c6e-a282-74a0922a818d</t>
        </is>
      </c>
      <c r="J163" s="3" t="inlineStr">
        <is>
          <t>Open</t>
        </is>
      </c>
      <c r="K163" s="3" t="inlineStr"/>
    </row>
    <row r="164">
      <c r="A164" s="3" t="n">
        <v>940</v>
      </c>
      <c r="B164" s="3" t="inlineStr">
        <is>
          <t>Flusine (Flucytosine) (FLU07)</t>
        </is>
      </c>
      <c r="C164" s="7" t="inlineStr">
        <is>
          <t>High</t>
        </is>
      </c>
      <c r="D164" s="3" t="inlineStr">
        <is>
          <t>Adverse effects</t>
        </is>
      </c>
      <c r="E164" s="3" t="inlineStr">
        <is>
          <t>Missing boxed warning</t>
        </is>
      </c>
      <c r="F164" s="3" t="inlineStr">
        <is>
          <t>Add boxed warning (renal caution, monitoring), fatal marrow aplasia, hepatic necrosis, CNS/cardiac ADRs, level &gt;100 toxic</t>
        </is>
      </c>
      <c r="G164" s="3" t="inlineStr">
        <is>
          <t>Nausea or vomiting in high dose, diarrhea, elevated LFTs, skin rashes, bone marrow suppression</t>
        </is>
      </c>
      <c r="H164" s="3" t="inlineStr">
        <is>
          <t>The list leaves out the US boxed warning (extreme caution in renal impairment; close hematologic, renal and hepatic monitoring). It also leaves out hepatic necrosis (can be fatal), aplastic anemia, agranulocytosis and fatal bone-marrow aplasia, renal failure and crystalluria, CNS effects (confusion, hallucinations, convulsions), hearing loss, peripheral neuropathy, cardiac toxicity, hypoglycemia and hypokalemia, and Lyell's syndrome. It says nothing about serum-level monitoring (toxicity above 100 mcg/mL).</t>
        </is>
      </c>
      <c r="I164" s="3" t="inlineStr">
        <is>
          <t>US label boxed WARNING / ADVERSE REACTIONS / OVERDOSAGE https://dailymed.nlm.nih.gov/dailymed/drugInfo.cfm?setid=01d874f9-e073-4092-94ad-da361551d4bf</t>
        </is>
      </c>
      <c r="J164" s="3" t="inlineStr">
        <is>
          <t>Open</t>
        </is>
      </c>
      <c r="K164" s="3" t="inlineStr"/>
    </row>
    <row r="165">
      <c r="A165" s="3" t="n">
        <v>951</v>
      </c>
      <c r="B165" s="3" t="inlineStr">
        <is>
          <t>Flusine (Flucytosine) (FLU07)</t>
        </is>
      </c>
      <c r="C165" s="7" t="inlineStr">
        <is>
          <t>High</t>
        </is>
      </c>
      <c r="D165" s="3" t="inlineStr">
        <is>
          <t>Adverse effects</t>
        </is>
      </c>
      <c r="E165" s="3" t="inlineStr">
        <is>
          <t>Missing boxed warning</t>
        </is>
      </c>
      <c r="F165" s="3" t="inlineStr">
        <is>
          <t>Add boxed warning, fatal marrow toxicity, hepatic necrosis, DPD/5-FU toxicity, level monitoring &gt;100 mcg/mL</t>
        </is>
      </c>
      <c r="G165" s="3" t="inlineStr">
        <is>
          <t>Nausea or vomiting in high dose, diarrhea, elevated LFTs, skin rashes, bone marrow suppression</t>
        </is>
      </c>
      <c r="H165" s="3" t="inlineStr">
        <is>
          <t>Missing from the site: the US boxed warning (extreme caution in renal impairment; close haematologic, renal and hepatic monitoring); marrow toxicity that may be irreversible or fatal (aplastic anemia, agranulocytosis); hepatic necrosis with possible fatal outcome; DPD-related 5-FU toxicity; serum-level monitoring (&gt;100 mcg/mL toxic); and CNS, hearing, cardiac, hypokalemia and hypoglycemia ADRs.</t>
        </is>
      </c>
      <c r="I165" s="3" t="inlineStr">
        <is>
          <t>US label boxed WARNING, WARNINGS, ADVERSE REACTIONS, OVERDOSAGE</t>
        </is>
      </c>
      <c r="J165" s="3" t="inlineStr">
        <is>
          <t>Open</t>
        </is>
      </c>
      <c r="K165" s="3" t="inlineStr"/>
    </row>
    <row r="166">
      <c r="A166" s="3" t="n">
        <v>938</v>
      </c>
      <c r="B166" s="3" t="inlineStr">
        <is>
          <t>Flusine (Flucytosine) (FLU07)</t>
        </is>
      </c>
      <c r="C166" s="7" t="inlineStr">
        <is>
          <t>High</t>
        </is>
      </c>
      <c r="D166" s="3" t="inlineStr">
        <is>
          <t>Dosing – hepatic</t>
        </is>
      </c>
      <c r="E166" s="3" t="inlineStr"/>
      <c r="F166" s="3" t="inlineStr">
        <is>
          <t>Add TW: dose must be reduced in hepatic impairment; monitor LFTs, hepatic necrosis risk</t>
        </is>
      </c>
      <c r="G166" s="3" t="inlineStr">
        <is>
          <t>There are no dosage adjustments provided in the manufacturer's labeling; use with caution.</t>
        </is>
      </c>
      <c r="H166" s="3" t="inlineStr">
        <is>
          <t>The TW insert for the stocked product says 腎或肝功能不健全者，劑量必須降低 (the dose must be reduced in hepatic impairment). The US label requires frequent monitoring of liver function and reports hepatic necrosis with possible fatal outcome.</t>
        </is>
      </c>
      <c r="I166" s="3" t="inlineStr">
        <is>
          <t>TW 仿單 §5.1.1; US label WARNINGS / ADVERSE REACTIONS</t>
        </is>
      </c>
      <c r="J166" s="3" t="inlineStr">
        <is>
          <t>Open</t>
        </is>
      </c>
      <c r="K166" s="3" t="inlineStr"/>
    </row>
    <row r="167">
      <c r="A167" s="3" t="n">
        <v>949</v>
      </c>
      <c r="B167" s="3" t="inlineStr">
        <is>
          <t>Flusine (Flucytosine) (FLU07)</t>
        </is>
      </c>
      <c r="C167" s="7" t="inlineStr">
        <is>
          <t>High</t>
        </is>
      </c>
      <c r="D167" s="3" t="inlineStr">
        <is>
          <t>Dosing – hepatic</t>
        </is>
      </c>
      <c r="E167" s="3" t="inlineStr"/>
      <c r="F167" s="3" t="inlineStr">
        <is>
          <t>Replace US wording with TW: dose reduction required in hepatic impairment</t>
        </is>
      </c>
      <c r="G167" s="3" t="inlineStr">
        <is>
          <t>There are no dosage adjustments provided in the manufacturer's labeling; use with caution</t>
        </is>
      </c>
      <c r="H167" s="3" t="inlineStr">
        <is>
          <t>The TW insert for the stocked product says 腎或肝功能不健全者，劑量必須降低 (a dose reduction is required in hepatic impairment). The hospital wording is US-derived and contradicts the local label.</t>
        </is>
      </c>
      <c r="I167" s="3" t="inlineStr">
        <is>
          <t>TW 仿單 §5.1.1 https://mcp.fda.gov.tw/im_detail_1/%E8%A1%9B%E7%BD%B2%E8%97%A5%E8%A3%BD%E5%AD%97%E7%AC%AC048355%E8%99%9F</t>
        </is>
      </c>
      <c r="J167" s="3" t="inlineStr">
        <is>
          <t>Open</t>
        </is>
      </c>
      <c r="K167" s="3" t="inlineStr"/>
    </row>
    <row r="168">
      <c r="A168" s="3" t="n">
        <v>935</v>
      </c>
      <c r="B168" s="3" t="inlineStr">
        <is>
          <t>Flusine (Flucytosine) (FLU07)</t>
        </is>
      </c>
      <c r="C168" s="7" t="inlineStr">
        <is>
          <t>High</t>
        </is>
      </c>
      <c r="D168" s="3" t="inlineStr">
        <is>
          <t>Dosing – renal/dialysis</t>
        </is>
      </c>
      <c r="E168" s="3" t="inlineStr">
        <is>
          <t>Renal table outdated</t>
        </is>
      </c>
      <c r="F168" s="3" t="inlineStr">
        <is>
          <t>Complete truncated CrCl &lt;10 row: e.g. 25 mg/kg q24–48h with TDM, cite source</t>
        </is>
      </c>
      <c r="G168" s="3" t="inlineStr">
        <is>
          <t>'4. CrCl ' is cut off and blank; the CrCl &lt;10 (non-dialysis) row is missing.</t>
        </is>
      </c>
      <c r="H168" s="3" t="inlineStr">
        <is>
          <t>Neither label gives a CrCl &lt;10 dose. IDSA 2010 refers severe renal dysfunction and dialysis to specific schedules and serum-level monitoring. The literature table (Kunka 2015) gives 25 mg/kg q24–48h for CrCl &lt;10, guided by TDM.</t>
        </is>
      </c>
      <c r="I168" s="3" t="inlineStr">
        <is>
          <t>IDSA 2010 PMID 20047480 https://pmc.ncbi.nlm.nih.gov/articles/PMC5826644/; Kunka 2015 PMID 26246919</t>
        </is>
      </c>
      <c r="J168" s="3" t="inlineStr">
        <is>
          <t>Open</t>
        </is>
      </c>
      <c r="K168" s="3" t="inlineStr"/>
    </row>
    <row r="169">
      <c r="A169" s="3" t="n">
        <v>936</v>
      </c>
      <c r="B169" s="3" t="inlineStr">
        <is>
          <t>Flusine (Flucytosine) (FLU07)</t>
        </is>
      </c>
      <c r="C169" s="7" t="inlineStr">
        <is>
          <t>High</t>
        </is>
      </c>
      <c r="D169" s="3" t="inlineStr">
        <is>
          <t>Dosing – renal/dialysis</t>
        </is>
      </c>
      <c r="E169" s="3" t="inlineStr">
        <is>
          <t>Renal table outdated</t>
        </is>
      </c>
      <c r="F169" s="3" t="inlineStr">
        <is>
          <t>Cite IDSA source for renal rows; revise HD to 20–50 mg/kg post-HD guided by levels</t>
        </is>
      </c>
      <c r="G169" s="3" t="inlineStr">
        <is>
          <t>CrCl &gt;40 no change; 21–40: 25 mg/kg q12h; 10–20: 25 mg/kg q24h; IHD: 25–50 mg/kg q48–72h after HD</t>
        </is>
      </c>
      <c r="H169" s="3" t="inlineStr">
        <is>
          <t>Neither the US label nor the TW insert has a CrCl table. US: start at the lower dose, extreme caution, monitor serum levels. TW: reduce the dose (no numbers). The 21–40 and 10–20 rows match the IDSA 2010 percentages (50% and 25%) only if the standard dose is 100 mg/kg/day. They do not match the 150 mg/kg/day upper US dose or the 100–200 mg/kg/day TW dose. The HD row (q48–72h) does not appear in either label; the literature gives 20–50 mg/kg after each HD session. The table cites no source and makes no mention of TDM.</t>
        </is>
      </c>
      <c r="I169" s="3" t="inlineStr">
        <is>
          <t>US label WARNINGS / D&amp;A; TW 仿單 §5.1.1 https://mcp.fda.gov.tw/im_detail_1/%E8%A1%9B%E7%BD%B2%E8%97%A5%E8%A3%BD%E5%AD%97%E7%AC%AC048355%E8%99%9F; IDSA 2010 PMID 20047480; Kunka 2015 PMID 26246919</t>
        </is>
      </c>
      <c r="J169" s="3" t="inlineStr">
        <is>
          <t>Open</t>
        </is>
      </c>
      <c r="K169" s="3" t="inlineStr"/>
    </row>
    <row r="170">
      <c r="A170" s="3" t="n">
        <v>947</v>
      </c>
      <c r="B170" s="3" t="inlineStr">
        <is>
          <t>Flusine (Flucytosine) (FLU07)</t>
        </is>
      </c>
      <c r="C170" s="7" t="inlineStr">
        <is>
          <t>High</t>
        </is>
      </c>
      <c r="D170" s="3" t="inlineStr">
        <is>
          <t>Dosing – renal/dialysis</t>
        </is>
      </c>
      <c r="E170" s="3" t="inlineStr">
        <is>
          <t>Renal table outdated</t>
        </is>
      </c>
      <c r="F170" s="3" t="inlineStr">
        <is>
          <t>Cite IDSA for renal rows; fill CrCl &lt;10 row with level-guided dosing</t>
        </is>
      </c>
      <c r="G170" s="3" t="inlineStr">
        <is>
          <t>CrCl &gt;40 no change; 21–40: 25 mg/kg q12h; 10–20: 25 mg/kg q24h; item 4 'CrCl' is truncated and blank</t>
        </is>
      </c>
      <c r="H170" s="3" t="inlineStr">
        <is>
          <t>Neither the US label nor the TW insert has a CrCl table (TW: 'reduce'; US: 'lower initial dose and monitor levels'). This corrects brief item 2: the 21–40 and 10–20 rows do match IDSA 2010 (50% and 25% of standard dose), so they are guideline-consistent but unsourced on the site. The CrCl &lt;10 row is empty; IDSA gives no value and dosing should be level-guided.</t>
        </is>
      </c>
      <c r="I170" s="3" t="inlineStr">
        <is>
          <t>PMID 20047480 https://pubmed.ncbi.nlm.nih.gov/20047480/; US label DOSAGE AND ADMINISTRATION</t>
        </is>
      </c>
      <c r="J170" s="3" t="inlineStr">
        <is>
          <t>Open</t>
        </is>
      </c>
      <c r="K170" s="3" t="inlineStr"/>
    </row>
    <row r="171">
      <c r="A171" s="3" t="n">
        <v>948</v>
      </c>
      <c r="B171" s="3" t="inlineStr">
        <is>
          <t>Flusine (Flucytosine) (FLU07)</t>
        </is>
      </c>
      <c r="C171" s="7" t="inlineStr">
        <is>
          <t>High</t>
        </is>
      </c>
      <c r="D171" s="3" t="inlineStr">
        <is>
          <t>Dosing – renal/dialysis</t>
        </is>
      </c>
      <c r="E171" s="3" t="inlineStr">
        <is>
          <t>Renal table outdated</t>
        </is>
      </c>
      <c r="F171" s="3" t="inlineStr">
        <is>
          <t>Revise HD dose to ~20 mg/kg after each HD, TDM-guided; drop unsupported 50 mg/kg q48–72h</t>
        </is>
      </c>
      <c r="G171" s="3" t="inlineStr">
        <is>
          <t>ESRD on intermittent HD: 25 to 50 mg/kg/dose every 48 to 72 hours; administer after hemodialysis</t>
        </is>
      </c>
      <c r="H171" s="3" t="inlineStr">
        <is>
          <t>This is not in either label or in IDSA. The US label says only that HD rapidly lowers levels. A TDM case report supported 21 mg/kg after each iHD, or 17 mg/kg daily with thrice-weekly iHD. The upper end of 50 mg/kg is unsupported, and levels should guide dosing.</t>
        </is>
      </c>
      <c r="I171" s="3" t="inlineStr">
        <is>
          <t>PMID 33527677 https://pubmed.ncbi.nlm.nih.gov/33527677/; US label OVERDOSAGE</t>
        </is>
      </c>
      <c r="J171" s="3" t="inlineStr">
        <is>
          <t>Open</t>
        </is>
      </c>
      <c r="K171" s="3" t="inlineStr"/>
    </row>
    <row r="172">
      <c r="A172" s="3" t="n">
        <v>939</v>
      </c>
      <c r="B172" s="3" t="inlineStr">
        <is>
          <t>Flusine (Flucytosine) (FLU07)</t>
        </is>
      </c>
      <c r="C172" s="7" t="inlineStr">
        <is>
          <t>High</t>
        </is>
      </c>
      <c r="D172" s="3" t="inlineStr">
        <is>
          <t>Drug interaction</t>
        </is>
      </c>
      <c r="E172" s="3" t="inlineStr">
        <is>
          <t>Interaction list incomplete</t>
        </is>
      </c>
      <c r="F172" s="3" t="inlineStr">
        <is>
          <t>Add brivudine/sorivudine contraindication (4-wk washout), cytarabine, GFR-reducing and myelosuppressive drugs</t>
        </is>
      </c>
      <c r="G172" s="3" t="inlineStr">
        <is>
          <t>No drug interactions listed</t>
        </is>
      </c>
      <c r="H172" s="3" t="inlineStr">
        <is>
          <t>TW: brivudine and sorivudine must not be co-administered; wait at least 4 weeks after stopping them before starting flucytosine, and wait 24 h after the last flucytosine dose before starting them. US: cytarabine inactivates flucytosine. Drugs that impair glomerular filtration prolong its half-life. Bone-marrow-depressing drugs or radiation raise marrow toxicity.</t>
        </is>
      </c>
      <c r="I172" s="3" t="inlineStr">
        <is>
          <t>TW 仿單 §7.1; US label Drug Interactions / WARNINGS</t>
        </is>
      </c>
      <c r="J172" s="3" t="inlineStr">
        <is>
          <t>Open</t>
        </is>
      </c>
      <c r="K172" s="3" t="inlineStr"/>
    </row>
    <row r="173">
      <c r="A173" s="3" t="n">
        <v>950</v>
      </c>
      <c r="B173" s="3" t="inlineStr">
        <is>
          <t>Flusine (Flucytosine) (FLU07)</t>
        </is>
      </c>
      <c r="C173" s="7" t="inlineStr">
        <is>
          <t>High</t>
        </is>
      </c>
      <c r="D173" s="3" t="inlineStr">
        <is>
          <t>Drug interaction</t>
        </is>
      </c>
      <c r="E173" s="3" t="inlineStr">
        <is>
          <t>Interaction list incomplete</t>
        </is>
      </c>
      <c r="F173" s="3" t="inlineStr">
        <is>
          <t>Add brivudine/sorivudine contraindication with ≥4-week washout, cytarabine, GFR-impairing drugs</t>
        </is>
      </c>
      <c r="G173" s="3" t="inlineStr">
        <is>
          <t>No interactions shown</t>
        </is>
      </c>
      <c r="H173" s="3" t="inlineStr">
        <is>
          <t>Missing: brivudine/sorivudine, contraindicated with a ≥4-week washout (TW insert §7.1). Also missing: cytarabine inactivates 5-FC, and drugs that impair GFR prolong t½ (US label).</t>
        </is>
      </c>
      <c r="I173" s="3" t="inlineStr">
        <is>
          <t>TW 仿單 §7.1; US label Drug Interactions</t>
        </is>
      </c>
      <c r="J173" s="3" t="inlineStr">
        <is>
          <t>Open</t>
        </is>
      </c>
      <c r="K173" s="3" t="inlineStr"/>
    </row>
    <row r="174">
      <c r="A174" s="3" t="n">
        <v>906</v>
      </c>
      <c r="B174" s="3" t="inlineStr">
        <is>
          <t>Fungizone (Amphotericin B deoxycholate) (FUN01)</t>
        </is>
      </c>
      <c r="C174" s="7" t="inlineStr">
        <is>
          <t>High</t>
        </is>
      </c>
      <c r="D174" s="3" t="inlineStr">
        <is>
          <t>Dosing – adult</t>
        </is>
      </c>
      <c r="E174" s="3" t="inlineStr">
        <is>
          <t>Missing boxed warning</t>
        </is>
      </c>
      <c r="F174" s="3" t="inlineStr">
        <is>
          <t>Add max 1.5 mg/kg/day boxed caution, verify product, test dose, D5W-only 2–6 h infusion, not interchangeable with lipid AmB</t>
        </is>
      </c>
      <c r="G174" s="3" t="inlineStr">
        <is>
          <t>Disease-based doses only (e.g. aspergillosis 0.6–0.7 mg/kg/day ×3–6 mo; cryptococcal 0.7–1 mg/kg/day ×2 wk). No test dose, titration, maximum, infusion or diluent instructions.</t>
        </is>
      </c>
      <c r="H174" s="3" t="inlineStr">
        <is>
          <t>The labels' boxed caution says to verify the product name and dose; never exceed 1.5 mg/kg/day (fatal cardiac/cardiopulmonary arrest); the products are not interchangeable with liposomal/lipid AmB (UK 4.2); test dose 1 mg; infuse over 2–6 h in D5W only, never saline. The disease doses are guideline-derived, not label. IDSA 2016 now reserves AmB-d for aspergillosis to resource-limited settings with no alternative.</t>
        </is>
      </c>
      <c r="I174" s="3" t="inlineStr">
        <is>
          <t>US boxed WARNING &amp; D&amp;A https://dailymed.nlm.nih.gov/dailymed/drugInfo.cfm?setid=a0a54943-9ce4-4f3e-b681-a1a9144c16ce ; UK SmPC 4.2 ; IDSA aspergillosis 2016 https://www.idsociety.org/practice-guideline/aspergillosis/</t>
        </is>
      </c>
      <c r="J174" s="3" t="inlineStr">
        <is>
          <t>Open</t>
        </is>
      </c>
      <c r="K174" s="3" t="inlineStr"/>
    </row>
    <row r="175">
      <c r="A175" s="3" t="n">
        <v>914</v>
      </c>
      <c r="B175" s="3" t="inlineStr">
        <is>
          <t>Fungizone (Amphotericin B deoxycholate) (FUN01)</t>
        </is>
      </c>
      <c r="C175" s="7" t="inlineStr">
        <is>
          <t>High</t>
        </is>
      </c>
      <c r="D175" s="3" t="inlineStr">
        <is>
          <t>Dosing – adult</t>
        </is>
      </c>
      <c r="E175" s="3" t="inlineStr">
        <is>
          <t>Missing boxed warning</t>
        </is>
      </c>
      <c r="F175" s="3" t="inlineStr">
        <is>
          <t>Add boxed max 1.5 mg/kg/day, test dose/titration, 0.1 mg/mL D5W over 2–6 h, no saline, not interchangeable with liposomal</t>
        </is>
      </c>
      <c r="G175" s="3" t="inlineStr">
        <is>
          <t>Disease-specific guideline doses only (e.g. aspergillosis 0.6–0.7 mg/kg/day × 3–6 months). There is no test dose or titration scheme, no 1.5 mg/kg/day maximum, no infusion time or concentration, no D5W-only instruction, and no warning against confusing this product with liposomal AmB.</t>
        </is>
      </c>
      <c r="H175" s="3" t="inlineStr">
        <is>
          <t>All three labels carry a boxed or prominent warning: never exceed 1.5 mg/kg/day (fatal cardiac/cardiopulmonary arrest) and verify the product name and dose. They give the test dose and 0.25 mg/kg start with titration, a 2–6 h infusion at 0.1 mg/mL in D5W, and no saline. UK SmPC 4.2 says amphotericin products are not interchangeable. IDSA 2016 now advises against AmB-d for invasive aspergillosis outside resource-limited settings.</t>
        </is>
      </c>
      <c r="I175" s="3" t="inlineStr">
        <is>
          <t>US label BOXED WARNING/DOSAGE https://dailymed.nlm.nih.gov/dailymed/drugInfo.cfm?setid=a0a54943-9ce4-4f3e-b681-a1a9144c16ce; UK SmPC 4.2 https://www.medicines.org.uk/emc/product/10716/smpc; IDSA aspergillosis 2016 (PMID 27365388) https://www.idsociety.org/practice-guideline/aspergillosis/</t>
        </is>
      </c>
      <c r="J175" s="3" t="inlineStr">
        <is>
          <t>Open</t>
        </is>
      </c>
      <c r="K175" s="3" t="inlineStr"/>
    </row>
    <row r="176">
      <c r="A176" s="3" t="n">
        <v>905</v>
      </c>
      <c r="B176" s="3" t="inlineStr">
        <is>
          <t>Fungizone (Amphotericin B deoxycholate) (FUN01)</t>
        </is>
      </c>
      <c r="C176" s="7" t="inlineStr">
        <is>
          <t>High</t>
        </is>
      </c>
      <c r="D176" s="3" t="inlineStr">
        <is>
          <t>Dosing – renal/dialysis</t>
        </is>
      </c>
      <c r="E176" s="3" t="inlineStr"/>
      <c r="F176" s="3" t="inlineStr">
        <is>
          <t>Fill renal/hepatic/pediatric: start 5–10 mg/day in renal impairment, stop/reduce if SCr &gt;260; stop if LFTs abnormal</t>
        </is>
      </c>
      <c r="G176" s="3" t="inlineStr">
        <is>
          <t>(all empty)</t>
        </is>
      </c>
      <c r="H176" s="3" t="inlineStr">
        <is>
          <t>Renal: use with care, start 5–10 mg/day in cardio-renal impairment and titrate, monitor renal function frequently; UK: stop or markedly reduce if SCr &gt;260 µmol/L; not removed by haemodialysis. Hepatic: UK: stop if LFTs are abnormal. Paediatric: use the smallest effective dose (US); IDSA neonatal dose 1 mg/kg/day.</t>
        </is>
      </c>
      <c r="I176" s="3" t="inlineStr">
        <is>
          <t>US label PRECAUTIONS/D&amp;A; UK SmPC 4.4 https://www.medicines.org.uk/emc/product/10716/smpc ; TW 仿單 3, 5.3, 9.2.3</t>
        </is>
      </c>
      <c r="J176" s="3" t="inlineStr">
        <is>
          <t>Open</t>
        </is>
      </c>
      <c r="K176" s="3" t="inlineStr"/>
    </row>
    <row r="177">
      <c r="A177" s="3" t="n">
        <v>915</v>
      </c>
      <c r="B177" s="3" t="inlineStr">
        <is>
          <t>Fungizone (Amphotericin B deoxycholate) (FUN01)</t>
        </is>
      </c>
      <c r="C177" s="7" t="inlineStr">
        <is>
          <t>High</t>
        </is>
      </c>
      <c r="D177" s="3" t="inlineStr">
        <is>
          <t>Dosing – renal/dialysis</t>
        </is>
      </c>
      <c r="E177" s="3" t="inlineStr"/>
      <c r="F177" s="3" t="inlineStr">
        <is>
          <t>Fill renal (5–10 mg/day start; stop/reduce if SCr &gt;260), hepatic (stop if LFTs abnormal), pediatric doses</t>
        </is>
      </c>
      <c r="G177" s="3" t="inlineStr">
        <is>
          <t>(empty)</t>
        </is>
      </c>
      <c r="H177" s="3" t="inlineStr">
        <is>
          <t>Renal: start 5–10 mg/day if cardio-renal function is impaired. UK: stop or markedly reduce the dose if SCr &gt;260 µmol/L. Not haemodialysable. Avoid infusions under 1 h in renal insufficiency. Hepatic: UK SmPC says stop if LFTs become abnormal; the Taiwan insert says PK is not affected by liver or kidney disease. Paediatric: use the smallest effective dose (label); IDSA gives 1 mg/kg/day for neonates.</t>
        </is>
      </c>
      <c r="I177" s="3" t="inlineStr">
        <is>
          <t>UK SmPC 4.4 https://www.medicines.org.uk/emc/product/10716/smpc; Taiwan insert 9.2.3 https://mcp.fda.gov.tw/insert/pdfcasefile/i_fc98beb7-e474-4ca5-a89f-8df7b30688a5; US label DOSAGE https://dailymed.nlm.nih.gov/dailymed/drugInfo.cfm?setid=a0a54943-9ce4-4f3e-b681-a1a9144c16ce</t>
        </is>
      </c>
      <c r="J177" s="3" t="inlineStr">
        <is>
          <t>Open</t>
        </is>
      </c>
      <c r="K177" s="3" t="inlineStr"/>
    </row>
    <row r="178">
      <c r="A178" s="3" t="n">
        <v>1029</v>
      </c>
      <c r="B178" s="3" t="inlineStr">
        <is>
          <t>Ganciclovir (GAN03)</t>
        </is>
      </c>
      <c r="C178" s="7" t="inlineStr">
        <is>
          <t>High</t>
        </is>
      </c>
      <c r="D178" s="3" t="inlineStr">
        <is>
          <t>Dosing – adult</t>
        </is>
      </c>
      <c r="E178" s="3" t="inlineStr"/>
      <c r="F178" s="3" t="inlineStr">
        <is>
          <t>Fix garbled day −8 to −2 text, mark off-label; add FDA regimen 5 mg/kg q12h ×7–14 d then q24h</t>
        </is>
      </c>
      <c r="G178" s="3" t="inlineStr">
        <is>
          <t>'5 mg/kg every 24 hours from day 8 to day 2 followed by high dose valacyclovir post-transplant' (garbled, likely lost minus signs: day −8 to day −2)</t>
        </is>
      </c>
      <c r="H178" s="3" t="inlineStr">
        <is>
          <t>No label gives a pre-transplant day −8 to −2 regimen. FDA prevention is 5 mg/kg q12h × 7–14 d, then q24h until day 100–120 post-transplant.</t>
        </is>
      </c>
      <c r="I178" s="3" t="inlineStr">
        <is>
          <t>US FDA §2.4</t>
        </is>
      </c>
      <c r="J178" s="3" t="inlineStr">
        <is>
          <t>Open</t>
        </is>
      </c>
      <c r="K178" s="3" t="inlineStr"/>
    </row>
    <row r="179">
      <c r="A179" s="3" t="n">
        <v>1040</v>
      </c>
      <c r="B179" s="3" t="inlineStr">
        <is>
          <t>Ganciclovir (GAN03)</t>
        </is>
      </c>
      <c r="C179" s="7" t="inlineStr">
        <is>
          <t>High</t>
        </is>
      </c>
      <c r="D179" s="3" t="inlineStr">
        <is>
          <t>Dosing – adult</t>
        </is>
      </c>
      <c r="E179" s="3" t="inlineStr"/>
      <c r="F179" s="3" t="inlineStr">
        <is>
          <t>Correct garbled day −8/−2 HSCT text, mark off-label; add FDA transplant-prevention regimen</t>
        </is>
      </c>
      <c r="G179" s="3" t="inlineStr">
        <is>
          <t>'5 mg/kg every 24 hours from day  8 to day  2 followed by high dose valacyclovir post-transplant'</t>
        </is>
      </c>
      <c r="H179" s="3" t="inlineStr">
        <is>
          <t>The text is garbled; it looks like the minus signs for day −8 to day −2 pre-transplant were lost. It describes off-label guideline use that is not in any label. The FDA transplant-prevention regimen is 5 mg/kg q12h × 7–14 d, then 5 mg/kg/day (7 d/wk) or 6 mg/kg (5 d/wk) to day 100–120.</t>
        </is>
      </c>
      <c r="I179" s="3" t="inlineStr">
        <is>
          <t>US FDA label §2.4 https://dailymed.nlm.nih.gov/dailymed/drugInfo.cfm?setid=87afd103-6e64-444f-971d-0e732e9ae995</t>
        </is>
      </c>
      <c r="J179" s="3" t="inlineStr">
        <is>
          <t>Open</t>
        </is>
      </c>
      <c r="K179" s="3" t="inlineStr"/>
    </row>
    <row r="180">
      <c r="A180" s="3" t="n">
        <v>1028</v>
      </c>
      <c r="B180" s="3" t="inlineStr">
        <is>
          <t>Ganciclovir (GAN03)</t>
        </is>
      </c>
      <c r="C180" s="7" t="inlineStr">
        <is>
          <t>High</t>
        </is>
      </c>
      <c r="D180" s="3" t="inlineStr">
        <is>
          <t>Dosing – renal/dialysis</t>
        </is>
      </c>
      <c r="E180" s="3" t="inlineStr">
        <is>
          <t>Renal table outdated</t>
        </is>
      </c>
      <c r="F180" s="3" t="inlineStr">
        <is>
          <t>Fix renal bands ≥70, 50–69, 25–49, 10–24, &lt;10; dose after each HD session 3×/week</t>
        </is>
      </c>
      <c r="G180" s="3" t="inlineStr">
        <is>
          <t>CrCl rows shown as '&gt;70', '50 to', '25 to', '10 to' (upper bounds missing), and the last row has no CrCl label. It gives '3 times weekly (every 48 to 72 hours)'.</t>
        </is>
      </c>
      <c r="H180" s="3" t="inlineStr">
        <is>
          <t>Cutoffs are ≥70, 50–69, 25–49, 10–24 and &lt;10 mL/min. For &lt;10 / HD the dose is given 3 times a week shortly after each haemodialysis session (HD lowers levels ~50%).</t>
        </is>
      </c>
      <c r="I180" s="3" t="inlineStr">
        <is>
          <t>US FDA §2.5 Table 1; Taiwan 仿單 §3.3 表1</t>
        </is>
      </c>
      <c r="J180" s="3" t="inlineStr">
        <is>
          <t>Open</t>
        </is>
      </c>
      <c r="K180" s="3" t="inlineStr"/>
    </row>
    <row r="181">
      <c r="A181" s="3" t="n">
        <v>1039</v>
      </c>
      <c r="B181" s="3" t="inlineStr">
        <is>
          <t>Ganciclovir (GAN03)</t>
        </is>
      </c>
      <c r="C181" s="7" t="inlineStr">
        <is>
          <t>High</t>
        </is>
      </c>
      <c r="D181" s="3" t="inlineStr">
        <is>
          <t>Dosing – renal/dialysis</t>
        </is>
      </c>
      <c r="E181" s="3" t="inlineStr">
        <is>
          <t>Renal table outdated</t>
        </is>
      </c>
      <c r="F181" s="3" t="inlineStr">
        <is>
          <t>Fix renal bands (≥70, 50–69, 25–49, 10–24, &lt;10); &lt;10: 1.25/0.625 mg/kg 3×/wk after HD</t>
        </is>
      </c>
      <c r="G181" s="3" t="inlineStr">
        <is>
          <t>Rows read '&gt;70', '50 to', '25 to', '10 to' with the upper bounds missing. The last row has no CrCl label and says '3 times weekly (every 48 to 72 hours)'.</t>
        </is>
      </c>
      <c r="H181" s="3" t="inlineStr">
        <is>
          <t>The rows should read ≥70, 50–69, 25–49, 10–24 and &lt;10 mL/min. For &lt;10, the dose is 1.25 / 0.625 mg/kg 3×/week given after haemodialysis; the FDA adds that HD doses must not exceed these values.</t>
        </is>
      </c>
      <c r="I181" s="3" t="inlineStr">
        <is>
          <t>TW 仿單 3.3 表1; US FDA label §2.5 Table 1 https://dailymed.nlm.nih.gov/dailymed/drugInfo.cfm?setid=87afd103-6e64-444f-971d-0e732e9ae995</t>
        </is>
      </c>
      <c r="J181" s="3" t="inlineStr">
        <is>
          <t>Open</t>
        </is>
      </c>
      <c r="K181" s="3" t="inlineStr"/>
    </row>
    <row r="182">
      <c r="A182" s="3" t="n">
        <v>645</v>
      </c>
      <c r="B182" s="3" t="inlineStr">
        <is>
          <t>Gentamicin (GEN04)</t>
        </is>
      </c>
      <c r="C182" s="7" t="inlineStr">
        <is>
          <t>High</t>
        </is>
      </c>
      <c r="D182" s="3" t="inlineStr">
        <is>
          <t>Contraindication/warning</t>
        </is>
      </c>
      <c r="E182" s="3" t="inlineStr"/>
      <c r="F182" s="3" t="inlineStr">
        <is>
          <t>Add myasthenia gravis contraindication (UK) / neuromuscular disorder warning</t>
        </is>
      </c>
      <c r="G182" s="3" t="inlineStr">
        <is>
          <t>Hypersensitivity to gentamicin or other aminoglycosides only</t>
        </is>
      </c>
      <c r="H182" s="3" t="inlineStr">
        <is>
          <t>UK SmPC 4.3 also contraindicates myasthenia gravis; the US and TW labels warn about use in neuromuscular disorders (myasthenia gravis, parkinsonism)</t>
        </is>
      </c>
      <c r="I182" s="3" t="inlineStr">
        <is>
          <t>https://www.medicines.org.uk/emc/product/14742/smpc (4.3); https://dailymed.nlm.nih.gov/dailymed/drugInfo.cfm?setid=977180b3-a222-4282-d485-4a3217674305 (PRECAUTIONS)</t>
        </is>
      </c>
      <c r="J182" s="3" t="inlineStr">
        <is>
          <t>Open</t>
        </is>
      </c>
      <c r="K182" s="3" t="inlineStr"/>
    </row>
    <row r="183">
      <c r="A183" s="3" t="n">
        <v>654</v>
      </c>
      <c r="B183" s="3" t="inlineStr">
        <is>
          <t>Gentamicin (GEN04)</t>
        </is>
      </c>
      <c r="C183" s="7" t="inlineStr">
        <is>
          <t>High</t>
        </is>
      </c>
      <c r="D183" s="3" t="inlineStr">
        <is>
          <t>Contraindication/warning</t>
        </is>
      </c>
      <c r="E183" s="3" t="inlineStr"/>
      <c r="F183" s="3" t="inlineStr">
        <is>
          <t>Add sulfite warning, MT-RNR1 m.1555A&gt;G ototoxicity warning, myasthenia gravis contraindication</t>
        </is>
      </c>
      <c r="G183" s="3" t="inlineStr">
        <is>
          <t>Hypersensitivity to gentamicin or other aminoglycosides only; no sulfite or mitochondrial-variant warning; 注意事項 empty</t>
        </is>
      </c>
      <c r="H183" s="3" t="inlineStr">
        <is>
          <t>The stocked product contains sodium bisulfite: TW 5.1.16 warns of sulfite allergic/asthmatic reactions. TW 5.1.17, US and UK warn about the m.1555A&gt;G (MT-RNR1) ototoxicity risk. UK SmPC 4.3 also contraindicates use in myasthenia gravis.</t>
        </is>
      </c>
      <c r="I183" s="3" t="inlineStr">
        <is>
          <t>TW insert 1.2, 5.1.16, 5.1.17 – https://mcp.fda.gov.tw/im_detail_1/%E8%A1%9B%E7%BD%B2%E8%97%A5%E8%A3%BD%E5%AD%97%E7%AC%AC008956%E8%99%9F; UK SmPC 4.3 – https://www.medicines.org.uk/emc/product/14742/smpc</t>
        </is>
      </c>
      <c r="J183" s="3" t="inlineStr">
        <is>
          <t>Open</t>
        </is>
      </c>
      <c r="K183" s="3" t="inlineStr"/>
    </row>
    <row r="184">
      <c r="A184" s="3" t="n">
        <v>640</v>
      </c>
      <c r="B184" s="3" t="inlineStr">
        <is>
          <t>Gentamicin (GEN04)</t>
        </is>
      </c>
      <c r="C184" s="7" t="inlineStr">
        <is>
          <t>High</t>
        </is>
      </c>
      <c r="D184" s="3" t="inlineStr">
        <is>
          <t>Dosing – pediatric</t>
        </is>
      </c>
      <c r="E184" s="3" t="inlineStr"/>
      <c r="F184" s="3" t="inlineStr">
        <is>
          <t>Add neonates ≤1 week: 2.5 mg/kg q12h (5 mg/kg/day); remove '1 year' cutoff</t>
        </is>
      </c>
      <c r="G184" s="3" t="inlineStr">
        <is>
          <t>'Infants and neonates, 1 year or younger: 7.5 mg/kg/day ... every 8 hours (FDA)'; 'Children, 1 year or older: 6 to 7.5 mg/kg/day'</t>
        </is>
      </c>
      <c r="H184" s="3" t="inlineStr">
        <is>
          <t>US label: premature or full-term neonates ≤1 week old get 5 mg/kg/day (2.5 mg/kg q12h). 7.5 mg/kg/day q8h applies only to older infants/neonates. The label uses no '1 year' age cutoff. Leaving out the ≤1-week regimen risks overdosing newborns.</t>
        </is>
      </c>
      <c r="I184" s="3" t="inlineStr">
        <is>
          <t>https://dailymed.nlm.nih.gov/dailymed/drugInfo.cfm?setid=977180b3-a222-4282-d485-4a3217674305 (DOSAGE AND ADMINISTRATION)</t>
        </is>
      </c>
      <c r="J184" s="3" t="inlineStr">
        <is>
          <t>Open</t>
        </is>
      </c>
      <c r="K184" s="3" t="inlineStr"/>
    </row>
    <row r="185">
      <c r="A185" s="3" t="n">
        <v>649</v>
      </c>
      <c r="B185" s="3" t="inlineStr">
        <is>
          <t>Gentamicin (GEN04)</t>
        </is>
      </c>
      <c r="C185" s="7" t="inlineStr">
        <is>
          <t>High</t>
        </is>
      </c>
      <c r="D185" s="3" t="inlineStr">
        <is>
          <t>Dosing – pediatric</t>
        </is>
      </c>
      <c r="E185" s="3" t="inlineStr"/>
      <c r="F185" s="3" t="inlineStr">
        <is>
          <t>Add neonates ≤7 days: 2.5 mg/kg q12h; add TW insert dosing</t>
        </is>
      </c>
      <c r="G185" s="3" t="inlineStr">
        <is>
          <t>Infants and neonates, 1 year or younger: 7.5 mg/kg/day IV/IM in equally divided doses every 8 hours (FDA)</t>
        </is>
      </c>
      <c r="H185" s="3" t="inlineStr">
        <is>
          <t>The same US label also says: 'Premature or Full-Term Neonates One Week of Age or Less: 5 mg/kg/day (2.5 mg/kg administered every 12 hours)'. Leaving this out risks q8h overdosing in neonates ≤7 days. The stocked product's TW insert gives 0.4–0.8 mg/kg/dose 2–3×/day, which the site does not mention.</t>
        </is>
      </c>
      <c r="I185" s="3" t="inlineStr">
        <is>
          <t>US FDA label D&amp;A – https://dailymed.nlm.nih.gov/dailymed/drugInfo.cfm?setid=977180b3-a222-4282-d485-4a3217674305; TW insert 3.1.1 – https://mcp.fda.gov.tw/im_detail_1/%E8%A1%9B%E7%BD%B2%E8%97%A5%E8%A3%BD%E5%AD%97%E7%AC%AC008956%E8%99%9F</t>
        </is>
      </c>
      <c r="J185" s="3" t="inlineStr">
        <is>
          <t>Open</t>
        </is>
      </c>
      <c r="K185" s="3" t="inlineStr"/>
    </row>
    <row r="186">
      <c r="A186" s="3" t="n">
        <v>650</v>
      </c>
      <c r="B186" s="3" t="inlineStr">
        <is>
          <t>Gentamicin (GEN04)</t>
        </is>
      </c>
      <c r="C186" s="7" t="inlineStr">
        <is>
          <t>High</t>
        </is>
      </c>
      <c r="D186" s="3" t="inlineStr">
        <is>
          <t>Dosing – renal/dialysis</t>
        </is>
      </c>
      <c r="E186" s="3" t="inlineStr">
        <is>
          <t>Renal table outdated</t>
        </is>
      </c>
      <c r="F186" s="3" t="inlineStr">
        <is>
          <t>Add label HD dose 1-1.7 mg/kg post-HD; fix '&lt;' HTML truncation hiding lowest tiers</t>
        </is>
      </c>
      <c r="G186" s="3" t="inlineStr">
        <is>
          <t>Loading dose 2–3 mg/kg, then 1–2 mg/kg every 48–72 h after HD by indication (drug-reference values)</t>
        </is>
      </c>
      <c r="H186" s="3" t="inlineStr">
        <is>
          <t>US label: 1–1.7 mg/kg at the end of each dialysis period depending on severity (children 2 mg/kg). UK SmPC: 80 mg (60 mg if &lt;60 kg) after dialysis when CrCl &lt;5. The label values are not shown. The renal text on the site is also cut off at 'GFR &lt;' and 'CrCl &lt;' (the '&lt;' breaks the HTML), so the lowest tiers do not display.</t>
        </is>
      </c>
      <c r="I186" s="3" t="inlineStr">
        <is>
          <t>US FDA label D&amp;A – https://dailymed.nlm.nih.gov/dailymed/drugInfo.cfm?setid=977180b3-a222-4282-d485-4a3217674305; UK SmPC 4.2 – https://www.medicines.org.uk/emc/product/14742/smpc</t>
        </is>
      </c>
      <c r="J186" s="3" t="inlineStr">
        <is>
          <t>Open</t>
        </is>
      </c>
      <c r="K186" s="3" t="inlineStr"/>
    </row>
    <row r="187">
      <c r="A187" s="3" t="n">
        <v>900</v>
      </c>
      <c r="B187" s="3" t="inlineStr">
        <is>
          <t>Icomein (Itraconazole) (ICO01)</t>
        </is>
      </c>
      <c r="C187" s="7" t="inlineStr">
        <is>
          <t>High</t>
        </is>
      </c>
      <c r="D187" s="3" t="inlineStr">
        <is>
          <t>Adverse effects</t>
        </is>
      </c>
      <c r="E187" s="3" t="inlineStr">
        <is>
          <t>Missing boxed warning</t>
        </is>
      </c>
      <c r="F187" s="3" t="inlineStr">
        <is>
          <t>Add CHF boxed warning, fatal hepatotoxicity, neuropathy, hearing loss, pseudoaldosteronism, SJS/TEN</t>
        </is>
      </c>
      <c r="G187" s="3" t="inlineStr">
        <is>
          <t>GI, edema, headache, rash, abnormal LFTs, rhinitis/URTI/sinusitis, fever</t>
        </is>
      </c>
      <c r="H187" s="3" t="inlineStr">
        <is>
          <t>Leaves out label-level serious warnings: CHF (FDA boxed warning), serious or fatal hepatotoxicity, peripheral neuropathy, transient or permanent hearing loss, pseudoaldosteronism/hypokalemia, SJS/TEN.</t>
        </is>
      </c>
      <c r="I187" s="3" t="inlineStr">
        <is>
          <t>FDA BOXED WARNING/WARNINGS/PRECAUTIONS; TW §5.1, §8</t>
        </is>
      </c>
      <c r="J187" s="3" t="inlineStr">
        <is>
          <t>Open</t>
        </is>
      </c>
      <c r="K187" s="3" t="inlineStr"/>
    </row>
    <row r="188">
      <c r="A188" s="3" t="n">
        <v>885</v>
      </c>
      <c r="B188" s="3" t="inlineStr">
        <is>
          <t>Icomein (Itraconazole) (ICO01)</t>
        </is>
      </c>
      <c r="C188" s="7" t="inlineStr">
        <is>
          <t>High</t>
        </is>
      </c>
      <c r="D188" s="3" t="inlineStr">
        <is>
          <t>Dosing – hepatic</t>
        </is>
      </c>
      <c r="E188" s="3" t="inlineStr"/>
      <c r="F188" s="3" t="inlineStr">
        <is>
          <t>Add hepatotoxicity caution: avoid with raised LFTs/liver disease unless life-threatening; monitor LFTs, levels in cirrhosis</t>
        </is>
      </c>
      <c r="G188" s="3" t="inlineStr">
        <is>
          <t>Dose adjustment is not required</t>
        </is>
      </c>
      <c r="H188" s="3" t="inlineStr">
        <is>
          <t>Both labels: use with caution and monitor LFTs. Use is strongly discouraged with raised LFTs, active liver disease or previous drug hepatotoxicity unless the infection is serious or life-threatening. Cirrhosis doubles the half-life. Taiwan: monitor levels and adjust the dose if needed.</t>
        </is>
      </c>
      <c r="I188" s="3" t="inlineStr">
        <is>
          <t>US label Hepatic Impairment/WARNINGS Hepatic Effects; Taiwan insert §5.1.8, §6.6 (hospital wording per source brief)</t>
        </is>
      </c>
      <c r="J188" s="3" t="inlineStr">
        <is>
          <t>Open</t>
        </is>
      </c>
      <c r="K188" s="3" t="inlineStr"/>
    </row>
    <row r="189">
      <c r="A189" s="3" t="n">
        <v>892</v>
      </c>
      <c r="B189" s="3" t="inlineStr">
        <is>
          <t>Icomein (Itraconazole) (ICO01)</t>
        </is>
      </c>
      <c r="C189" s="7" t="inlineStr">
        <is>
          <t>High</t>
        </is>
      </c>
      <c r="D189" s="3" t="inlineStr">
        <is>
          <t>Dosing – hepatic</t>
        </is>
      </c>
      <c r="E189" s="3" t="inlineStr"/>
      <c r="F189" s="3" t="inlineStr">
        <is>
          <t>Add hepatic caution: discourage use with raised LFTs/active liver disease; monitor; fatal hepatotoxicity reported</t>
        </is>
      </c>
      <c r="G189" s="3" t="inlineStr">
        <is>
          <t>Dose adjustment is not required</t>
        </is>
      </c>
      <c r="H189" s="3" t="inlineStr">
        <is>
          <t>Use with caution and monitor carefully. Strongly discouraged if LFTs are elevated, liver disease is active or there was prior drug hepatotoxicity, unless the infection is serious or life-threatening. TW 5.1.8: in cirrhosis, check levels and adjust the dose if needed. Rare fatal hepatotoxicity.</t>
        </is>
      </c>
      <c r="I189" s="3" t="inlineStr">
        <is>
          <t>TW §5.1.8/§6.6; FDA WARNINGS Hepatic Effects, PRECAUTIONS Hepatic Impairment — https://dailymed.nlm.nih.gov/dailymed/drugInfo.cfm?setid=a4d555fa-787c-40fb-bb7d-b0d4f7318fd0</t>
        </is>
      </c>
      <c r="J189" s="3" t="inlineStr">
        <is>
          <t>Open</t>
        </is>
      </c>
      <c r="K189" s="3" t="inlineStr"/>
    </row>
    <row r="190">
      <c r="A190" s="3" t="n">
        <v>13</v>
      </c>
      <c r="B190" s="3" t="inlineStr">
        <is>
          <t>Imipenem/Cilastatin (CUL01)</t>
        </is>
      </c>
      <c r="C190" s="7" t="inlineStr">
        <is>
          <t>High</t>
        </is>
      </c>
      <c r="D190" s="3" t="inlineStr">
        <is>
          <t>Contraindication/warning</t>
        </is>
      </c>
      <c r="E190" s="3" t="inlineStr"/>
      <c r="F190" s="3" t="inlineStr">
        <is>
          <t>Add seizure/myoclonus/CNS warning (higher risk in renal impairment, CNS disease); not for meningitis</t>
        </is>
      </c>
      <c r="G190" s="3" t="inlineStr">
        <is>
          <t>Lists rash, GI, local reactions, leukopenia only</t>
        </is>
      </c>
      <c r="H190" s="3" t="inlineStr">
        <is>
          <t>**Seizures**, myoclonus, confusion (↑ with renal impairment, CNS disease); not for meningitis or pediatric CNS infections</t>
        </is>
      </c>
      <c r="I190" s="3" t="inlineStr">
        <is>
          <t>US label §1.9, §5.2</t>
        </is>
      </c>
      <c r="J190" s="3" t="inlineStr">
        <is>
          <t>Open</t>
        </is>
      </c>
      <c r="K190" s="3" t="inlineStr"/>
    </row>
    <row r="191">
      <c r="A191" s="3" t="n">
        <v>15</v>
      </c>
      <c r="B191" s="3" t="inlineStr">
        <is>
          <t>Imipenem/Cilastatin (CUL01)</t>
        </is>
      </c>
      <c r="C191" s="7" t="inlineStr">
        <is>
          <t>High</t>
        </is>
      </c>
      <c r="D191" s="3" t="inlineStr">
        <is>
          <t>Dosing – adult</t>
        </is>
      </c>
      <c r="E191" s="3" t="inlineStr"/>
      <c r="F191" s="3" t="inlineStr">
        <is>
          <t>Add maximum dose 4 g/day</t>
        </is>
      </c>
      <c r="G191" s="3" t="inlineStr">
        <is>
          <t>No maximum stated</t>
        </is>
      </c>
      <c r="H191" s="3" t="inlineStr">
        <is>
          <t>Max 4 g/day</t>
        </is>
      </c>
      <c r="I191" s="3" t="inlineStr">
        <is>
          <t>US label §2.1</t>
        </is>
      </c>
      <c r="J191" s="3" t="inlineStr">
        <is>
          <t>Open</t>
        </is>
      </c>
      <c r="K191" s="3" t="inlineStr"/>
    </row>
    <row r="192">
      <c r="A192" s="3" t="n">
        <v>11</v>
      </c>
      <c r="B192" s="3" t="inlineStr">
        <is>
          <t>Imipenem/Cilastatin (CUL01)</t>
        </is>
      </c>
      <c r="C192" s="7" t="inlineStr">
        <is>
          <t>High</t>
        </is>
      </c>
      <c r="D192" s="3" t="inlineStr">
        <is>
          <t>Dosing – renal/dialysis</t>
        </is>
      </c>
      <c r="E192" s="3" t="inlineStr">
        <is>
          <t>Renal table outdated</t>
        </is>
      </c>
      <c r="F192" s="3" t="inlineStr">
        <is>
          <t>Update renal table to US Table 3: reduce from CrCl 60–&lt;90; 30–&lt;60 and 15–&lt;30 doses revised</t>
        </is>
      </c>
      <c r="G192" s="3" t="inlineStr">
        <is>
          <t>CrCl 60–&lt;130: no adjustment; 30–60: 250 mg q6h or 500 mg q8h; 15–30: 250 mg q8h or 500 mg q12h</t>
        </is>
      </c>
      <c r="H192" s="3" t="inlineStr">
        <is>
          <t>CrCl 60–&lt;90 **requires reduction** (400 mg q6h, or 500 mg q6h / 750 mg q8h); 30–&lt;60: 300 mg q6h or 500 mg q8h; 15–&lt;30: 200 mg q6h or 500 mg q12h</t>
        </is>
      </c>
      <c r="I192" s="3" t="inlineStr">
        <is>
          <t>US label Table 3 (Primaxin, DailyMed 2025)</t>
        </is>
      </c>
      <c r="J192" s="3" t="inlineStr">
        <is>
          <t>Open</t>
        </is>
      </c>
      <c r="K192" s="3" t="inlineStr"/>
    </row>
    <row r="193">
      <c r="A193" s="3" t="n">
        <v>12</v>
      </c>
      <c r="B193" s="3" t="inlineStr">
        <is>
          <t>Imipenem/Cilastatin (CUL01)</t>
        </is>
      </c>
      <c r="C193" s="7" t="inlineStr">
        <is>
          <t>High</t>
        </is>
      </c>
      <c r="D193" s="3" t="inlineStr">
        <is>
          <t>Dosing – renal/dialysis</t>
        </is>
      </c>
      <c r="E193" s="3" t="inlineStr">
        <is>
          <t>Renal table outdated</t>
        </is>
      </c>
      <c r="F193" s="3" t="inlineStr">
        <is>
          <t>Add CrCl &lt;15 (avoid unless HD within 48 h) and HD dosing (15–&lt;30 dose, after HD)</t>
        </is>
      </c>
      <c r="G193" s="3" t="inlineStr">
        <is>
          <t>No guidance for CrCl &lt;15 or HD</t>
        </is>
      </c>
      <c r="H193" s="3" t="inlineStr">
        <is>
          <t>CrCl &lt;15: do not give unless HD within 48 h; HD: use the 15–&lt;30 dose, give after HD</t>
        </is>
      </c>
      <c r="I193" s="3" t="inlineStr">
        <is>
          <t>US label §2.3–2.4</t>
        </is>
      </c>
      <c r="J193" s="3" t="inlineStr">
        <is>
          <t>Open</t>
        </is>
      </c>
      <c r="K193" s="3" t="inlineStr"/>
    </row>
    <row r="194">
      <c r="A194" s="3" t="n">
        <v>14</v>
      </c>
      <c r="B194" s="3" t="inlineStr">
        <is>
          <t>Imipenem/Cilastatin (CUL01)</t>
        </is>
      </c>
      <c r="C194" s="7" t="inlineStr">
        <is>
          <t>High</t>
        </is>
      </c>
      <c r="D194" s="3" t="inlineStr">
        <is>
          <t>Drug interaction</t>
        </is>
      </c>
      <c r="E194" s="3" t="inlineStr">
        <is>
          <t>Interaction list incomplete</t>
        </is>
      </c>
      <c r="F194" s="3" t="inlineStr">
        <is>
          <t>Add interactions: valproate (avoid, seizure risk), ganciclovir (seizures), probenecid (not recommended)</t>
        </is>
      </c>
      <c r="G194" s="3" t="inlineStr">
        <is>
          <t>No interaction field</t>
        </is>
      </c>
      <c r="H194" s="3" t="inlineStr">
        <is>
          <t>Valproic acid/divalproex (generally not recommended), ganciclovir (seizures), probenecid (not recommended)</t>
        </is>
      </c>
      <c r="I194" s="3" t="inlineStr">
        <is>
          <t>US label §7</t>
        </is>
      </c>
      <c r="J194" s="3" t="inlineStr">
        <is>
          <t>Open</t>
        </is>
      </c>
      <c r="K194" s="3" t="inlineStr"/>
    </row>
    <row r="195">
      <c r="A195" s="3" t="n">
        <v>1093</v>
      </c>
      <c r="B195" s="3" t="inlineStr">
        <is>
          <t>Isoniazid (INAH) (ISO06, ISO07)</t>
        </is>
      </c>
      <c r="C195" s="7" t="inlineStr">
        <is>
          <t>High</t>
        </is>
      </c>
      <c r="D195" s="3" t="inlineStr">
        <is>
          <t>Administration/compatibility</t>
        </is>
      </c>
      <c r="E195" s="3" t="inlineStr"/>
      <c r="F195" s="3" t="inlineStr">
        <is>
          <t>Remove IM/IV routes; stocked ISO06/ISO07 are oral tablets only.</t>
        </is>
      </c>
      <c r="G195" s="3" t="inlineStr">
        <is>
          <t>ISO06: '900 mg … orally/IM 3 days/week'; '300 mg … orally/IM once daily'; rifampin 'orally/IV'. ISO07: 'Oral, IM' for active TB and LTBI; 藥動學 'Absorption: Oral, IM'.</t>
        </is>
      </c>
      <c r="H195" s="3" t="inlineStr">
        <is>
          <t>Both stocked products are oral tablets. The US label describes tablets 'for oral administration' and the UK SmPC says 'given by mouth'. The IM route does not apply to ISO06 or ISO07.</t>
        </is>
      </c>
      <c r="I195" s="3" t="inlineStr">
        <is>
          <t>US label DESCRIPTION/D&amp;A — https://dailymed.nlm.nih.gov/dailymed/drugInfo.cfm?setid=6dab7b7b-a3a9-47ef-b423-134bc6970d8b; UK SmPC 4.2 — https://www.medicines.org.uk/emc/product/14798/smpc</t>
        </is>
      </c>
      <c r="J195" s="3" t="inlineStr">
        <is>
          <t>Open</t>
        </is>
      </c>
      <c r="K195" s="3" t="inlineStr"/>
    </row>
    <row r="196">
      <c r="A196" s="3" t="n">
        <v>1101</v>
      </c>
      <c r="B196" s="3" t="inlineStr">
        <is>
          <t>Isoniazid (INAH) (ISO06, ISO07)</t>
        </is>
      </c>
      <c r="C196" s="7" t="inlineStr">
        <is>
          <t>High</t>
        </is>
      </c>
      <c r="D196" s="3" t="inlineStr">
        <is>
          <t>Administration/compatibility</t>
        </is>
      </c>
      <c r="E196" s="3" t="inlineStr"/>
      <c r="F196" s="3" t="inlineStr">
        <is>
          <t>Delete IM/IV route text copied from multi-formulation monograph; tablets are oral only.</t>
        </is>
      </c>
      <c r="G196" s="3" t="inlineStr">
        <is>
          <t>'900 mg orally/IM 3 days/week', '300 mg orally/IM once daily', rifampin 'orally/IV'; ISO07 'Tuberculosis, active: Oral, IM', 'LTBI: Oral, IM'; ISO07 PK 'Absorption: Oral, IM'</t>
        </is>
      </c>
      <c r="H196" s="3" t="inlineStr">
        <is>
          <t>Both stocked products are tablets, and the label route is oral only. IM/IV text was copied from a multi-formulation monograph and does not apply.</t>
        </is>
      </c>
      <c r="I196" s="3" t="inlineStr">
        <is>
          <t>DailyMed isoniazid DESCRIPTION ('tablets for oral administration'); UK SmPC 4.2</t>
        </is>
      </c>
      <c r="J196" s="3" t="inlineStr">
        <is>
          <t>Open</t>
        </is>
      </c>
      <c r="K196" s="3" t="inlineStr"/>
    </row>
    <row r="197">
      <c r="A197" s="3" t="n">
        <v>1107</v>
      </c>
      <c r="B197" s="3" t="inlineStr">
        <is>
          <t>Isoniazid (INAH) (ISO06, ISO07)</t>
        </is>
      </c>
      <c r="C197" s="7" t="inlineStr">
        <is>
          <t>High</t>
        </is>
      </c>
      <c r="D197" s="3" t="inlineStr">
        <is>
          <t>Adverse effects</t>
        </is>
      </c>
      <c r="E197" s="3" t="inlineStr">
        <is>
          <t>Missing boxed warning</t>
        </is>
      </c>
      <c r="F197" s="3" t="inlineStr">
        <is>
          <t>Add boxed fatal hepatitis, neuropathy, seizures, optic neuritis, SCAR, blood dyscrasias, lupus-like syndrome.</t>
        </is>
      </c>
      <c r="G197" s="3" t="inlineStr">
        <is>
          <t>Only 'Increased serum transaminases (mild and transient 10% to 20%)'</t>
        </is>
      </c>
      <c r="H197" s="3" t="inlineStr">
        <is>
          <t>Incomplete. The label lists severe/fatal hepatitis (boxed), peripheral neuropathy, seizures/psychosis, optic neuritis, SCAR (SJS/TEN/DRESS/AGEP), blood dyscrasias, lupus-like syndrome and cerebellar syndrome.</t>
        </is>
      </c>
      <c r="I197" s="3" t="inlineStr">
        <is>
          <t>DailyMed ADVERSE REACTIONS / WARNINGS; UK SmPC 4.8</t>
        </is>
      </c>
      <c r="J197" s="3" t="inlineStr">
        <is>
          <t>Open</t>
        </is>
      </c>
      <c r="K197" s="3" t="inlineStr"/>
    </row>
    <row r="198">
      <c r="A198" s="3" t="n">
        <v>1104</v>
      </c>
      <c r="B198" s="3" t="inlineStr">
        <is>
          <t>Isoniazid (INAH) (ISO06, ISO07)</t>
        </is>
      </c>
      <c r="C198" s="7" t="inlineStr">
        <is>
          <t>High</t>
        </is>
      </c>
      <c r="D198" s="3" t="inlineStr">
        <is>
          <t>Dosing – adult</t>
        </is>
      </c>
      <c r="E198" s="3" t="inlineStr"/>
      <c r="F198" s="3" t="inlineStr">
        <is>
          <t>Remove unrestricted once-weekly INH; note twice-weekly not generally recommended per ATS 2016.</t>
        </is>
      </c>
      <c r="G198" s="3" t="inlineStr">
        <is>
          <t>Lists 'Once-weekly DOT: 15 mg/kg/dose (usual 900 mg) once weekly' and twice-weekly as unrestricted options</t>
        </is>
      </c>
      <c r="H198" s="3" t="inlineStr">
        <is>
          <t>ATS 2016 recommends against once-weekly INH 900 mg + rifapentine 600 mg continuation except HIV-negative, non-cavitary disease, and says twice-weekly is not generally recommended. INH once weekly is never used alone for active TB. US label intermittent dosing is 2–3×/week only.</t>
        </is>
      </c>
      <c r="I198" s="3" t="inlineStr">
        <is>
          <t>Nahid 2016 PMID 27516382 Recommendations 3–4c; DailyMed DOSAGE AND ADMINISTRATION</t>
        </is>
      </c>
      <c r="J198" s="3" t="inlineStr">
        <is>
          <t>Open</t>
        </is>
      </c>
      <c r="K198" s="3" t="inlineStr"/>
    </row>
    <row r="199">
      <c r="A199" s="3" t="n">
        <v>1092</v>
      </c>
      <c r="B199" s="3" t="inlineStr">
        <is>
          <t>Isoniazid (INAH) (ISO06, ISO07)</t>
        </is>
      </c>
      <c r="C199" s="7" t="inlineStr">
        <is>
          <t>High</t>
        </is>
      </c>
      <c r="D199" s="3" t="inlineStr">
        <is>
          <t>Dosing – hepatic</t>
        </is>
      </c>
      <c r="E199" s="3" t="inlineStr"/>
      <c r="F199" s="3" t="inlineStr">
        <is>
          <t>Rewrite hepatic text: contraindicated in acute liver disease; stop if ALT &gt;3x ULN with symptoms or &gt;5x ULN.</t>
        </is>
      </c>
      <c r="G199" s="3" t="inlineStr">
        <is>
          <t>'(advanced disease or AST greater than 3 times ULN and not due to TB): Isoniazid-based regimens are preferred if possible; expert consultation and dosage adjustments may be necessary. If isoniazid cannot be used, consider regimens with fewer potentially hepatotoxic drugs.'</t>
        </is>
      </c>
      <c r="H199" s="3" t="inlineStr">
        <is>
          <t>INH is contraindicated in acute liver disease of any cause. In chronic liver disease, use with careful monitoring. Stop if transaminases are &gt;3–5× ULN or symptoms appear (US). UK 4.4: special precautions in impaired liver function, and any deterioration is a reason to stop. ATS 2006: interrupt if ALT &gt;3× ULN with symptoms or &gt;5× ULN without. No source prefers an INH-based regimen in advanced liver disease; the hospital text looks garbled.</t>
        </is>
      </c>
      <c r="I199" s="3" t="inlineStr">
        <is>
          <t>US label CONTRAINDICATIONS, BOXED WARNING, PRECAUTIONS; UK SmPC 4.3/4.4; Saukkonen 2006 PMID 17021358 — https://pubmed.ncbi.nlm.nih.gov/17021358/</t>
        </is>
      </c>
      <c r="J199" s="3" t="inlineStr">
        <is>
          <t>Open</t>
        </is>
      </c>
      <c r="K199" s="3" t="inlineStr"/>
    </row>
    <row r="200">
      <c r="A200" s="3" t="n">
        <v>1100</v>
      </c>
      <c r="B200" s="3" t="inlineStr">
        <is>
          <t>Isoniazid (INAH) (ISO06, ISO07)</t>
        </is>
      </c>
      <c r="C200" s="7" t="inlineStr">
        <is>
          <t>High</t>
        </is>
      </c>
      <c r="D200" s="3" t="inlineStr">
        <is>
          <t>Dosing – hepatic</t>
        </is>
      </c>
      <c r="E200" s="3" t="inlineStr"/>
      <c r="F200" s="3" t="inlineStr">
        <is>
          <t>Correct hepatic advice: prefer fewer hepatotoxic drugs, use ALT, note contraindication in acute liver disease.</t>
        </is>
      </c>
      <c r="G200" s="3" t="inlineStr">
        <is>
          <t>(advanced disease or AST &gt;3× ULN not due to TB): 'Isoniazid-based regimens are preferred if possible; expert consultation... If isoniazid cannot be used, consider treatment regimens with fewer potentially hepatotoxic drugs.'</t>
        </is>
      </c>
      <c r="H200" s="3" t="inlineStr">
        <is>
          <t>ATS 2016 makes 'regimens with fewer potentially hepatotoxic agents' the primary advice in advanced liver disease or baseline ALT &gt;3× ULN, while retaining INH and especially RIF if at all possible. The hospital text reverses this order and uses AST instead of ALT. It is a compressed paraphrase rather than pure garble, but it is misleading. US label: contraindicated in acute liver disease.</t>
        </is>
      </c>
      <c r="I200" s="3" t="inlineStr">
        <is>
          <t>Nahid 2016 PMID 27516382 Hepatic Disease section (idsociety.org full text); DailyMed CONTRAINDICATIONS</t>
        </is>
      </c>
      <c r="J200" s="3" t="inlineStr">
        <is>
          <t>Open</t>
        </is>
      </c>
      <c r="K200" s="3" t="inlineStr"/>
    </row>
    <row r="201">
      <c r="A201" s="3" t="n">
        <v>1102</v>
      </c>
      <c r="B201" s="3" t="inlineStr">
        <is>
          <t>Isoniazid (INAH) (ISO06, ISO07)</t>
        </is>
      </c>
      <c r="C201" s="7" t="inlineStr">
        <is>
          <t>High</t>
        </is>
      </c>
      <c r="D201" s="3" t="inlineStr">
        <is>
          <t>Dosing – pediatric</t>
        </is>
      </c>
      <c r="E201" s="3" t="inlineStr"/>
      <c r="F201" s="3" t="inlineStr">
        <is>
          <t>Correct thrice-weekly 4-month continuation to 54 doses; 126 doses is the daily regimen.</t>
        </is>
      </c>
      <c r="G201" s="3" t="inlineStr">
        <is>
          <t>'900 mg ... 3 days/week for 4 months (126 doses)'</t>
        </is>
      </c>
      <c r="H201" s="3" t="inlineStr">
        <is>
          <t>Internal inconsistency: 3×/week for 4 months is about 54 doses, which is what the hospital's own adult row says. 126 doses corresponds to daily dosing.</t>
        </is>
      </c>
      <c r="I201" s="3" t="inlineStr">
        <is>
          <t>Nahid 2016 PMID 27516382 (dose counts); ISO06 adult row</t>
        </is>
      </c>
      <c r="J201" s="3" t="inlineStr">
        <is>
          <t>Open</t>
        </is>
      </c>
      <c r="K201" s="3" t="inlineStr"/>
    </row>
    <row r="202">
      <c r="A202" s="3" t="n">
        <v>1106</v>
      </c>
      <c r="B202" s="3" t="inlineStr">
        <is>
          <t>Isoniazid (INAH) (ISO06, ISO07)</t>
        </is>
      </c>
      <c r="C202" s="7" t="inlineStr">
        <is>
          <t>High</t>
        </is>
      </c>
      <c r="D202" s="3" t="inlineStr">
        <is>
          <t>Dosing – pediatric</t>
        </is>
      </c>
      <c r="E202" s="3" t="inlineStr"/>
      <c r="F202" s="3" t="inlineStr">
        <is>
          <t>Restore missing child dose 10–15 mg/kg daily (max 300 mg) for &lt;40 kg/&lt;15 y.</t>
        </is>
      </c>
      <c r="G202" s="3" t="inlineStr">
        <is>
          <t>'Infants, Children and Adolescents 40 kg and Adolescents ?15 years: 5 mg/kg/dose once daily' (the &lt;40 kg dose is missing)</t>
        </is>
      </c>
      <c r="H202" s="3" t="inlineStr">
        <is>
          <t>Children: 10–15 mg/kg QD (max 300 mg). Adult dose (5 mg/kg, 300 mg) only for ≥15 y or &gt;40 kg. The text is truncated and could lead to under-dosing of small children.</t>
        </is>
      </c>
      <c r="I202" s="3" t="inlineStr">
        <is>
          <t>DailyMed DOSAGE AND ADMINISTRATION (Children 10–15 mg/kg); UK SmPC 4.2</t>
        </is>
      </c>
      <c r="J202" s="3" t="inlineStr">
        <is>
          <t>Open</t>
        </is>
      </c>
      <c r="K202" s="3" t="inlineStr"/>
    </row>
    <row r="203">
      <c r="A203" s="3" t="n">
        <v>1258</v>
      </c>
      <c r="B203" s="3" t="inlineStr">
        <is>
          <t>Juluca (Dolutegravir/Rilpivirine) (JUL01)</t>
        </is>
      </c>
      <c r="C203" s="7" t="inlineStr">
        <is>
          <t>High</t>
        </is>
      </c>
      <c r="D203" s="3" t="inlineStr">
        <is>
          <t>Administration/compatibility</t>
        </is>
      </c>
      <c r="E203" s="3" t="inlineStr"/>
      <c r="F203" s="3" t="inlineStr">
        <is>
          <t>Add 'must be taken with a meal' to dosing.</t>
        </is>
      </c>
      <c r="G203" s="3" t="inlineStr">
        <is>
          <t>One tablet once daily (no mention of food)</t>
        </is>
      </c>
      <c r="H203" s="3" t="inlineStr">
        <is>
          <t>One tablet once daily WITH A MEAL (US §2.1; 仿單 §3.1 每日一次隨餐服用; UK 4.2 'must be taken with a meal')</t>
        </is>
      </c>
      <c r="I203" s="3" t="inlineStr">
        <is>
          <t>US §2.1 https://dailymed.nlm.nih.gov/dailymed/drugInfo.cfm?setid=806653d1-bf35-4924-b999-ad5d21821cc1 ; 仿單 §3.1 https://mcp.fda.gov.tw/im_detail_1/%E8%A1%9B%E9%83%A8%E8%97%A5%E8%BC%B8%E5%AD%97%E7%AC%AC027514%E8%99%9F</t>
        </is>
      </c>
      <c r="J203" s="3" t="inlineStr">
        <is>
          <t>Open</t>
        </is>
      </c>
      <c r="K203" s="3" t="inlineStr"/>
    </row>
    <row r="204">
      <c r="A204" s="3" t="n">
        <v>1268</v>
      </c>
      <c r="B204" s="3" t="inlineStr">
        <is>
          <t>Juluca (Dolutegravir/Rilpivirine) (JUL01)</t>
        </is>
      </c>
      <c r="C204" s="7" t="inlineStr">
        <is>
          <t>High</t>
        </is>
      </c>
      <c r="D204" s="3" t="inlineStr">
        <is>
          <t>Administration/compatibility</t>
        </is>
      </c>
      <c r="E204" s="3" t="inlineStr">
        <is>
          <t>Interaction list incomplete</t>
        </is>
      </c>
      <c r="F204" s="3" t="inlineStr">
        <is>
          <t>Add 'take with a meal' and rifabutin extra rilpivirine 25 mg daily.</t>
        </is>
      </c>
      <c r="G204" s="3" t="inlineStr">
        <is>
          <t>One tablet once daily (no food instruction, no rifabutin adjustment)</t>
        </is>
      </c>
      <c r="H204" s="3" t="inlineStr">
        <is>
          <t>One tablet once daily WITH A MEAL. With rifabutin, add rilpivirine 25 mg once daily with a meal.</t>
        </is>
      </c>
      <c r="I204" s="3" t="inlineStr">
        <is>
          <t>TW insert 3.1; US label 2.1/2.2 https://dailymed.nlm.nih.gov/dailymed/drugInfo.cfm?setid=806653d1-bf35-4924-b999-ad5d21821cc1</t>
        </is>
      </c>
      <c r="J204" s="3" t="inlineStr">
        <is>
          <t>Open</t>
        </is>
      </c>
      <c r="K204" s="3" t="inlineStr"/>
    </row>
    <row r="205">
      <c r="A205" s="3" t="n">
        <v>1259</v>
      </c>
      <c r="B205" s="3" t="inlineStr">
        <is>
          <t>Juluca (Dolutegravir/Rilpivirine) (JUL01)</t>
        </is>
      </c>
      <c r="C205" s="7" t="inlineStr">
        <is>
          <t>High</t>
        </is>
      </c>
      <c r="D205" s="3" t="inlineStr">
        <is>
          <t>Drug interaction</t>
        </is>
      </c>
      <c r="E205" s="3" t="inlineStr">
        <is>
          <t>Interaction list incomplete</t>
        </is>
      </c>
      <c r="F205" s="3" t="inlineStr">
        <is>
          <t>Add rilpivirine 25 mg daily with a meal during rifabutin co-administration.</t>
        </is>
      </c>
      <c r="G205" s="3" t="inlineStr">
        <is>
          <t>No rifabutin dose adjustment</t>
        </is>
      </c>
      <c r="H205" s="3" t="inlineStr">
        <is>
          <t>With rifabutin, add rilpivirine 25 mg once daily with a meal for the duration of rifabutin (US §2.2, 仿單 §3.1)</t>
        </is>
      </c>
      <c r="I205" s="3" t="inlineStr">
        <is>
          <t>US §2.2 / 仿單 §3.1 (URLs above)</t>
        </is>
      </c>
      <c r="J205" s="3" t="inlineStr">
        <is>
          <t>Open</t>
        </is>
      </c>
      <c r="K205" s="3" t="inlineStr"/>
    </row>
    <row r="206">
      <c r="A206" s="3" t="n">
        <v>717</v>
      </c>
      <c r="B206" s="3" t="inlineStr">
        <is>
          <t>Klaricid (Clarithromycin) (KLA02, KLA03)</t>
        </is>
      </c>
      <c r="C206" s="7" t="inlineStr">
        <is>
          <t>High</t>
        </is>
      </c>
      <c r="D206" s="3" t="inlineStr">
        <is>
          <t>Dosing – pediatric</t>
        </is>
      </c>
      <c r="E206" s="3" t="inlineStr"/>
      <c r="F206" s="3" t="inlineStr">
        <is>
          <t>Remove oral peds dose from IV page; IV not recommended &lt;12 y, insufficient data &lt;18 y</t>
        </is>
      </c>
      <c r="G206" s="3" t="inlineStr">
        <is>
          <t>Infants, Children, and Adolescents: Immediate release: Oral: 7.5 mg/kg/dose every 12 hours; max 500 mg/dose</t>
        </is>
      </c>
      <c r="H206" s="3" t="inlineStr">
        <is>
          <t>This is an oral dose shown on an IV product page. The TW IV insert and UK IV SmPC say IV clarithromycin is not recommended under 12 years and there are insufficient data under 18 years.</t>
        </is>
      </c>
      <c r="I206" s="3" t="inlineStr">
        <is>
          <t>TW 仿單 Klaricid IV 8 d. 兒童; UK SmPC 9235 4.2 Paediatric population: https://www.medicines.org.uk/emc/product/9235/smpc</t>
        </is>
      </c>
      <c r="J206" s="3" t="inlineStr">
        <is>
          <t>Open</t>
        </is>
      </c>
      <c r="K206" s="3" t="inlineStr"/>
    </row>
    <row r="207">
      <c r="A207" s="3" t="n">
        <v>721</v>
      </c>
      <c r="B207" s="3" t="inlineStr">
        <is>
          <t>Klaricid (Clarithromycin) (KLA02, KLA03)</t>
        </is>
      </c>
      <c r="C207" s="7" t="inlineStr">
        <is>
          <t>High</t>
        </is>
      </c>
      <c r="D207" s="3" t="inlineStr">
        <is>
          <t>Dosing – pediatric</t>
        </is>
      </c>
      <c r="E207" s="3" t="inlineStr"/>
      <c r="F207" s="3" t="inlineStr">
        <is>
          <t>Remove oral peds dose from IV page; state IV not recommended &lt;12 y</t>
        </is>
      </c>
      <c r="G207" s="3" t="inlineStr">
        <is>
          <t>Infants, children, adolescents: Immediate release: Oral: 7.5 mg/kg/dose every 12 hours; max 500 mg/dose (an oral dose shown on the IV product page)</t>
        </is>
      </c>
      <c r="H207" s="3" t="inlineStr">
        <is>
          <t>There are insufficient data for the IV formulation under 18 y (仿單 IV, paediatric ADR section d; UK IV SmPC 4.2). It is not recommended under 12 y, who should use the oral paediatric suspension (UK 4.2). The 仿單 IV adult dose is defined for ≥18 y.</t>
        </is>
      </c>
      <c r="I207" s="3" t="inlineStr">
        <is>
          <t>仿單 IV https://mcp.fda.gov.tw/im_detail_1/%E8%A1%9B%E9%83%A8%E8%97%A5%E8%BC%B8%E5%AD%97%E7%AC%AC026747%E8%99%9F ; UK SmPC 4.2 https://www.medicines.org.uk/emc/product/9235/smpc</t>
        </is>
      </c>
      <c r="J207" s="3" t="inlineStr">
        <is>
          <t>Open</t>
        </is>
      </c>
      <c r="K207" s="3" t="inlineStr"/>
    </row>
    <row r="208">
      <c r="A208" s="3" t="n">
        <v>716</v>
      </c>
      <c r="B208" s="3" t="inlineStr">
        <is>
          <t>Klaricid (Clarithromycin) (KLA02, KLA03)</t>
        </is>
      </c>
      <c r="C208" s="7" t="inlineStr">
        <is>
          <t>High</t>
        </is>
      </c>
      <c r="D208" s="3" t="inlineStr">
        <is>
          <t>Dosing – renal/dialysis</t>
        </is>
      </c>
      <c r="E208" s="3" t="inlineStr">
        <is>
          <t>Renal table outdated</t>
        </is>
      </c>
      <c r="F208" s="3" t="inlineStr">
        <is>
          <t>Replace IV renal table: TW avoid in renal impairment; UK CrCl &lt;30 half dose</t>
        </is>
      </c>
      <c r="G208" s="3" t="inlineStr">
        <is>
          <t>CrCl &gt;50: no adjustment; CrCl 10–50: 500 mg q12–24h; CrCl &lt;10: 500 mg q24h (the &lt;10 tier is per the source brief; the page fetch truncated after 'CrCl')</t>
        </is>
      </c>
      <c r="H208" s="3" t="inlineStr">
        <is>
          <t>TW Klaricid IV 仿單 3.1: 不建議腎功能不全病人使用本品 (avoid in renal impairment). UK IV SmPC 4.2: CrCl &lt;30 → half the normal dose. The hospital's CrCl cut-offs (&gt;50, 10–50) and 'q12–24h at CrCl 10–50' match neither label. The US label also starts adjustment only below 30 (or 30–60 with atazanavir/ritonavir).</t>
        </is>
      </c>
      <c r="I208" s="3" t="inlineStr">
        <is>
          <t>TW 仿單 Klaricid IV: https://mcp.fda.gov.tw/im_detail_1/%E8%A1%9B%E9%83%A8%E8%97%A5%E8%BC%B8%E5%AD%97%E7%AC%AC026747%E8%99%9F; UK SmPC 9235 4.2: https://www.medicines.org.uk/emc/product/9235/smpc</t>
        </is>
      </c>
      <c r="J208" s="3" t="inlineStr">
        <is>
          <t>Open</t>
        </is>
      </c>
      <c r="K208" s="3" t="inlineStr"/>
    </row>
    <row r="209">
      <c r="A209" s="3" t="n">
        <v>720</v>
      </c>
      <c r="B209" s="3" t="inlineStr">
        <is>
          <t>Klaricid (Clarithromycin) (KLA02, KLA03)</t>
        </is>
      </c>
      <c r="C209" s="7" t="inlineStr">
        <is>
          <t>High</t>
        </is>
      </c>
      <c r="D209" s="3" t="inlineStr">
        <is>
          <t>Dosing – renal/dialysis</t>
        </is>
      </c>
      <c r="E209" s="3" t="inlineStr">
        <is>
          <t>Renal table outdated</t>
        </is>
      </c>
      <c r="F209" s="3" t="inlineStr">
        <is>
          <t>Replace IV renal scheme: avoid in renal impairment (TW); CrCl &lt;30 half dose (UK)</t>
        </is>
      </c>
      <c r="G209" s="3" t="inlineStr">
        <is>
          <t>CrCl &gt;50: no dosage adjustment; CrCl 10–50: 500 mg q12–24h; CrCl &lt;10: (q24h, truncated on page)</t>
        </is>
      </c>
      <c r="H209" s="3" t="inlineStr">
        <is>
          <t>The Taiwan Klaricid IV insert §3.1 says 不建議腎功能不全病人使用本品, and §5.1 says 對腎功能不全的病人應避免使用. The UK IV SmPC 4.2 says CrCl &lt;30 → half dose. Neither label has a CrCl &gt;50 / 10–50 / &lt;10 scheme, and the hospital's 500 mg q12h at CrCl 30–50 is twice what the UK label would give below 30.</t>
        </is>
      </c>
      <c r="I209" s="3" t="inlineStr">
        <is>
          <t>仿單 衛部藥輸字第026747號 https://mcp.fda.gov.tw/im_detail_1/%E8%A1%9B%E9%83%A8%E8%97%A5%E8%BC%B8%E5%AD%97%E7%AC%AC026747%E8%99%9F ; UK SmPC https://www.medicines.org.uk/emc/product/9235/smpc</t>
        </is>
      </c>
      <c r="J209" s="3" t="inlineStr">
        <is>
          <t>Open</t>
        </is>
      </c>
      <c r="K209" s="3" t="inlineStr"/>
    </row>
    <row r="210">
      <c r="A210" s="3" t="n">
        <v>789</v>
      </c>
      <c r="B210" s="3" t="inlineStr">
        <is>
          <t>LinDACIN (Clindamycin) (LIN01, BB901)</t>
        </is>
      </c>
      <c r="C210" s="7" t="inlineStr">
        <is>
          <t>High</t>
        </is>
      </c>
      <c r="D210" s="3" t="inlineStr">
        <is>
          <t>Administration/compatibility</t>
        </is>
      </c>
      <c r="E210" s="3" t="inlineStr"/>
      <c r="F210" s="3" t="inlineStr">
        <is>
          <t>Add stocked-product limits: ≤12 mg/mL, ≤30 mg/min, ≤1200 mg per hour infusion</t>
        </is>
      </c>
      <c r="G210" s="3" t="inlineStr">
        <is>
          <t>IVD over 10–60 min (Handbook); no maximum concentration stated</t>
        </is>
      </c>
      <c r="H210" s="3" t="inlineStr">
        <is>
          <t>The B.B. TW insert says 300–1200 mg over 10–40 min, concentration ≤12 mg/mL, ≤30 mg/min and ≤1200 mg per hour. US/UK say ≤18 mg/mL and infuse over 10–60 min. The page should give the stocked product's 12 mg/mL limit.</t>
        </is>
      </c>
      <c r="I210" s="3" t="inlineStr">
        <is>
          <t>TW 仿單 B.B. 用法用量 – https://mcp.fda.gov.tw/insert/pdfcasefile/i_a1c8370b-3c6f-4d31-b8c1-9f12610c3e9e</t>
        </is>
      </c>
      <c r="J210" s="3" t="inlineStr">
        <is>
          <t>Open</t>
        </is>
      </c>
      <c r="K210" s="3" t="inlineStr"/>
    </row>
    <row r="211">
      <c r="A211" s="3" t="n">
        <v>781</v>
      </c>
      <c r="B211" s="3" t="inlineStr">
        <is>
          <t>LinDACIN (Clindamycin) (LIN01, BB901)</t>
        </is>
      </c>
      <c r="C211" s="7" t="inlineStr">
        <is>
          <t>High</t>
        </is>
      </c>
      <c r="D211" s="3" t="inlineStr">
        <is>
          <t>Contraindication/warning</t>
        </is>
      </c>
      <c r="E211" s="3" t="inlineStr"/>
      <c r="F211" s="3" t="inlineStr">
        <is>
          <t>Add benzyl alcohol warning: gasping syndrome; not for premature babies/neonates (BB901)</t>
        </is>
      </c>
      <c r="G211" s="3" t="inlineStr">
        <is>
          <t>Not mentioned</t>
        </is>
      </c>
      <c r="H211" s="3" t="inlineStr">
        <is>
          <t>B.B. contains benzyl alcohol (TW 仿單【成份】). The US label warns of 'gasping syndrome' and death in neonates. The UK Dalacin C Phosphate SmPC 4.3 says it 'must not be given to premature babies or neonates'.</t>
        </is>
      </c>
      <c r="I211" s="3" t="inlineStr">
        <is>
          <t>US injection WARNINGS - https://dailymed.nlm.nih.gov/dailymed/drugInfo.cfm?setid=7a6967b3-5563-4bed-9eee-d400f800e799; UK SmPC 1078 4.3 - https://www.medicines.org.uk/emc/product/1078/smpc</t>
        </is>
      </c>
      <c r="J211" s="3" t="inlineStr">
        <is>
          <t>Open</t>
        </is>
      </c>
      <c r="K211" s="3" t="inlineStr"/>
    </row>
    <row r="212">
      <c r="A212" s="3" t="n">
        <v>785</v>
      </c>
      <c r="B212" s="3" t="inlineStr">
        <is>
          <t>LinDACIN (Clindamycin) (LIN01, BB901)</t>
        </is>
      </c>
      <c r="C212" s="7" t="inlineStr">
        <is>
          <t>High</t>
        </is>
      </c>
      <c r="D212" s="3" t="inlineStr">
        <is>
          <t>Contraindication/warning</t>
        </is>
      </c>
      <c r="E212" s="3" t="inlineStr"/>
      <c r="F212" s="3" t="inlineStr">
        <is>
          <t>Remove 'diarrhea states' as CI (make it caution); add neonate/premature CI for benzyl-alcohol BB901</t>
        </is>
      </c>
      <c r="G212" s="3" t="inlineStr">
        <is>
          <t>Hypersensitivity, diarrhea states.</t>
        </is>
      </c>
      <c r="H212" s="3" t="inlineStr">
        <is>
          <t>The only contraindication in the US, UK and TW labels is hypersensitivity to clindamycin or lincomycin. 'Diarrhea states' is not a labelled contraindication; GI/colitis history is a caution. The UK IV SmPC also contraindicates the benzyl-alcohol product in premature babies and neonates, which the BB901 page omits.</t>
        </is>
      </c>
      <c r="I212" s="3" t="inlineStr">
        <is>
          <t>US label CONTRAINDICATIONS – https://dailymed.nlm.nih.gov/dailymed/drugInfo.cfm?setid=7a6967b3-5563-4bed-9eee-d400f800e799; UK Dalacin C Phosphate §4.3 – https://www.medicines.org.uk/emc/product/1078/smpc; TW B.B. 仿單 注意事項1 – https://mcp.fda.gov.tw/insert/pdfcasefile/i_a1c8370b-3c6f-4d31-b8c1-9f12610c3e9e</t>
        </is>
      </c>
      <c r="J212" s="3" t="inlineStr">
        <is>
          <t>Open</t>
        </is>
      </c>
      <c r="K212" s="3" t="inlineStr"/>
    </row>
    <row r="213">
      <c r="A213" s="3" t="n">
        <v>790</v>
      </c>
      <c r="B213" s="3" t="inlineStr">
        <is>
          <t>LinDACIN (Clindamycin) (LIN01, BB901)</t>
        </is>
      </c>
      <c r="C213" s="7" t="inlineStr">
        <is>
          <t>High</t>
        </is>
      </c>
      <c r="D213" s="3" t="inlineStr">
        <is>
          <t>Contraindication/warning</t>
        </is>
      </c>
      <c r="E213" s="3" t="inlineStr">
        <is>
          <t>Missing SCAR (SJS/TEN/DRESS)</t>
        </is>
      </c>
      <c r="F213" s="3" t="inlineStr">
        <is>
          <t>Add AKI, SCAR (DRESS/SJS/TEN/AGEP) warnings, and neonatal benzyl-alcohol warning for BB901</t>
        </is>
      </c>
      <c r="G213" s="3" t="inlineStr">
        <is>
          <t>Diarrhea, pseudomembranous colitis, hypersensitivity, agranulocytosis, thrombocytopenia (no renal or severe-skin warnings)</t>
        </is>
      </c>
      <c r="H213" s="3" t="inlineStr">
        <is>
          <t>The US/UK labels carry a nephrotoxicity/AKI warning (monitor renal function with pre-existing dysfunction or nephrotoxins) and severe cutaneous reactions (DRESS, SJS/TEN, AGEP). The BB901 page also lacks the benzyl-alcohol 'gasping syndrome' warning for neonates.</t>
        </is>
      </c>
      <c r="I213" s="3" t="inlineStr">
        <is>
          <t>US label WARNINGS – https://dailymed.nlm.nih.gov/dailymed/drugInfo.cfm?setid=7a6967b3-5563-4bed-9eee-d400f800e799; UK caps §4.4 – https://www.medicines.org.uk/emc/product/100601/smpc</t>
        </is>
      </c>
      <c r="J213" s="3" t="inlineStr">
        <is>
          <t>Open</t>
        </is>
      </c>
      <c r="K213" s="3" t="inlineStr"/>
    </row>
    <row r="214">
      <c r="A214" s="3" t="n">
        <v>779</v>
      </c>
      <c r="B214" s="3" t="inlineStr">
        <is>
          <t>LinDACIN (Clindamycin) (LIN01, BB901)</t>
        </is>
      </c>
      <c r="C214" s="7" t="inlineStr">
        <is>
          <t>High</t>
        </is>
      </c>
      <c r="D214" s="3" t="inlineStr">
        <is>
          <t>Dosing – pediatric</t>
        </is>
      </c>
      <c r="E214" s="3" t="inlineStr"/>
      <c r="F214" s="3" t="inlineStr">
        <is>
          <t>Split peds IV dose: &gt;1 mo 20–40 mg/kg/day ÷3–4; &lt;1 mo 15–20; remove adult 2.7–4.8 g/day max</t>
        </is>
      </c>
      <c r="G214" s="3" t="inlineStr">
        <is>
          <t>Children: 15–40 mg/kg/day in divided doses IM or slow IV, maximum dose 2.7–4.8 g/day</t>
        </is>
      </c>
      <c r="H214" s="3" t="inlineStr">
        <is>
          <t>The TW B.B. 仿單 and the US label give 20–40 mg/kg/day ÷3–4 for children over 1 month and 15–20 mg/kg/day for those under 1 month. The hospital merges these into one 15–40 range. No label gives a paediatric maximum of 2.7–4.8 g/day; 4.8 g/day is the adult IV ceiling for life-threatening infection. The UK range is 15–25 mg/kg/day (25–40 if severe).</t>
        </is>
      </c>
      <c r="I214" s="3" t="inlineStr">
        <is>
          <t>TW B.B. 仿單【用法用量】 - https://mcp.fda.gov.tw/insert/pdfcasefile/i_a1c8370b-3c6f-4d31-b8c1-9f12610c3e9e; US injection D&amp;A - https://dailymed.nlm.nih.gov/dailymed/drugInfo.cfm?setid=7a6967b3-5563-4bed-9eee-d400f800e799</t>
        </is>
      </c>
      <c r="J214" s="3" t="inlineStr">
        <is>
          <t>Open</t>
        </is>
      </c>
      <c r="K214" s="3" t="inlineStr"/>
    </row>
    <row r="215">
      <c r="A215" s="3" t="n">
        <v>780</v>
      </c>
      <c r="B215" s="3" t="inlineStr">
        <is>
          <t>LinDACIN (Clindamycin) (LIN01, BB901)</t>
        </is>
      </c>
      <c r="C215" s="7" t="inlineStr">
        <is>
          <t>High</t>
        </is>
      </c>
      <c r="D215" s="3" t="inlineStr">
        <is>
          <t>Dosing – pediatric</t>
        </is>
      </c>
      <c r="E215" s="3" t="inlineStr"/>
      <c r="F215" s="3" t="inlineStr">
        <is>
          <t>Remove unsupported caps (2.7 g, 1.8 g/day), 30–40 mg/kg/day oral dose, and oral regimen from injection page</t>
        </is>
      </c>
      <c r="G215" s="3" t="inlineStr">
        <is>
          <t>IM/IV 20–40 mg/kg/day q6–8h, max 2,700 mg/day; Oral 10–25 mg/kg/day q8h, 30–40 mg/kg/day for some infections, max 1,800 mg/day</t>
        </is>
      </c>
      <c r="H215" s="3" t="inlineStr">
        <is>
          <t>No label states the 2,700 mg/day or 1,800 mg/day caps or the 30–40 mg/kg/day oral dose. Oral labels say 8–16 (16–20 if severe) ÷3–4 (US), 8–25 ÷3–4 (TW LinDACIN) and 12–25 q6h (UK). The oral dosing also appears on an injection product page.</t>
        </is>
      </c>
      <c r="I215" s="3" t="inlineStr">
        <is>
          <t>US CLEOCIN HCl - https://dailymed.nlm.nih.gov/dailymed/drugInfo.cfm?setid=df9a2a41-b132-4f43-8940-b2d773b1369a; TW LinDACIN 仿單; UK SmPC 100601 - https://www.medicines.org.uk/emc/product/100601/smpc</t>
        </is>
      </c>
      <c r="J215" s="3" t="inlineStr">
        <is>
          <t>Open</t>
        </is>
      </c>
      <c r="K215" s="3" t="inlineStr"/>
    </row>
    <row r="216">
      <c r="A216" s="3" t="n">
        <v>787</v>
      </c>
      <c r="B216" s="3" t="inlineStr">
        <is>
          <t>LinDACIN (Clindamycin) (LIN01, BB901)</t>
        </is>
      </c>
      <c r="C216" s="7" t="inlineStr">
        <is>
          <t>High</t>
        </is>
      </c>
      <c r="D216" s="3" t="inlineStr">
        <is>
          <t>Dosing – pediatric</t>
        </is>
      </c>
      <c r="E216" s="3" t="inlineStr"/>
      <c r="F216" s="3" t="inlineStr">
        <is>
          <t>Correct peds IV dose by age band; delete adult 4.8 g/day max presented as paediatric maximum</t>
        </is>
      </c>
      <c r="G216" s="3" t="inlineStr">
        <is>
          <t>Children: 15–40 mg/kg/day IM or slow IV, maximum dose 2.7–4.8 g/day</t>
        </is>
      </c>
      <c r="H216" s="3" t="inlineStr">
        <is>
          <t>Children &gt;1 month: 20–40 mg/kg/day ÷3–4 (TW B.B. insert, US); UK gives 15–25 (serious) / 25–40 (severe). Neonates &lt;1 month: 15–20 mg/kg/day. The 4.8 g/day figure is the ADULT life-threatening IV maximum (US/UK). No label gives a paediatric maximum of 2.7–4.8 g/day.</t>
        </is>
      </c>
      <c r="I216" s="3" t="inlineStr">
        <is>
          <t>TW 仿單 B.B. 用法用量 – https://mcp.fda.gov.tw/insert/pdfcasefile/i_a1c8370b-3c6f-4d31-b8c1-9f12610c3e9e; US label D&amp;A – https://dailymed.nlm.nih.gov/dailymed/drugInfo.cfm?setid=7a6967b3-5563-4bed-9eee-d400f800e799</t>
        </is>
      </c>
      <c r="J216" s="3" t="inlineStr">
        <is>
          <t>Open</t>
        </is>
      </c>
      <c r="K216" s="3" t="inlineStr"/>
    </row>
    <row r="217">
      <c r="A217" s="3" t="n">
        <v>788</v>
      </c>
      <c r="B217" s="3" t="inlineStr">
        <is>
          <t>LinDACIN (Clindamycin) (LIN01, BB901)</t>
        </is>
      </c>
      <c r="C217" s="7" t="inlineStr">
        <is>
          <t>High</t>
        </is>
      </c>
      <c r="D217" s="3" t="inlineStr">
        <is>
          <t>Dosing – pediatric</t>
        </is>
      </c>
      <c r="E217" s="3" t="inlineStr"/>
      <c r="F217" s="3" t="inlineStr">
        <is>
          <t>Delete unsupported oral regimen (10–25, 30–40 mg/kg/day, max 1.8 g) from injection page</t>
        </is>
      </c>
      <c r="G217" s="3" t="inlineStr">
        <is>
          <t>Oral: 10–25 mg/kg/day divided q8h; 30–40 mg/kg/day for some infections; max 1,800 mg/day</t>
        </is>
      </c>
      <c r="H217" s="3" t="inlineStr">
        <is>
          <t>No label supports these numbers. US caps: 8–16 / 16–20 mg/kg/day ÷3–4. UK caps: 12–25 mg/kg/day q6h. TW LinDACIN: 8–25 mg/kg/day ÷3–4. An oral regimen is also out of place on the injection page.</t>
        </is>
      </c>
      <c r="I217" s="3" t="inlineStr">
        <is>
          <t>US CLEOCIN HCl D&amp;A – https://dailymed.nlm.nih.gov/dailymed/drugInfo.cfm?setid=df9a2a41-b132-4f43-8940-b2d773b1369a; UK caps §4.2 – https://www.medicines.org.uk/emc/product/100601/smpc</t>
        </is>
      </c>
      <c r="J217" s="3" t="inlineStr">
        <is>
          <t>Open</t>
        </is>
      </c>
      <c r="K217" s="3" t="inlineStr"/>
    </row>
    <row r="218">
      <c r="A218" s="3" t="n">
        <v>926</v>
      </c>
      <c r="B218" s="3" t="inlineStr">
        <is>
          <t>Liposomal Amphotericin B (AmBisome / Ampholipad) (AMB02, AMB10)</t>
        </is>
      </c>
      <c r="C218" s="7" t="inlineStr">
        <is>
          <t>High</t>
        </is>
      </c>
      <c r="D218" s="3" t="inlineStr">
        <is>
          <t>Administration/compatibility</t>
        </is>
      </c>
      <c r="E218" s="3" t="inlineStr">
        <is>
          <t>Missing boxed warning</t>
        </is>
      </c>
      <c r="F218" s="3" t="inlineStr">
        <is>
          <t>Add warning: not interchangeable mg-for-mg with other amphotericin B products; under/overdose risk</t>
        </is>
      </c>
      <c r="G218" s="3" t="inlineStr">
        <is>
          <t>No interchangeability warning recorded in the hospital clinical text (per source brief summary)</t>
        </is>
      </c>
      <c r="H218" s="3" t="inlineStr">
        <is>
          <t>The US label and UK SmPC 4.2 say liposomal amphotericin is not interchangeable mg-for-mg with other amphotericin products. The UK adds a warning about under-dosing if conventional-amphotericin doses are used. This matters more because the hospital stocks two liposomal brands and flags the drug as high-alert.</t>
        </is>
      </c>
      <c r="I218" s="3" t="inlineStr">
        <is>
          <t>US label DOSAGE AND ADMINISTRATION; UK SmPC 4.2: https://www.medicines.org.uk/emc/product/1022/smpc</t>
        </is>
      </c>
      <c r="J218" s="3" t="inlineStr">
        <is>
          <t>Open</t>
        </is>
      </c>
      <c r="K218" s="3" t="inlineStr"/>
    </row>
    <row r="219">
      <c r="A219" s="3" t="n">
        <v>922</v>
      </c>
      <c r="B219" s="3" t="inlineStr">
        <is>
          <t>Liposomal Amphotericin B (AmBisome / Ampholipad) (AMB02, AMB10)</t>
        </is>
      </c>
      <c r="C219" s="7" t="inlineStr">
        <is>
          <t>High</t>
        </is>
      </c>
      <c r="D219" s="3" t="inlineStr">
        <is>
          <t>Dosing – adult</t>
        </is>
      </c>
      <c r="E219" s="3" t="inlineStr"/>
      <c r="F219" s="3" t="inlineStr">
        <is>
          <t>Add indication-specific doses incl. mucormycosis 5–10 mg/kg/day and cryptococcal 6 mg/kg; VL schedules</t>
        </is>
      </c>
      <c r="G219" s="3" t="inlineStr">
        <is>
          <t>Usual dose 3–6 mg/kg/day</t>
        </is>
      </c>
      <c r="H219" s="3" t="inlineStr">
        <is>
          <t>The range is incomplete. The UK SmPC gives mucormycosis 5–10 mg/kg/d (10 mg/kg with brain involvement or after solid-organ transplant) and HIV cryptococcal meningitis as a single 10 mg/kg dose on day 1. The TW AmBisome insert gives mucormycosis 5 mg/kg, with limited data up to 10 mg/kg. Indication-specific doses (empirical 3, systemic 3–5, cryptococcal 6 mg/kg/d) and the VL schedules are not separated out.</t>
        </is>
      </c>
      <c r="I219" s="3" t="inlineStr">
        <is>
          <t>UK SmPC 4.2: https://www.medicines.org.uk/emc/product/1022/smpc ; TW AmBisome insert 3.1: https://mcp.fda.gov.tw/im_detail_1/%E8%A1%9B%E7%BD%B2%E8%97%A5%E8%BC%B8%E5%AD%97%E7%AC%AC023388%E8%99%9F</t>
        </is>
      </c>
      <c r="J219" s="3" t="inlineStr">
        <is>
          <t>Open</t>
        </is>
      </c>
      <c r="K219" s="3" t="inlineStr"/>
    </row>
    <row r="220">
      <c r="A220" s="3" t="n">
        <v>929</v>
      </c>
      <c r="B220" s="3" t="inlineStr">
        <is>
          <t>Liposomal Amphotericin B (AmBisome / Ampholipad) (AMB02, AMB10)</t>
        </is>
      </c>
      <c r="C220" s="7" t="inlineStr">
        <is>
          <t>High</t>
        </is>
      </c>
      <c r="D220" s="3" t="inlineStr">
        <is>
          <t>Dosing – adult</t>
        </is>
      </c>
      <c r="E220" s="3" t="inlineStr"/>
      <c r="F220" s="3" t="inlineStr">
        <is>
          <t>Replace 3–6 range with indication-specific doses incl. crypto 6 and mucormycosis 5–10 mg/kg/day</t>
        </is>
      </c>
      <c r="G220" s="3" t="inlineStr">
        <is>
          <t>Usual dosage range: 3 to 6 mg/kg/day</t>
        </is>
      </c>
      <c r="H220" s="3" t="inlineStr">
        <is>
          <t>Indication-specific doses: empirical 3; systemic 3–5; HIV cryptococcal meningitis 6 (US/TW); VL fixed-day schedules. UK SmPC: mucormycosis 5–10 mg/kg/day and a single 10 mg/kg cryptococcal dose. TW AmBisome insert: mucormycosis starting dose 5 mg/kg/day, with limited data up to 10. Correction to the brief: the TW AmBisome insert does NOT contain the single-dose 10 mg/kg cryptococcal regimen; that regimen is UK-only.</t>
        </is>
      </c>
      <c r="I220" s="3" t="inlineStr">
        <is>
          <t>US label DOSAGE AND ADMINISTRATION; UK SmPC §4.2; TW insert 衛署藥輸字第023388號 §3.1</t>
        </is>
      </c>
      <c r="J220" s="3" t="inlineStr">
        <is>
          <t>Open</t>
        </is>
      </c>
      <c r="K220" s="3" t="inlineStr"/>
    </row>
    <row r="221">
      <c r="A221" s="3" t="n">
        <v>931</v>
      </c>
      <c r="B221" s="3" t="inlineStr">
        <is>
          <t>Liposomal Amphotericin B (AmBisome / Ampholipad) (AMB02, AMB10)</t>
        </is>
      </c>
      <c r="C221" s="7" t="inlineStr">
        <is>
          <t>High</t>
        </is>
      </c>
      <c r="D221" s="3" t="inlineStr">
        <is>
          <t>Dosing – pediatric</t>
        </is>
      </c>
      <c r="E221" s="3" t="inlineStr"/>
      <c r="F221" s="3" t="inlineStr">
        <is>
          <t>Add all pediatric indications ≥1 month at adult mg/kg doses (systemic 3–5, crypto 6, VL)</t>
        </is>
      </c>
      <c r="G221" s="3" t="inlineStr">
        <is>
          <t>Empiric therapy: 3 mg/kg/dose once daily (only)</t>
        </is>
      </c>
      <c r="H221" s="3" t="inlineStr">
        <is>
          <t>For ages ≥1 month, all indications use the same mg/kg doses as adults (systemic 3–5, cryptococcal 6, VL schedules). Under 1 month: not established.</t>
        </is>
      </c>
      <c r="I221" s="3" t="inlineStr">
        <is>
          <t>US label, Pediatric Use; UK SmPC §4.2 Paediatric population</t>
        </is>
      </c>
      <c r="J221" s="3" t="inlineStr">
        <is>
          <t>Open</t>
        </is>
      </c>
      <c r="K221" s="3" t="inlineStr"/>
    </row>
    <row r="222">
      <c r="A222" s="3" t="n">
        <v>1429</v>
      </c>
      <c r="B222" s="3" t="inlineStr">
        <is>
          <t>Maviret (Glecaprevir/Pibrentasvir) (MAV01)</t>
        </is>
      </c>
      <c r="C222" s="7" t="inlineStr">
        <is>
          <t>High</t>
        </is>
      </c>
      <c r="D222" s="3" t="inlineStr">
        <is>
          <t>Contraindication/warning</t>
        </is>
      </c>
      <c r="E222" s="3" t="inlineStr"/>
      <c r="F222" s="3" t="inlineStr">
        <is>
          <t>Specify Child-Pugh B/C or prior decompensation contraindicated; add contraindicated drugs (atazanavir, rifampicin, etc.).</t>
        </is>
      </c>
      <c r="G222" s="3" t="inlineStr">
        <is>
          <t>1. Hypersensitivity 2. Severe liver disease</t>
        </is>
      </c>
      <c r="H222" s="3" t="inlineStr">
        <is>
          <t>Contraindicated in moderate or severe hepatic impairment (Child-Pugh B or C) or any prior hepatic decompensation. Also contraindicated with atazanavir-containing products, simvastatin, dabigatran etexilate, ethinyl oestradiol &gt;20 µg, and rifampicin. 'Severe liver disease' is vague and leaves out Child-Pugh B, prior decompensation and every contraindicated drug.</t>
        </is>
      </c>
      <c r="I222" s="3" t="inlineStr">
        <is>
          <t>Taiwan insert 4 禁忌 — https://mcp.fda.gov.tw/im_detail_1/%E8%A1%9B%E9%83%A8%E8%97%A5%E8%BC%B8%E5%AD%97%E7%AC%AC027323%E8%99%9F</t>
        </is>
      </c>
      <c r="J222" s="3" t="inlineStr">
        <is>
          <t>Open</t>
        </is>
      </c>
      <c r="K222" s="3" t="inlineStr"/>
    </row>
    <row r="223">
      <c r="A223" s="3" t="n">
        <v>1430</v>
      </c>
      <c r="B223" s="3" t="inlineStr">
        <is>
          <t>Maviret (Glecaprevir/Pibrentasvir) (MAV01)</t>
        </is>
      </c>
      <c r="C223" s="7" t="inlineStr">
        <is>
          <t>High</t>
        </is>
      </c>
      <c r="D223" s="3" t="inlineStr">
        <is>
          <t>Contraindication/warning</t>
        </is>
      </c>
      <c r="E223" s="3" t="inlineStr">
        <is>
          <t>Missing boxed warning</t>
        </is>
      </c>
      <c r="F223" s="3" t="inlineStr">
        <is>
          <t>Add HBV reactivation boxed warning; test HBsAg/anti-HBc before treatment.</t>
        </is>
      </c>
      <c r="G223" s="3" t="inlineStr">
        <is>
          <t>No HBV screening or HBV reactivation warning anywhere on the page (注意事項 is empty).</t>
        </is>
      </c>
      <c r="H223" s="3" t="inlineStr">
        <is>
          <t>US Boxed Warning: risk of HBV reactivation in HCV/HBV coinfected patients. Test HBsAg and anti-HBc before starting. TW 3.1.1 and 5.1.1 require the same screening and monitoring.</t>
        </is>
      </c>
      <c r="I223" s="3" t="inlineStr">
        <is>
          <t>US FDA label Boxed Warning and 5.1 — https://dailymed.nlm.nih.gov/dailymed/drugInfo.cfm?setid=7bf99777-0401-9095-8645-16c6e907fcc0 ; Taiwan insert 3.1.1, 5.1.1</t>
        </is>
      </c>
      <c r="J223" s="3" t="inlineStr">
        <is>
          <t>Open</t>
        </is>
      </c>
      <c r="K223" s="3" t="inlineStr"/>
    </row>
    <row r="224">
      <c r="A224" s="3" t="n">
        <v>1438</v>
      </c>
      <c r="B224" s="3" t="inlineStr">
        <is>
          <t>Maviret (Glecaprevir/Pibrentasvir) (MAV01)</t>
        </is>
      </c>
      <c r="C224" s="7" t="inlineStr">
        <is>
          <t>High</t>
        </is>
      </c>
      <c r="D224" s="3" t="inlineStr">
        <is>
          <t>Contraindication/warning</t>
        </is>
      </c>
      <c r="E224" s="3" t="inlineStr"/>
      <c r="F224" s="3" t="inlineStr">
        <is>
          <t>Replace 'severe liver disease' with Child-Pugh B/C or prior decompensation; list contraindicated drugs.</t>
        </is>
      </c>
      <c r="G224" s="3" t="inlineStr">
        <is>
          <t>1. Hypersensitivity 2. Severe liver disease</t>
        </is>
      </c>
      <c r="H224" s="3" t="inlineStr">
        <is>
          <t>Should read: moderate or severe hepatic impairment (Child-Pugh B or C) OR any prior hepatic decompensation. Also contraindicated with atazanavir, simvastatin, dabigatran etexilate, EE &gt;20 µg, and rifampicin. 'Severe liver disease' is vague and could imply CP-B is allowed. The page's own 肝功能調整劑量 field correctly says CP-B is contraindicated.</t>
        </is>
      </c>
      <c r="I224" s="3" t="inlineStr">
        <is>
          <t>TW insert §4; US label §4</t>
        </is>
      </c>
      <c r="J224" s="3" t="inlineStr">
        <is>
          <t>Open</t>
        </is>
      </c>
      <c r="K224" s="3" t="inlineStr"/>
    </row>
    <row r="225">
      <c r="A225" s="3" t="n">
        <v>1439</v>
      </c>
      <c r="B225" s="3" t="inlineStr">
        <is>
          <t>Maviret (Glecaprevir/Pibrentasvir) (MAV01)</t>
        </is>
      </c>
      <c r="C225" s="7" t="inlineStr">
        <is>
          <t>High</t>
        </is>
      </c>
      <c r="D225" s="3" t="inlineStr">
        <is>
          <t>Contraindication/warning</t>
        </is>
      </c>
      <c r="E225" s="3" t="inlineStr">
        <is>
          <t>Missing boxed warning</t>
        </is>
      </c>
      <c r="F225" s="3" t="inlineStr">
        <is>
          <t>Add HBV reactivation boxed warning, hepatic decompensation and hypoglycaemia warnings.</t>
        </is>
      </c>
      <c r="G225" s="3" t="inlineStr">
        <is>
          <t>No HBV screening or reactivation warning; no hepatic decompensation warning; no hypoglycaemia warning</t>
        </is>
      </c>
      <c r="H225" s="3" t="inlineStr">
        <is>
          <t>US boxed warning and TW 5.1.1: test HBsAg and anti-HBc before treatment and monitor for HBV reactivation (fatal cases reported). TW 5.1.2: risk of decompensation or failure, mostly in the first 4 wk. TW 5.1.4: hypoglycaemia in diabetics.</t>
        </is>
      </c>
      <c r="I225" s="3" t="inlineStr">
        <is>
          <t>TW insert 3.1.1, 5.1.1, 5.1.2, 5.1.4; US label Boxed Warning/5.1</t>
        </is>
      </c>
      <c r="J225" s="3" t="inlineStr">
        <is>
          <t>Open</t>
        </is>
      </c>
      <c r="K225" s="3" t="inlineStr"/>
    </row>
    <row r="226">
      <c r="A226" s="3" t="n">
        <v>1427</v>
      </c>
      <c r="B226" s="3" t="inlineStr">
        <is>
          <t>Maviret (Glecaprevir/Pibrentasvir) (MAV01)</t>
        </is>
      </c>
      <c r="C226" s="7" t="inlineStr">
        <is>
          <t>High</t>
        </is>
      </c>
      <c r="D226" s="3" t="inlineStr">
        <is>
          <t>Dosing – adult</t>
        </is>
      </c>
      <c r="E226" s="3" t="inlineStr"/>
      <c r="F226" s="3" t="inlineStr">
        <is>
          <t>Add treatment-naïve 8-week GT1–6 regimen, transplant regimen, and take with food.</t>
        </is>
      </c>
      <c r="G226" s="3" t="inlineStr">
        <is>
          <t>Lists only treatment-experienced regimens: GT1 NS5A-experienced 16 wk; GT1 PI-experienced 12 wk; PRS-experienced GT1,2,4,5,6 8/12 wk; GT3 16 wk. 'Three tablets once daily', with no 'with food'.</t>
        </is>
      </c>
      <c r="H226" s="3" t="inlineStr">
        <is>
          <t>TW 表1: treatment-naïve GT1–6, 8 wk with or without compensated cirrhosis (the most common use). 3.3.1: liver or kidney transplant 12 wk (16 wk in the GT1 NS5A-experienced or GT3 PRS-experienced subgroups). 3.1.2: take with food (隨餐一次服用三顆錠劑).</t>
        </is>
      </c>
      <c r="I226" s="3" t="inlineStr">
        <is>
          <t>Taiwan insert 3.1.2 and 3.3.1 — https://mcp.fda.gov.tw/im_detail_1/%E8%A1%9B%E9%83%A8%E8%97%A5%E8%BC%B8%E5%AD%97%E7%AC%AC027323%E8%99%9F ; US FDA label 2.2, 2.3, 2.6 — https://dailymed.nlm.nih.gov/dailymed/drugInfo.cfm?setid=7bf99777-0401-9095-8645-16c6e907fcc0</t>
        </is>
      </c>
      <c r="J226" s="3" t="inlineStr">
        <is>
          <t>Open</t>
        </is>
      </c>
      <c r="K226" s="3" t="inlineStr"/>
    </row>
    <row r="227">
      <c r="A227" s="3" t="n">
        <v>1437</v>
      </c>
      <c r="B227" s="3" t="inlineStr">
        <is>
          <t>Maviret (Glecaprevir/Pibrentasvir) (MAV01)</t>
        </is>
      </c>
      <c r="C227" s="7" t="inlineStr">
        <is>
          <t>High</t>
        </is>
      </c>
      <c r="D227" s="3" t="inlineStr">
        <is>
          <t>Dosing – adult</t>
        </is>
      </c>
      <c r="E227" s="3" t="inlineStr"/>
      <c r="F227" s="3" t="inlineStr">
        <is>
          <t>Add treatment-naïve 8-wk regimen, transplant regimen, and instruction to take with food.</t>
        </is>
      </c>
      <c r="G227" s="3" t="inlineStr">
        <is>
          <t>Lists only treatment-experienced regimens (GT1 NS5A-exp 16 wk; PI-exp 12 wk; GT1,2,4,5,6 PRS 8/12 wk; GT3 PRS 16 wk). Does not say 'with food'.</t>
        </is>
      </c>
      <c r="H227" s="3" t="inlineStr">
        <is>
          <t>The treatment-naive regimen, which covers most patients, is missing: GT1–6 for 8 wk with or without compensated cirrhosis. The transplant regimen is also missing: 12 wk, or 16 wk for GT1 NS5A-exp/GT3 PRS-exp. Tablets must be taken with food.</t>
        </is>
      </c>
      <c r="I227" s="3" t="inlineStr">
        <is>
          <t>TW insert 3.1.2 表1, 3.3.1; US label 2.2–2.3, 2.6</t>
        </is>
      </c>
      <c r="J227" s="3" t="inlineStr">
        <is>
          <t>Open</t>
        </is>
      </c>
      <c r="K227" s="3" t="inlineStr"/>
    </row>
    <row r="228">
      <c r="A228" s="3" t="n">
        <v>1431</v>
      </c>
      <c r="B228" s="3" t="inlineStr">
        <is>
          <t>Maviret (Glecaprevir/Pibrentasvir) (MAV01)</t>
        </is>
      </c>
      <c r="C228" s="7" t="inlineStr">
        <is>
          <t>High</t>
        </is>
      </c>
      <c r="D228" s="3" t="inlineStr">
        <is>
          <t>Dosing – hepatic</t>
        </is>
      </c>
      <c r="E228" s="3" t="inlineStr"/>
      <c r="F228" s="3" t="inlineStr">
        <is>
          <t>Add contraindication for any prior hepatic decompensation, even if Child-Pugh A.</t>
        </is>
      </c>
      <c r="G228" s="3" t="inlineStr">
        <is>
          <t>Child-Pugh A no adjustment; Child-Pugh B and C contraindicated.</t>
        </is>
      </c>
      <c r="H228" s="3" t="inlineStr">
        <is>
          <t>Correct, but it omits that the drug is also contraindicated after any prior hepatic decompensation, even in Child-Pugh A.</t>
        </is>
      </c>
      <c r="I228" s="3" t="inlineStr">
        <is>
          <t>Taiwan insert 3.3.2 and 4 — https://mcp.fda.gov.tw/im_detail_1/%E8%A1%9B%E9%83%A8%E8%97%A5%E8%BC%B8%E5%AD%97%E7%AC%AC027323%E8%99%9F</t>
        </is>
      </c>
      <c r="J228" s="3" t="inlineStr">
        <is>
          <t>Open</t>
        </is>
      </c>
      <c r="K228" s="3" t="inlineStr"/>
    </row>
    <row r="229">
      <c r="A229" s="3" t="n">
        <v>1440</v>
      </c>
      <c r="B229" s="3" t="inlineStr">
        <is>
          <t>Maviret (Glecaprevir/Pibrentasvir) (MAV01)</t>
        </is>
      </c>
      <c r="C229" s="7" t="inlineStr">
        <is>
          <t>High</t>
        </is>
      </c>
      <c r="D229" s="3" t="inlineStr">
        <is>
          <t>Drug interaction</t>
        </is>
      </c>
      <c r="E229" s="3" t="inlineStr">
        <is>
          <t>Interaction list incomplete</t>
        </is>
      </c>
      <c r="F229" s="3" t="inlineStr">
        <is>
          <t>Add interactions: contraindicated rifampicin, atazanavir, simvastatin, dabigatran, EE &gt;20 µg; statin limits, digoxin, INR.</t>
        </is>
      </c>
      <c r="G229" s="3" t="inlineStr">
        <is>
          <t>No interaction information</t>
        </is>
      </c>
      <c r="H229" s="3" t="inlineStr">
        <is>
          <t>Contraindicated: rifampicin and atazanavir (all labels); simvastatin, dabigatran, EE &gt;20 µg (TW). Not recommended: carbamazepine, phenytoin, efavirenz, St John's wort, darunavir, lopinavir/r, atorvastatin, lovastatin, ciclosporin &gt;100 mg/d. Dose limits: pravastatin ≤20 mg, rosuvastatin ≤10 mg. Monitor digoxin and INR.</t>
        </is>
      </c>
      <c r="I229" s="3" t="inlineStr">
        <is>
          <t>TW insert §4, 5.1.3, 7.3 表3</t>
        </is>
      </c>
      <c r="J229" s="3" t="inlineStr">
        <is>
          <t>Open</t>
        </is>
      </c>
      <c r="K229" s="3" t="inlineStr"/>
    </row>
    <row r="230">
      <c r="A230" s="3" t="n">
        <v>397</v>
      </c>
      <c r="B230" s="3" t="inlineStr">
        <is>
          <t>Menocik (minocycline) (MEN04, MER01)</t>
        </is>
      </c>
      <c r="C230" s="7" t="inlineStr">
        <is>
          <t>High</t>
        </is>
      </c>
      <c r="D230" s="3" t="inlineStr">
        <is>
          <t>Contraindication/warning</t>
        </is>
      </c>
      <c r="E230" s="3" t="inlineStr"/>
      <c r="F230" s="3" t="inlineStr">
        <is>
          <t>Add TW insert contraindication: avoid in pregnancy, infants and children (fetal toxicity, tooth discoloration)</t>
        </is>
      </c>
      <c r="G230" s="3" t="inlineStr">
        <is>
          <t>Hypersensitivity to any tetracycline or any component of the product (only)</t>
        </is>
      </c>
      <c r="H230" s="3" t="inlineStr">
        <is>
          <t>Mero Taiwan insert §4 禁忌 also lists '孕婦、嬰兒和孩童應避免使用本品，因四環素類製品具胎兒毒害，且會造成發育期牙齒的永久變色'.</t>
        </is>
      </c>
      <c r="I230" s="3" t="inlineStr">
        <is>
          <t>https://mcp.fda.gov.tw/im_detail_1/%E8%A1%9B%E7%BD%B2%E8%97%A5%E8%A3%BD%E5%AD%97%E7%AC%AC036940%E8%99%9F</t>
        </is>
      </c>
      <c r="J230" s="3" t="inlineStr">
        <is>
          <t>Open</t>
        </is>
      </c>
      <c r="K230" s="3" t="inlineStr"/>
    </row>
    <row r="231">
      <c r="A231" s="3" t="n">
        <v>391</v>
      </c>
      <c r="B231" s="3" t="inlineStr">
        <is>
          <t>Menocik (minocycline) (MEN04, MER01)</t>
        </is>
      </c>
      <c r="C231" s="7" t="inlineStr">
        <is>
          <t>High</t>
        </is>
      </c>
      <c r="D231" s="3" t="inlineStr">
        <is>
          <t>Dosing – pediatric</t>
        </is>
      </c>
      <c r="E231" s="3" t="inlineStr"/>
      <c r="F231" s="3" t="inlineStr">
        <is>
          <t>Pediatric max: not to exceed usual adult dose (200 mg load, then 100 mg q12h), not 400 mg/day</t>
        </is>
      </c>
      <c r="G231" s="3" t="inlineStr">
        <is>
          <t>Children &gt;8 y: 4 mg/kg once, then 2 mg/kg q12h (maximum: 400 mg daily)</t>
        </is>
      </c>
      <c r="H231" s="3" t="inlineStr">
        <is>
          <t>US FDA IV label: 'not to exceed the usual adult dose', i.e. 200 mg initially, then 100 mg q12h. The Menocik insert gives no pediatric maximum.</t>
        </is>
      </c>
      <c r="I231" s="3" t="inlineStr">
        <is>
          <t>https://dailymed.nlm.nih.gov/dailymed/drugInfo.cfm?setid=e415c323-8219-464b-9e3e-72c5a796cdaa</t>
        </is>
      </c>
      <c r="J231" s="3" t="inlineStr">
        <is>
          <t>Open</t>
        </is>
      </c>
      <c r="K231" s="3" t="inlineStr"/>
    </row>
    <row r="232">
      <c r="A232" s="3" t="n">
        <v>396</v>
      </c>
      <c r="B232" s="3" t="inlineStr">
        <is>
          <t>Menocik (minocycline) (MEN04, MER01)</t>
        </is>
      </c>
      <c r="C232" s="7" t="inlineStr">
        <is>
          <t>High</t>
        </is>
      </c>
      <c r="D232" s="3" t="inlineStr">
        <is>
          <t>Dosing – pediatric</t>
        </is>
      </c>
      <c r="E232" s="3" t="inlineStr"/>
      <c r="F232" s="3" t="inlineStr">
        <is>
          <t>Pediatric max: not to exceed usual adult dose (100 mg q12h after 200 mg load)</t>
        </is>
      </c>
      <c r="G232" s="3" t="inlineStr">
        <is>
          <t>Children &gt;8 y: 4 mg/kg once, then 2 mg/kg q12h (maximum: 400 mg daily) (UTD)</t>
        </is>
      </c>
      <c r="H232" s="3" t="inlineStr">
        <is>
          <t>US FDA oral label: '4 mg/kg initially followed by 2 mg/kg every 12 hours, not to exceed the usual adult dose', i.e. 200 mg initially, then 100 mg q12h. The Mero insert gives no maximum.</t>
        </is>
      </c>
      <c r="I232" s="3" t="inlineStr">
        <is>
          <t>https://dailymed.nlm.nih.gov/dailymed/drugInfo.cfm?setid=a5fc4d50-50b2-46e0-b722-4c6b2ec47d06</t>
        </is>
      </c>
      <c r="J232" s="3" t="inlineStr">
        <is>
          <t>Open</t>
        </is>
      </c>
      <c r="K232" s="3" t="inlineStr"/>
    </row>
    <row r="233">
      <c r="A233" s="3" t="n">
        <v>399</v>
      </c>
      <c r="B233" s="3" t="inlineStr">
        <is>
          <t>Menocik (minocycline) (MEN04, MER01)</t>
        </is>
      </c>
      <c r="C233" s="7" t="inlineStr">
        <is>
          <t>High</t>
        </is>
      </c>
      <c r="D233" s="3" t="inlineStr">
        <is>
          <t>Dosing – pediatric</t>
        </is>
      </c>
      <c r="E233" s="3" t="inlineStr"/>
      <c r="F233" s="3" t="inlineStr">
        <is>
          <t>Change pediatric max from 400 mg/day to usual adult dose (200 mg/day maintenance)</t>
        </is>
      </c>
      <c r="G233" s="3" t="inlineStr">
        <is>
          <t>Children &gt;8 y: 4 mg/kg then 2 mg/kg q12h (maximum: 400 mg daily)</t>
        </is>
      </c>
      <c r="H233" s="3" t="inlineStr">
        <is>
          <t>FDA IV and oral labels say 'not to exceed the usual adult dose' (usual adult maintenance is 100 mg q12h, i.e. 200 mg/day after the loading dose). The TW inserts give no pediatric maximum. A 400 mg/day maximum is the adult ceiling, not the usual adult dose.</t>
        </is>
      </c>
      <c r="I233" s="3" t="inlineStr">
        <is>
          <t>FDA MINOCIN IV label D&amp;A https://dailymed.nlm.nih.gov/dailymed/drugInfo.cfm?setid=e415c323-8219-464b-9e3e-72c5a796cdaa ; FDA oral label D&amp;A https://dailymed.nlm.nih.gov/dailymed/drugInfo.cfm?setid=a5fc4d50-50b2-46e0-b722-4c6b2ec47d06</t>
        </is>
      </c>
      <c r="J233" s="3" t="inlineStr">
        <is>
          <t>Open</t>
        </is>
      </c>
      <c r="K233" s="3" t="inlineStr"/>
    </row>
    <row r="234">
      <c r="A234" s="3" t="n">
        <v>3</v>
      </c>
      <c r="B234" s="3" t="inlineStr">
        <is>
          <t>Meropenem (MER02)</t>
        </is>
      </c>
      <c r="C234" s="7" t="inlineStr">
        <is>
          <t>High</t>
        </is>
      </c>
      <c r="D234" s="3" t="inlineStr">
        <is>
          <t>Administration/compatibility</t>
        </is>
      </c>
      <c r="E234" s="3" t="inlineStr"/>
      <c r="F234" s="3" t="inlineStr">
        <is>
          <t>Shorten stability: NS 1 h at ≤25 °C / 15 h at ≤5 °C; D5W use immediately (US label)</t>
        </is>
      </c>
      <c r="G234" s="3" t="inlineStr">
        <is>
          <t>NS: 2 h at 15–25 °C / 18 h at 4 °C; D5W: 1 h / 8 h</t>
        </is>
      </c>
      <c r="H234" s="3" t="inlineStr">
        <is>
          <t>Infusion in NS: 1 h at ≤25 °C / 15 h at ≤5 °C; in D5W: use immediately. Bolus vial in SWFI: 3 h / 13 h</t>
        </is>
      </c>
      <c r="I234" s="3" t="inlineStr">
        <is>
          <t>US label §2 (DailyMed 2026)</t>
        </is>
      </c>
      <c r="J234" s="3" t="inlineStr">
        <is>
          <t>Open</t>
        </is>
      </c>
      <c r="K234" s="3" t="inlineStr"/>
    </row>
    <row r="235">
      <c r="A235" s="3" t="n">
        <v>680</v>
      </c>
      <c r="B235" s="3" t="inlineStr">
        <is>
          <t>Mosflow (Moxifloxacin) (MOS04, FLO02)</t>
        </is>
      </c>
      <c r="C235" s="7" t="inlineStr">
        <is>
          <t>High</t>
        </is>
      </c>
      <c r="D235" s="3" t="inlineStr">
        <is>
          <t>Breastfeeding</t>
        </is>
      </c>
      <c r="E235" s="3" t="inlineStr"/>
      <c r="F235" s="3" t="inlineStr">
        <is>
          <t>Fill MOS04 lactation: contraindicated per TW §6.2; FLO02 'Avoided' → contraindicated</t>
        </is>
      </c>
      <c r="G235" s="3" t="inlineStr">
        <is>
          <t>(blank)</t>
        </is>
      </c>
      <c r="H235" s="3" t="inlineStr">
        <is>
          <t>TW insert 6.2: 哺乳婦女禁止使用 (contraindicated in breastfeeding). LactMed has no human data and prefers an alternative. FLO02 says 'Avoided', which is closer, but the insert says contraindicated.</t>
        </is>
      </c>
      <c r="I235" s="3" t="inlineStr">
        <is>
          <t>Mosflow 仿單 6.2; LactMed NBK501040 https://www.ncbi.nlm.nih.gov/books/NBK501040/</t>
        </is>
      </c>
      <c r="J235" s="3" t="inlineStr">
        <is>
          <t>Open</t>
        </is>
      </c>
      <c r="K235" s="3" t="inlineStr"/>
    </row>
    <row r="236">
      <c r="A236" s="3" t="n">
        <v>688</v>
      </c>
      <c r="B236" s="3" t="inlineStr">
        <is>
          <t>Mosflow (Moxifloxacin) (MOS04, FLO02)</t>
        </is>
      </c>
      <c r="C236" s="7" t="inlineStr">
        <is>
          <t>High</t>
        </is>
      </c>
      <c r="D236" s="3" t="inlineStr">
        <is>
          <t>Breastfeeding</t>
        </is>
      </c>
      <c r="E236" s="3" t="inlineStr"/>
      <c r="F236" s="3" t="inlineStr">
        <is>
          <t>Fill MOS04 lactation: contraindicated (TW §6.2); LactMed prefers cipro/levofloxacin</t>
        </is>
      </c>
      <c r="G236" s="3" t="inlineStr">
        <is>
          <t>(blank)</t>
        </is>
      </c>
      <c r="H236" s="3" t="inlineStr">
        <is>
          <t>Mosflow TW insert §6.2: 使用moxifloxacin於哺乳婦女是禁止的. LactMed: no data; prefer an alternative (ciprofloxacin/levofloxacin).</t>
        </is>
      </c>
      <c r="I236" s="3" t="inlineStr">
        <is>
          <t>https://mcp.fda.gov.tw/im_detail_1/%E8%A1%9B%E7%BD%B2%E8%97%A5%E8%A3%BD%E5%AD%97%E7%AC%AC057910%E8%99%9F ; https://www.ncbi.nlm.nih.gov/books/NBK501040/</t>
        </is>
      </c>
      <c r="J236" s="3" t="inlineStr">
        <is>
          <t>Open</t>
        </is>
      </c>
      <c r="K236" s="3" t="inlineStr"/>
    </row>
    <row r="237">
      <c r="A237" s="3" t="n">
        <v>679</v>
      </c>
      <c r="B237" s="3" t="inlineStr">
        <is>
          <t>Mosflow (Moxifloxacin) (MOS04, FLO02)</t>
        </is>
      </c>
      <c r="C237" s="7" t="inlineStr">
        <is>
          <t>High</t>
        </is>
      </c>
      <c r="D237" s="3" t="inlineStr">
        <is>
          <t>Contraindication/warning</t>
        </is>
      </c>
      <c r="E237" s="3" t="inlineStr"/>
      <c r="F237" s="3" t="inlineStr">
        <is>
          <t>Add pregnancy and breastfeeding as contraindications for MOS04 and FLO02 (TW §4)</t>
        </is>
      </c>
      <c r="G237" s="3" t="inlineStr">
        <is>
          <t>Hypersensitivity only.</t>
        </is>
      </c>
      <c r="H237" s="3" t="inlineStr">
        <is>
          <t>Both TW inserts (section 4) also contraindicate use in pregnant and breastfeeding women (懷孕和哺乳婦女).</t>
        </is>
      </c>
      <c r="I237" s="3" t="inlineStr">
        <is>
          <t>Mosflow/Floxsafe 仿單 4 禁忌 (URLs above)</t>
        </is>
      </c>
      <c r="J237" s="3" t="inlineStr">
        <is>
          <t>Open</t>
        </is>
      </c>
      <c r="K237" s="3" t="inlineStr"/>
    </row>
    <row r="238">
      <c r="A238" s="3" t="n">
        <v>686</v>
      </c>
      <c r="B238" s="3" t="inlineStr">
        <is>
          <t>Mosflow (Moxifloxacin) (MOS04, FLO02)</t>
        </is>
      </c>
      <c r="C238" s="7" t="inlineStr">
        <is>
          <t>High</t>
        </is>
      </c>
      <c r="D238" s="3" t="inlineStr">
        <is>
          <t>Contraindication/warning</t>
        </is>
      </c>
      <c r="E238" s="3" t="inlineStr"/>
      <c r="F238" s="3" t="inlineStr">
        <is>
          <t>Add pregnancy/lactation contraindication; add avoid in QT prolongation, hypokalaemia, class IA/III antiarrhythmics</t>
        </is>
      </c>
      <c r="G238" s="3" t="inlineStr">
        <is>
          <t>Hypersensitivity to moxifloxacin, other quinolone antibiotics, or any component of the formulation (only)</t>
        </is>
      </c>
      <c r="H238" s="3" t="inlineStr">
        <is>
          <t>Mosflow TW insert §4 also lists 懷孕和哺乳婦女. Under §5.1, use must be avoided in known QT prolongation, uncorrected hypokalaemia, and with class IA/III antiarrhythmics.</t>
        </is>
      </c>
      <c r="I238" s="3" t="inlineStr">
        <is>
          <t>https://mcp.fda.gov.tw/im_detail_1/%E8%A1%9B%E7%BD%B2%E8%97%A5%E8%A3%BD%E5%AD%97%E7%AC%AC057910%E8%99%9F</t>
        </is>
      </c>
      <c r="J238" s="3" t="inlineStr">
        <is>
          <t>Open</t>
        </is>
      </c>
      <c r="K238" s="3" t="inlineStr"/>
    </row>
    <row r="239">
      <c r="A239" s="3" t="n">
        <v>687</v>
      </c>
      <c r="B239" s="3" t="inlineStr">
        <is>
          <t>Mosflow (Moxifloxacin) (MOS04, FLO02)</t>
        </is>
      </c>
      <c r="C239" s="7" t="inlineStr">
        <is>
          <t>High</t>
        </is>
      </c>
      <c r="D239" s="3" t="inlineStr">
        <is>
          <t>Contraindication/warning</t>
        </is>
      </c>
      <c r="E239" s="3" t="inlineStr"/>
      <c r="F239" s="3" t="inlineStr">
        <is>
          <t>Add pregnancy and breastfeeding contraindication to FLO02 (Floxsafe TW §4)</t>
        </is>
      </c>
      <c r="G239" s="3" t="inlineStr">
        <is>
          <t>Hypersensitivity to moxifloxacin or quinolones (only)</t>
        </is>
      </c>
      <c r="H239" s="3" t="inlineStr">
        <is>
          <t>Floxsafe TW insert §4 also lists 懷孕和哺乳婦女.</t>
        </is>
      </c>
      <c r="I239" s="3" t="inlineStr">
        <is>
          <t>https://mcp.fda.gov.tw/im_detail_1/%E8%A1%9B%E9%83%A8%E8%97%A5%E8%BC%B8%E5%AD%97%E7%AC%AC026701%E8%99%9F</t>
        </is>
      </c>
      <c r="J239" s="3" t="inlineStr">
        <is>
          <t>Open</t>
        </is>
      </c>
      <c r="K239" s="3" t="inlineStr"/>
    </row>
    <row r="240">
      <c r="A240" s="3" t="n">
        <v>691</v>
      </c>
      <c r="B240" s="3" t="inlineStr">
        <is>
          <t>Mosflow (Moxifloxacin) (MOS04, FLO02)</t>
        </is>
      </c>
      <c r="C240" s="7" t="inlineStr">
        <is>
          <t>High</t>
        </is>
      </c>
      <c r="D240" s="3" t="inlineStr">
        <is>
          <t>Contraindication/warning</t>
        </is>
      </c>
      <c r="E240" s="3" t="inlineStr">
        <is>
          <t>Missing boxed warning</t>
        </is>
      </c>
      <c r="F240" s="3" t="inlineStr">
        <is>
          <t>Add fluoroquinolone boxed warning: reserve AECB/sinusitis for no alternative (both MOS04, FLO02)</t>
        </is>
      </c>
      <c r="G240" s="3" t="inlineStr">
        <is>
          <t>Indication list has no reserve/boxed-warning qualifier</t>
        </is>
      </c>
      <c r="H240" s="3" t="inlineStr">
        <is>
          <t>The TW 特殊警語 says AECB and acute sinusitis are reserved for when there is no alternative. The FLO02 list names both without that restriction; MOS04 has the same omission.</t>
        </is>
      </c>
      <c r="I240" s="3" t="inlineStr">
        <is>
          <t>https://mcp.fda.gov.tw/im_detail_1/%E8%A1%9B%E9%83%A8%E8%97%A5%E8%BC%B8%E5%AD%97%E7%AC%AC026701%E8%99%9F</t>
        </is>
      </c>
      <c r="J240" s="3" t="inlineStr">
        <is>
          <t>Open</t>
        </is>
      </c>
      <c r="K240" s="3" t="inlineStr"/>
    </row>
    <row r="241">
      <c r="A241" s="3" t="n">
        <v>676</v>
      </c>
      <c r="B241" s="3" t="inlineStr">
        <is>
          <t>Mosflow (Moxifloxacin) (MOS04, FLO02)</t>
        </is>
      </c>
      <c r="C241" s="7" t="inlineStr">
        <is>
          <t>High</t>
        </is>
      </c>
      <c r="D241" s="3" t="inlineStr">
        <is>
          <t>Pregnancy</t>
        </is>
      </c>
      <c r="E241" s="3" t="inlineStr">
        <is>
          <t>FDA letter category</t>
        </is>
      </c>
      <c r="F241" s="3" t="inlineStr">
        <is>
          <t>Replace category C with: contraindicated in pregnancy (TW insert §4/§6.1, UK SmPC)</t>
        </is>
      </c>
      <c r="G241" s="3" t="inlineStr">
        <is>
          <t>C</t>
        </is>
      </c>
      <c r="H241" s="3" t="inlineStr">
        <is>
          <t>The FDA retired letter categories. US 8.1 is narrative (may cause fetal harm based on animal data). The Mosflow and Floxsafe TW inserts (4 禁忌, 6.1) and UK SmPC 4.3/4.6 contraindicate use in pregnancy.</t>
        </is>
      </c>
      <c r="I241" s="3" t="inlineStr">
        <is>
          <t>Mosflow 仿單 https://mcp.fda.gov.tw/im_detail_1/%E8%A1%9B%E7%BD%B2%E8%97%A5%E8%A3%BD%E5%AD%97%E7%AC%AC057910%E8%99%9F ; US label 8.1 https://dailymed.nlm.nih.gov/dailymed/drugInfo.cfm?setid=656f582c-ecba-4ec8-9420-9562114d889b</t>
        </is>
      </c>
      <c r="J241" s="3" t="inlineStr">
        <is>
          <t>Open</t>
        </is>
      </c>
      <c r="K241" s="3" t="inlineStr"/>
    </row>
    <row r="242">
      <c r="A242" s="3" t="n">
        <v>684</v>
      </c>
      <c r="B242" s="3" t="inlineStr">
        <is>
          <t>Mosflow (Moxifloxacin) (MOS04, FLO02)</t>
        </is>
      </c>
      <c r="C242" s="7" t="inlineStr">
        <is>
          <t>High</t>
        </is>
      </c>
      <c r="D242" s="3" t="inlineStr">
        <is>
          <t>Pregnancy</t>
        </is>
      </c>
      <c r="E242" s="3" t="inlineStr">
        <is>
          <t>FDA letter category</t>
        </is>
      </c>
      <c r="F242" s="3" t="inlineStr">
        <is>
          <t>Replace MOS04 category C with: contraindicated in pregnancy (TW §4/§6.1)</t>
        </is>
      </c>
      <c r="G242" s="3" t="inlineStr">
        <is>
          <t>C</t>
        </is>
      </c>
      <c r="H242" s="3" t="inlineStr">
        <is>
          <t>FDA letter categories are retired; US 8.1 is a PLLR narrative ('may cause fetal harm'). The Mosflow TW insert (§4 禁忌, §6.1) and UK SmPC 4.3/4.6 contraindicate use in pregnancy.</t>
        </is>
      </c>
      <c r="I242" s="3" t="inlineStr">
        <is>
          <t>https://mcp.fda.gov.tw/im_detail_1/%E8%A1%9B%E7%BD%B2%E8%97%A5%E8%A3%BD%E5%AD%97%E7%AC%AC057910%E8%99%9F ; https://dailymed.nlm.nih.gov/dailymed/drugInfo.cfm?setid=656f582c-ecba-4ec8-9420-9562114d889b ; hospital page https://pharmacy.fjuh.fju.edu.tw/Key_Search/P4?query=MOS04</t>
        </is>
      </c>
      <c r="J242" s="3" t="inlineStr">
        <is>
          <t>Open</t>
        </is>
      </c>
      <c r="K242" s="3" t="inlineStr"/>
    </row>
    <row r="243">
      <c r="A243" s="3" t="n">
        <v>685</v>
      </c>
      <c r="B243" s="3" t="inlineStr">
        <is>
          <t>Mosflow (Moxifloxacin) (MOS04, FLO02)</t>
        </is>
      </c>
      <c r="C243" s="7" t="inlineStr">
        <is>
          <t>High</t>
        </is>
      </c>
      <c r="D243" s="3" t="inlineStr">
        <is>
          <t>Pregnancy</t>
        </is>
      </c>
      <c r="E243" s="3" t="inlineStr">
        <is>
          <t>FDA letter category</t>
        </is>
      </c>
      <c r="F243" s="3" t="inlineStr">
        <is>
          <t>Replace FLO02 category C with: contraindicated in pregnancy (Floxsafe TW §4/§6.1)</t>
        </is>
      </c>
      <c r="G243" s="3" t="inlineStr">
        <is>
          <t>C</t>
        </is>
      </c>
      <c r="H243" s="3" t="inlineStr">
        <is>
          <t>Letter category retired. The Floxsafe TW insert §4/§6.1: 懷孕婦女禁用. UK SmPC 4.3 also contraindicates it.</t>
        </is>
      </c>
      <c r="I243" s="3" t="inlineStr">
        <is>
          <t>https://mcp.fda.gov.tw/im_detail_1/%E8%A1%9B%E9%83%A8%E8%97%A5%E8%BC%B8%E5%AD%97%E7%AC%AC026701%E8%99%9F ; hospital page https://pharmacy.fjuh.fju.edu.tw/Key_Search/P4?query=FLO02</t>
        </is>
      </c>
      <c r="J243" s="3" t="inlineStr">
        <is>
          <t>Open</t>
        </is>
      </c>
      <c r="K243" s="3" t="inlineStr"/>
    </row>
    <row r="244">
      <c r="A244" s="3" t="n">
        <v>1135</v>
      </c>
      <c r="B244" s="3" t="inlineStr">
        <is>
          <t>Mycobutin (Rifabutin) (MYC07)</t>
        </is>
      </c>
      <c r="C244" s="7" t="inlineStr">
        <is>
          <t>High</t>
        </is>
      </c>
      <c r="D244" s="3" t="inlineStr">
        <is>
          <t>Dosing – adult</t>
        </is>
      </c>
      <c r="E244" s="3" t="inlineStr">
        <is>
          <t>Interaction list incomplete</t>
        </is>
      </c>
      <c r="F244" s="3" t="inlineStr">
        <is>
          <t>Add TB/NTM doses (150–600 mg) and reductions with clarithromycin, fluconazole, boosted PIs.</t>
        </is>
      </c>
      <c r="G244" s="3" t="inlineStr">
        <is>
          <t>300 mg/day PO only.</t>
        </is>
      </c>
      <c r="H244" s="3" t="inlineStr">
        <is>
          <t>300 mg QD applies only to MAC prophylaxis. In combination therapy TW gives 150 mg QD for new pulmonary TB, 300–450 mg for MDR chronic TB and 450–600 mg for NTM; UK gives 150–450 mg for TB and 450–600 mg for NTM. Doses must be reduced with clarithromycin, fluconazole and boosted PIs.</t>
        </is>
      </c>
      <c r="I244" s="3" t="inlineStr">
        <is>
          <t>TW 仿單 §3.1; UK SmPC §4.2</t>
        </is>
      </c>
      <c r="J244" s="3" t="inlineStr">
        <is>
          <t>Open</t>
        </is>
      </c>
      <c r="K244" s="3" t="inlineStr"/>
    </row>
    <row r="245">
      <c r="A245" s="3" t="n">
        <v>1132</v>
      </c>
      <c r="B245" s="3" t="inlineStr">
        <is>
          <t>Mycobutin (Rifabutin) (MYC07)</t>
        </is>
      </c>
      <c r="C245" s="7" t="inlineStr">
        <is>
          <t>High</t>
        </is>
      </c>
      <c r="D245" s="3" t="inlineStr">
        <is>
          <t>Dosing – renal/dialysis</t>
        </is>
      </c>
      <c r="E245" s="3" t="inlineStr">
        <is>
          <t>Renal table outdated</t>
        </is>
      </c>
      <c r="F245" s="3" t="inlineStr">
        <is>
          <t>Add: halve dose when CrCl &lt;30 mL/min per TW insert and UK SmPC.</t>
        </is>
      </c>
      <c r="G245" s="3" t="inlineStr">
        <is>
          <t>No dosage adjustment necessary; manufacturer recommends considering a 50% reduction if toxicity is suspected (US wording).</t>
        </is>
      </c>
      <c r="H245" s="3" t="inlineStr">
        <is>
          <t>The stocked product's TW insert, and the UK SmPC, require halving the dose when CrCl is below 30 mL/min. 'No adjustment' applies only to mild–moderate impairment.</t>
        </is>
      </c>
      <c r="I245" s="3" t="inlineStr">
        <is>
          <t>TW 仿單 §5.1 https://mcp.fda.gov.tw/im_detail_1/%E8%A1%9B%E7%BD%B2%E8%97%A5%E8%BC%B8%E5%AD%97%E7%AC%AC020999%E8%99%9F; UK SmPC §4.4</t>
        </is>
      </c>
      <c r="J245" s="3" t="inlineStr">
        <is>
          <t>Open</t>
        </is>
      </c>
      <c r="K245" s="3" t="inlineStr"/>
    </row>
    <row r="246">
      <c r="A246" s="3" t="n">
        <v>1140</v>
      </c>
      <c r="B246" s="3" t="inlineStr">
        <is>
          <t>Mycobutin (Rifabutin) (MYC07)</t>
        </is>
      </c>
      <c r="C246" s="7" t="inlineStr">
        <is>
          <t>High</t>
        </is>
      </c>
      <c r="D246" s="3" t="inlineStr">
        <is>
          <t>Dosing – renal/dialysis</t>
        </is>
      </c>
      <c r="E246" s="3" t="inlineStr">
        <is>
          <t>Renal table outdated</t>
        </is>
      </c>
      <c r="F246" s="3" t="inlineStr">
        <is>
          <t>Add: CrCl &lt;30 mL/min requires halving the dose (TW insert §5.1, UK §4.4).</t>
        </is>
      </c>
      <c r="G246" s="3" t="inlineStr">
        <is>
          <t>No dosage adjustment necessary; consider a 50% reduction if toxicity is suspected (US generic-label wording)</t>
        </is>
      </c>
      <c r="H246" s="3" t="inlineStr">
        <is>
          <t>仿單 §5.1 (stocked product) and UK §4.4: CrCl &lt;30 → dose must be halved (劑量需減半); no change for mild–moderate impairment</t>
        </is>
      </c>
      <c r="I246" s="3" t="inlineStr">
        <is>
          <t>仿單 §5.1 https://mcp.fda.gov.tw/im_detail_1/%E8%A1%9B%E7%BD%B2%E8%97%A5%E8%BC%B8%E5%AD%97%E7%AC%AC020999%E8%99%9F ; UK SmPC §4.4 https://www.medicines.org.uk/emc/product/1088/smpc</t>
        </is>
      </c>
      <c r="J246" s="3" t="inlineStr">
        <is>
          <t>Open</t>
        </is>
      </c>
      <c r="K246" s="3" t="inlineStr"/>
    </row>
    <row r="247">
      <c r="A247" s="3" t="n">
        <v>1134</v>
      </c>
      <c r="B247" s="3" t="inlineStr">
        <is>
          <t>Mycobutin (Rifabutin) (MYC07)</t>
        </is>
      </c>
      <c r="C247" s="7" t="inlineStr">
        <is>
          <t>High</t>
        </is>
      </c>
      <c r="D247" s="3" t="inlineStr">
        <is>
          <t>Drug interaction</t>
        </is>
      </c>
      <c r="E247" s="3" t="inlineStr">
        <is>
          <t>Interaction list incomplete</t>
        </is>
      </c>
      <c r="F247" s="3" t="inlineStr">
        <is>
          <t>Add contraindications: cabotegravir/rilpivirine LA injection, delavirdine, voriconazole; UK pregnancy/breastfeeding.</t>
        </is>
      </c>
      <c r="G247" s="3" t="inlineStr">
        <is>
          <t>Hypersensitivity to rifamycins (only).</t>
        </is>
      </c>
      <c r="H247" s="3" t="inlineStr">
        <is>
          <t>All three labels also contraindicate co-administration with long-acting injectable (cabotegravir/)rilpivirine. US Table 2 additionally marks delavirdine and voriconazole CONTRAINDICATED, and UK §4.3 lists pregnancy and breastfeeding.</t>
        </is>
      </c>
      <c r="I247" s="3" t="inlineStr">
        <is>
          <t>US label CONTRAINDICATIONS + Table 2; UK SmPC §4.3; TW 仿單 §4</t>
        </is>
      </c>
      <c r="J247" s="3" t="inlineStr">
        <is>
          <t>Open</t>
        </is>
      </c>
      <c r="K247" s="3" t="inlineStr"/>
    </row>
    <row r="248">
      <c r="A248" s="3" t="n">
        <v>1143</v>
      </c>
      <c r="B248" s="3" t="inlineStr">
        <is>
          <t>Mycobutin (Rifabutin) (MYC07)</t>
        </is>
      </c>
      <c r="C248" s="7" t="inlineStr">
        <is>
          <t>High</t>
        </is>
      </c>
      <c r="D248" s="3" t="inlineStr">
        <is>
          <t>Drug interaction</t>
        </is>
      </c>
      <c r="E248" s="3" t="inlineStr">
        <is>
          <t>Interaction list incomplete</t>
        </is>
      </c>
      <c r="F248" s="3" t="inlineStr">
        <is>
          <t>Add cabotegravir/rilpivirine LA, delavirdine and voriconazole contraindications; UK pregnancy/lactation.</t>
        </is>
      </c>
      <c r="G248" s="3" t="inlineStr">
        <is>
          <t>Hypersensitivity to rifamycins (only)</t>
        </is>
      </c>
      <c r="H248" s="3" t="inlineStr">
        <is>
          <t>Also contraindicated with cabotegravir/rilpivirine long-acting injection (仿單 §4; UK §4.3; US). US Table 2 also lists delavirdine and voriconazole as contraindicated. UK also lists pregnancy and breastfeeding.</t>
        </is>
      </c>
      <c r="I248" s="3" t="inlineStr">
        <is>
          <t>仿單 §4 https://mcp.fda.gov.tw/im_detail_1/%E8%A1%9B%E7%BD%B2%E8%97%A5%E8%BC%B8%E5%AD%97%E7%AC%AC020999%E8%99%9F ; US label Contraindications/Table 2 https://dailymed.nlm.nih.gov/dailymed/drugInfo.cfm?setid=baf8ec98-bd0c-4b87-a7ee-813335431b89 ; UK §4.3 https://www.medicines.org.uk/emc/product/1088/smpc</t>
        </is>
      </c>
      <c r="J248" s="3" t="inlineStr">
        <is>
          <t>Open</t>
        </is>
      </c>
      <c r="K248" s="3" t="inlineStr"/>
    </row>
    <row r="249">
      <c r="A249" s="3" t="n">
        <v>1286</v>
      </c>
      <c r="B249" s="3" t="inlineStr">
        <is>
          <t>Odefsey (Rilpivirine/Emtricitabine/TAF) (ODE01)</t>
        </is>
      </c>
      <c r="C249" s="7" t="inlineStr">
        <is>
          <t>High</t>
        </is>
      </c>
      <c r="D249" s="3" t="inlineStr">
        <is>
          <t>Contraindication/warning</t>
        </is>
      </c>
      <c r="E249" s="3" t="inlineStr">
        <is>
          <t>Interaction list incomplete</t>
        </is>
      </c>
      <c r="F249" s="3" t="inlineStr">
        <is>
          <t>Add rifabutin to contraindications per TW insert and UK SmPC.</t>
        </is>
      </c>
      <c r="G249" s="3" t="inlineStr">
        <is>
          <t>Carbamazepine, dexamethasone &gt;1 dose, oxcarbazepine, phenobarbital, phenytoin, PPIs, rifampin, rifapentine, St John's wort (rifabutin not listed)</t>
        </is>
      </c>
      <c r="H249" s="3" t="inlineStr">
        <is>
          <t>The TW insert for the stocked product and the UK SmPC also list rifabutin as contraindicated. Only the US label calls it 'not recommended'.</t>
        </is>
      </c>
      <c r="I249" s="3" t="inlineStr">
        <is>
          <t>TW insert 4 禁忌 — https://mcp.fda.gov.tw/im_detail_1/%E8%A1%9B%E9%83%A8%E8%97%A5%E8%BC%B8%E5%AD%97%E7%AC%AC027505%E8%99%9F ; UK SmPC 4.3 — https://www.medicines.org.uk/emc/product/7262/smpc</t>
        </is>
      </c>
      <c r="J249" s="3" t="inlineStr">
        <is>
          <t>Open</t>
        </is>
      </c>
      <c r="K249" s="3" t="inlineStr"/>
    </row>
    <row r="250">
      <c r="A250" s="3" t="n">
        <v>1293</v>
      </c>
      <c r="B250" s="3" t="inlineStr">
        <is>
          <t>Odefsey (Rilpivirine/Emtricitabine/TAF) (ODE01)</t>
        </is>
      </c>
      <c r="C250" s="7" t="inlineStr">
        <is>
          <t>High</t>
        </is>
      </c>
      <c r="D250" s="3" t="inlineStr">
        <is>
          <t>Contraindication/warning</t>
        </is>
      </c>
      <c r="E250" s="3" t="inlineStr">
        <is>
          <t>Missing boxed warning</t>
        </is>
      </c>
      <c r="F250" s="3" t="inlineStr">
        <is>
          <t>Add boxed warning: post-treatment HBV exacerbation; test for HBV before starting.</t>
        </is>
      </c>
      <c r="G250" s="3" t="inlineStr">
        <is>
          <t>No mention of the HBV flare on stopping or of HBV testing before starting</t>
        </is>
      </c>
      <c r="H250" s="3" t="inlineStr">
        <is>
          <t>US boxed warning: post-treatment acute exacerbation of hepatitis B. Test for HBV before starting (US 2.1/5.1; TW 5.1).</t>
        </is>
      </c>
      <c r="I250" s="3" t="inlineStr">
        <is>
          <t>US label Boxed Warning — https://dailymed.nlm.nih.gov/dailymed/drugInfo.cfm?setid=ea3b9ec8-e04a-412c-8b3f-e5cbc7e641d5</t>
        </is>
      </c>
      <c r="J250" s="3" t="inlineStr">
        <is>
          <t>Open</t>
        </is>
      </c>
      <c r="K250" s="3" t="inlineStr"/>
    </row>
    <row r="251">
      <c r="A251" s="3" t="n">
        <v>1279</v>
      </c>
      <c r="B251" s="3" t="inlineStr">
        <is>
          <t>Odefsey (Rilpivirine/Emtricitabine/TAF) (ODE01)</t>
        </is>
      </c>
      <c r="C251" s="7" t="inlineStr">
        <is>
          <t>High</t>
        </is>
      </c>
      <c r="D251" s="3" t="inlineStr">
        <is>
          <t>Dosing – renal/dialysis</t>
        </is>
      </c>
      <c r="E251" s="3" t="inlineStr">
        <is>
          <t>Renal table outdated</t>
        </is>
      </c>
      <c r="F251" s="3" t="inlineStr">
        <is>
          <t>Fix truncated CrCl&lt;30 line; state HD use generally avoided, dose after HD, stop if CrCl falls below 30.</t>
        </is>
      </c>
      <c r="G251" s="3" t="inlineStr">
        <is>
          <t>ESRD on hemodialysis: One tablet once daily, after HD; the CrCl &lt;30 line is cut off at '&lt;' ('2. CrCl  not recommended')</t>
        </is>
      </c>
      <c r="H251" s="3" t="inlineStr">
        <is>
          <t>TW: on chronic HD, 'generally avoid' (通常應避免使用), use only if benefit &gt; risk, give after HD. Discontinue if CrCl falls below 30 during treatment; avoid at CrCl 15–29 or &lt;15 without HD</t>
        </is>
      </c>
      <c r="I251" s="3" t="inlineStr">
        <is>
          <t>TW 仿單 §3.3 腎功能不全, §5.1</t>
        </is>
      </c>
      <c r="J251" s="3" t="inlineStr">
        <is>
          <t>Open</t>
        </is>
      </c>
      <c r="K251" s="3" t="inlineStr"/>
    </row>
    <row r="252">
      <c r="A252" s="3" t="n">
        <v>1290</v>
      </c>
      <c r="B252" s="3" t="inlineStr">
        <is>
          <t>Odefsey (Rilpivirine/Emtricitabine/TAF) (ODE01)</t>
        </is>
      </c>
      <c r="C252" s="7" t="inlineStr">
        <is>
          <t>High</t>
        </is>
      </c>
      <c r="D252" s="3" t="inlineStr">
        <is>
          <t>Dosing – renal/dialysis</t>
        </is>
      </c>
      <c r="E252" s="3" t="inlineStr">
        <is>
          <t>Renal table outdated</t>
        </is>
      </c>
      <c r="F252" s="3" t="inlineStr">
        <is>
          <t>Add: avoid on chronic HD unless benefit outweighs risk; stop if CrCl falls below 30 on treatment.</t>
        </is>
      </c>
      <c r="G252" s="3" t="inlineStr">
        <is>
          <t>ESRD on HD: one tablet once daily, after HD on dialysis days. No stop rule for CrCl falling below 30.</t>
        </is>
      </c>
      <c r="H252" s="3" t="inlineStr">
        <is>
          <t>TW/UK: on chronic HD, generally avoid and use with caution only if benefit outweighs risk. Stop Odefsey if CrCl falls below 30 during treatment.</t>
        </is>
      </c>
      <c r="I252" s="3" t="inlineStr">
        <is>
          <t>TW insert 3.3, 5.1 — https://mcp.fda.gov.tw/im_detail_1/%E8%A1%9B%E9%83%A8%E8%97%A5%E8%BC%B8%E5%AD%97%E7%AC%AC027505%E8%99%9F</t>
        </is>
      </c>
      <c r="J252" s="3" t="inlineStr">
        <is>
          <t>Open</t>
        </is>
      </c>
      <c r="K252" s="3" t="inlineStr"/>
    </row>
    <row r="253">
      <c r="A253" s="3" t="n">
        <v>1277</v>
      </c>
      <c r="B253" s="3" t="inlineStr">
        <is>
          <t>Odefsey (Rilpivirine/Emtricitabine/TAF) (ODE01)</t>
        </is>
      </c>
      <c r="C253" s="7" t="inlineStr">
        <is>
          <t>High</t>
        </is>
      </c>
      <c r="D253" s="3" t="inlineStr">
        <is>
          <t>Drug interaction</t>
        </is>
      </c>
      <c r="E253" s="3" t="inlineStr">
        <is>
          <t>Interaction list incomplete</t>
        </is>
      </c>
      <c r="F253" s="3" t="inlineStr">
        <is>
          <t>Add rifabutin as contraindicated (TW/UK) to contraindication list.</t>
        </is>
      </c>
      <c r="G253" s="3" t="inlineStr">
        <is>
          <t>US list only: carbamazepine, dexamethasone &gt;1 dose, oxcarbazepine, phenobarbital, phenytoin, PPIs, rifampin, rifapentine, St John's wort (no rifabutin)</t>
        </is>
      </c>
      <c r="H253" s="3" t="inlineStr">
        <is>
          <t>The TW insert for the stocked product (§4) and the UK SmPC (§4.3) also contraindicate rifabutin; the US label calls it 'not recommended'</t>
        </is>
      </c>
      <c r="I253" s="3" t="inlineStr">
        <is>
          <t>TW 仿單 §4/§7 表1; UK SmPC §4.3 https://www.medicines.org.uk/emc/product/7262/smpc</t>
        </is>
      </c>
      <c r="J253" s="3" t="inlineStr">
        <is>
          <t>Open</t>
        </is>
      </c>
      <c r="K253" s="3" t="inlineStr"/>
    </row>
    <row r="254">
      <c r="A254" s="3" t="n">
        <v>605</v>
      </c>
      <c r="B254" s="3" t="inlineStr">
        <is>
          <t>Oxacillin (OXA10)</t>
        </is>
      </c>
      <c r="C254" s="7" t="inlineStr">
        <is>
          <t>High</t>
        </is>
      </c>
      <c r="D254" s="3" t="inlineStr">
        <is>
          <t>Dosing – pediatric</t>
        </is>
      </c>
      <c r="E254" s="3" t="inlineStr"/>
      <c r="F254" s="3" t="inlineStr">
        <is>
          <t>Use label pediatric doses (50/100 mg/kg/day); add neonate 25 mg/kg/day; fix caps</t>
        </is>
      </c>
      <c r="G254" s="3" t="inlineStr">
        <is>
          <t>Mild–moderate 100–150 mg/kg/day q6h, max 4,000 mg/day; severe 150–200 mg/kg/day q4–6h, max 12 g/day. No neonatal dose is given.</t>
        </is>
      </c>
      <c r="H254" s="3" t="inlineStr">
        <is>
          <t>Under 40 kg: mild–moderate 50 mg/kg/day q6h; severe 100 mg/kg/day q4–6h (TW: 'or higher'). Premature infants and neonates: 25 mg/kg/day. The hospital's 4 g/day cap for mild–moderate also sits oddly beside its 12 g/day cap for severe.</t>
        </is>
      </c>
      <c r="I254" s="3" t="inlineStr">
        <is>
          <t>US FDA label DOSAGE AND ADMINISTRATION table; TW 仿單 §3.1</t>
        </is>
      </c>
      <c r="J254" s="3" t="inlineStr">
        <is>
          <t>Open</t>
        </is>
      </c>
      <c r="K254" s="3" t="inlineStr"/>
    </row>
    <row r="255">
      <c r="A255" s="3" t="n">
        <v>613</v>
      </c>
      <c r="B255" s="3" t="inlineStr">
        <is>
          <t>Oxacillin (OXA10)</t>
        </is>
      </c>
      <c r="C255" s="7" t="inlineStr">
        <is>
          <t>High</t>
        </is>
      </c>
      <c r="D255" s="3" t="inlineStr">
        <is>
          <t>Dosing – pediatric</t>
        </is>
      </c>
      <c r="E255" s="3" t="inlineStr"/>
      <c r="F255" s="3" t="inlineStr">
        <is>
          <t>Correct pediatric doses to label (50/100 mg/kg/day); add neonatal 25 mg/kg/day</t>
        </is>
      </c>
      <c r="G255" s="3" t="inlineStr">
        <is>
          <t>Mild to moderate: 100–150 mg/kg/day q6h, max 4,000 mg/day; severe 150–200 mg/kg/day q4–6h, max 12 g/day</t>
        </is>
      </c>
      <c r="H255" s="3" t="inlineStr">
        <is>
          <t>Labels: mild–moderate 50 mg/kg/day q6h; severe 100 mg/kg/day q4–6h (TW: or higher); premature infants and neonates 25 mg/kg/day, which the hospital page omits. The mild–moderate dose is 2–3 times the label dose.</t>
        </is>
      </c>
      <c r="I255" s="3" t="inlineStr">
        <is>
          <t>US FDA label D&amp;A table; TW 仿單 §3.1</t>
        </is>
      </c>
      <c r="J255" s="3" t="inlineStr">
        <is>
          <t>Open</t>
        </is>
      </c>
      <c r="K255" s="3" t="inlineStr"/>
    </row>
    <row r="256">
      <c r="A256" s="3" t="n">
        <v>412</v>
      </c>
      <c r="B256" s="3" t="inlineStr">
        <is>
          <t>Pipe Tazo (Piperacillin/Tazobactam) (PIP01, TAP02)</t>
        </is>
      </c>
      <c r="C256" s="7" t="inlineStr">
        <is>
          <t>High</t>
        </is>
      </c>
      <c r="D256" s="3" t="inlineStr">
        <is>
          <t>Administration/compatibility</t>
        </is>
      </c>
      <c r="E256" s="3" t="inlineStr"/>
      <c r="F256" s="3" t="inlineStr">
        <is>
          <t>Add: stocked products lack EDTA—do not Y-site with aminoglycosides; give separately</t>
        </is>
      </c>
      <c r="G256" s="3" t="inlineStr">
        <is>
          <t>(no statement)</t>
        </is>
      </c>
      <c r="H256" s="3" t="inlineStr">
        <is>
          <t>Both stocked products contain no excipients, so no EDTA. Their inserts allow amikacin/gentamicin Y-site only for EDTA-containing formulations, so these products must be given separately from aminoglycosides.</t>
        </is>
      </c>
      <c r="I256" s="3" t="inlineStr">
        <is>
          <t>TW insert 帝斯坦 §1.2, §3.1.2; TW insert 達比黴素 §1.2, §3</t>
        </is>
      </c>
      <c r="J256" s="3" t="inlineStr">
        <is>
          <t>Open</t>
        </is>
      </c>
      <c r="K256" s="3" t="inlineStr"/>
    </row>
    <row r="257">
      <c r="A257" s="3" t="n">
        <v>410</v>
      </c>
      <c r="B257" s="3" t="inlineStr">
        <is>
          <t>Pipe Tazo (Piperacillin/Tazobactam) (PIP01, TAP02)</t>
        </is>
      </c>
      <c r="C257" s="7" t="inlineStr">
        <is>
          <t>High</t>
        </is>
      </c>
      <c r="D257" s="3" t="inlineStr">
        <is>
          <t>Contraindication/warning</t>
        </is>
      </c>
      <c r="E257" s="3" t="inlineStr">
        <is>
          <t>Interaction list incomplete</t>
        </is>
      </c>
      <c r="F257" s="3" t="inlineStr">
        <is>
          <t>Add HLH warning and vancomycin combination AKI interaction</t>
        </is>
      </c>
      <c r="G257" s="3" t="inlineStr">
        <is>
          <t>No HLH warning and no vancomycin–AKI interaction.</t>
        </is>
      </c>
      <c r="H257" s="3" t="inlineStr">
        <is>
          <t>HLH: US §5.3, SmPC §4.4, Tapimycin insert §5. Vancomycin combination increases AKI: US §5.7/§7.3, both Taiwan inserts §7.3. The Pipe Tazo insert (2024-01-24 PDF) still lacks the HLH warning even though the US label has it.</t>
        </is>
      </c>
      <c r="I257" s="3" t="inlineStr">
        <is>
          <t>US FDA label §5.3, §7.3 https://dailymed.nlm.nih.gov/dailymed/drugInfo.cfm?setid=a798faf5-cd97-4e35-a700-94c372978c46; TW insert 達比黴素 https://mcp.fda.gov.tw/im_detail_1/%E8%A1%9B%E7%BD%B2%E8%97%A5%E8%A3%BD%E5%AD%97%E7%AC%AC045704%E8%99%9F</t>
        </is>
      </c>
      <c r="J257" s="3" t="inlineStr">
        <is>
          <t>Open</t>
        </is>
      </c>
      <c r="K257" s="3" t="inlineStr"/>
    </row>
    <row r="258">
      <c r="A258" s="3" t="n">
        <v>419</v>
      </c>
      <c r="B258" s="3" t="inlineStr">
        <is>
          <t>Pipe Tazo (Piperacillin/Tazobactam) (PIP01, TAP02)</t>
        </is>
      </c>
      <c r="C258" s="7" t="inlineStr">
        <is>
          <t>High</t>
        </is>
      </c>
      <c r="D258" s="3" t="inlineStr">
        <is>
          <t>Contraindication/warning</t>
        </is>
      </c>
      <c r="E258" s="3" t="inlineStr">
        <is>
          <t>Interaction list incomplete</t>
        </is>
      </c>
      <c r="F258" s="3" t="inlineStr">
        <is>
          <t>Add HLH, rhabdomyolysis warnings and vancomycin–AKI interaction</t>
        </is>
      </c>
      <c r="G258" s="3" t="inlineStr">
        <is>
          <t>No mention of HLH, rhabdomyolysis, or the pip-tazo + vancomycin AKI interaction.</t>
        </is>
      </c>
      <c r="H258" s="3" t="inlineStr">
        <is>
          <t>FDA §5.3 HLH, §5.4 rhabdomyolysis, §7.3 vancomycin AKI; Tapimycin insert includes HLH (5.1.3) and the vancomycin–AKI interaction; Pipe Tazo insert includes the vancomycin–AKI interaction (§7.3) and critically-ill nephrotoxicity (§5.1.5).</t>
        </is>
      </c>
      <c r="I258" s="3" t="inlineStr">
        <is>
          <t>https://dailymed.nlm.nih.gov/dailymed/drugInfo.cfm?setid=a798faf5-cd97-4e35-a700-94c372978c46; https://mcp.fda.gov.tw/im_detail_1/%E8%A1%9B%E7%BD%B2%E8%97%A5%E8%A3%BD%E5%AD%97%E7%AC%AC045704%E8%99%9F</t>
        </is>
      </c>
      <c r="J258" s="3" t="inlineStr">
        <is>
          <t>Open</t>
        </is>
      </c>
      <c r="K258" s="3" t="inlineStr"/>
    </row>
    <row r="259">
      <c r="A259" s="3" t="n">
        <v>418</v>
      </c>
      <c r="B259" s="3" t="inlineStr">
        <is>
          <t>Pipe Tazo (Piperacillin/Tazobactam) (PIP01, TAP02)</t>
        </is>
      </c>
      <c r="C259" s="7" t="inlineStr">
        <is>
          <t>High</t>
        </is>
      </c>
      <c r="D259" s="3" t="inlineStr">
        <is>
          <t>Dosing – pediatric</t>
        </is>
      </c>
      <c r="E259" s="3" t="inlineStr"/>
      <c r="F259" s="3" t="inlineStr">
        <is>
          <t>Fix to label: &lt;2 mo not established; 2–9 mo 80 mg/kg q8h; &gt;9 mo 100 mg/kg q8h</t>
        </is>
      </c>
      <c r="G259" s="3" t="inlineStr">
        <is>
          <t>'Infants 6 months: IV: 240 to 300 mg piperacillin/kg/day...' followed by a separate 'Infants &gt;6 months' row; the '&lt;' sign is missing, so the first row reads as exactly 6 months.</t>
        </is>
      </c>
      <c r="H259" s="3" t="inlineStr">
        <is>
          <t>FDA §2.4/TW §3.1.4: 2–9 months 80 mg/kg pip q8h (IAI; q6h NP per FDA); &gt;9 months 100 mg/kg q8h (IAI; q6h NP per FDA); &lt;2 months not established.</t>
        </is>
      </c>
      <c r="I259" s="3" t="inlineStr">
        <is>
          <t>https://dailymed.nlm.nih.gov/dailymed/drugInfo.cfm?setid=a798faf5-cd97-4e35-a700-94c372978c46 (§2.4, §8.4)</t>
        </is>
      </c>
      <c r="J259" s="3" t="inlineStr">
        <is>
          <t>Open</t>
        </is>
      </c>
      <c r="K259" s="3" t="inlineStr"/>
    </row>
    <row r="260">
      <c r="A260" s="3" t="n">
        <v>406</v>
      </c>
      <c r="B260" s="3" t="inlineStr">
        <is>
          <t>Pipe Tazo (Piperacillin/Tazobactam) (PIP01, TAP02)</t>
        </is>
      </c>
      <c r="C260" s="7" t="inlineStr">
        <is>
          <t>High</t>
        </is>
      </c>
      <c r="D260" s="3" t="inlineStr">
        <is>
          <t>Dosing – renal/dialysis</t>
        </is>
      </c>
      <c r="E260" s="3" t="inlineStr">
        <is>
          <t>Renal table outdated</t>
        </is>
      </c>
      <c r="F260" s="3" t="inlineStr">
        <is>
          <t>Replace Lexicomp table with insert Table 1 incl. HD/CAPD rows and 0.75 g post-HD dose</t>
        </is>
      </c>
      <c r="G260" s="3" t="inlineStr">
        <is>
          <t>Lexicomp-style table (CrCl 100–&lt;130, 40–&lt;100, 20–&lt;40, &lt;20). For the 4.5 g q6h column: CrCl 20–&lt;40 → '4.5 g q8h or 3.375 g q6h'; CrCl &lt;20 → '4.5 g q12h or 2.25 g q6h'. No HD or CAPD rows and no post-HD 0.75 g dose.</t>
        </is>
      </c>
      <c r="H260" s="3" t="inlineStr">
        <is>
          <t>Stocked-product inserts (same as US Table 1): non-NP 20–40 → 2.25 g q6h; &lt;20 → 2.25 g q8h; HD/CAPD → 2.25 g q12h. NP 20–40 → 3.375 g q6h; &lt;20 → 2.25 g q6h; HD/CAPD → 2.25 g q8h. Plus 0.75 g after each HD session; no CAPD supplement.</t>
        </is>
      </c>
      <c r="I260" s="3" t="inlineStr">
        <is>
          <t>TW insert 帝斯坦 §3.1.3 表二 https://mcp.fda.gov.tw/im_detail_1/%E8%A1%9B%E7%BD%B2%E8%97%A5%E8%A3%BD%E5%AD%97%E7%AC%AC056759%E8%99%9F; TW insert 達比黴素 用法用量 腎功能不全 https://mcp.fda.gov.tw/im_detail_1/%E8%A1%9B%E7%BD%B2%E8%97%A5%E8%A3%BD%E5%AD%97%E7%AC%AC045704%E8%99%9F; US §2.3</t>
        </is>
      </c>
      <c r="J260" s="3" t="inlineStr">
        <is>
          <t>Open</t>
        </is>
      </c>
      <c r="K260" s="3" t="inlineStr"/>
    </row>
    <row r="261">
      <c r="A261" s="3" t="n">
        <v>415</v>
      </c>
      <c r="B261" s="3" t="inlineStr">
        <is>
          <t>Pipe Tazo (Piperacillin/Tazobactam) (PIP01, TAP02)</t>
        </is>
      </c>
      <c r="C261" s="7" t="inlineStr">
        <is>
          <t>High</t>
        </is>
      </c>
      <c r="D261" s="3" t="inlineStr">
        <is>
          <t>Dosing – renal/dialysis</t>
        </is>
      </c>
      <c r="E261" s="3" t="inlineStr">
        <is>
          <t>Renal table outdated</t>
        </is>
      </c>
      <c r="F261" s="3" t="inlineStr">
        <is>
          <t>Use insert/FDA Table 1 renal doses incl. HD/CAPD rows and 0.75 g post-HD supplement</t>
        </is>
      </c>
      <c r="G261" s="3" t="inlineStr">
        <is>
          <t>Lexicomp-style table by usual dose. For a usual 4.5 g q6h: CrCl 20–&lt;40 → '4.5 g every 8 hours or 3.375 g every 6 hours'; &lt;20 → '4.5 g every 12 hours or 2.25 g every 6 hours'. Extended-infusion column. No HD or CAPD rows, no 0.75 g post-HD supplement.</t>
        </is>
      </c>
      <c r="H261" s="3" t="inlineStr">
        <is>
          <t>Taiwan inserts (both products) = FDA Table 1. Non-NP: 20–40 2.25 g q6h; &lt;20 2.25 g q8h; HD 2.25 g q12h; CAPD 2.25 g q12h. NP: 20–40 3.375 g q6h; &lt;20 2.25 g q6h; HD/CAPD 2.25 g q8h. HD: +0.75 g after each session; CAPD: no supplement. (UK SmPC instead: 20–40 max 4.5 g q8h; &lt;20 max 4.5 g q12h; +2.25 g post-HD.)</t>
        </is>
      </c>
      <c r="I261" s="3" t="inlineStr">
        <is>
          <t>Taiwan insert Pipe Tazo 3.1.3 表二 – https://mcp.fda.gov.tw/im_detail_1/%E8%A1%9B%E7%BD%B2%E8%97%A5%E8%A3%BD%E5%AD%97%E7%AC%AC056759%E8%99%9F; FDA §2.3 – https://dailymed.nlm.nih.gov/dailymed/drugInfo.cfm?setid=a798faf5-cd97-4e35-a700-94c372978c46</t>
        </is>
      </c>
      <c r="J261" s="3" t="inlineStr">
        <is>
          <t>Open</t>
        </is>
      </c>
      <c r="K261" s="3" t="inlineStr"/>
    </row>
    <row r="262">
      <c r="A262" s="3" t="n">
        <v>881</v>
      </c>
      <c r="B262" s="3" t="inlineStr">
        <is>
          <t>Posanol (Posaconazole) (POS01)</t>
        </is>
      </c>
      <c r="C262" s="7" t="inlineStr">
        <is>
          <t>High</t>
        </is>
      </c>
      <c r="D262" s="3" t="inlineStr">
        <is>
          <t>Dosing – pediatric</t>
        </is>
      </c>
      <c r="E262" s="3" t="inlineStr"/>
      <c r="F262" s="3" t="inlineStr">
        <is>
          <t>Fill pediatric dose: ≥2 yr and &gt;40 kg adult tablet dose; not recommended ≤40 kg; TW &lt;13 yr not established</t>
        </is>
      </c>
      <c r="G262" s="3" t="inlineStr">
        <is>
          <t>(blank), while the indication field claims use from ≥2 yr</t>
        </is>
      </c>
      <c r="H262" s="3" t="inlineStr">
        <is>
          <t>TW: &lt;13 yr safety and efficacy not established. US/UK tablet: ≥2 yr and &gt;40 kg take the adult dose (300 mg BID day 1, then QD); not recommended ≤40 kg.</t>
        </is>
      </c>
      <c r="I262" s="3" t="inlineStr">
        <is>
          <t>TW 仿單 §3.3; US §2.3; UK §4.2</t>
        </is>
      </c>
      <c r="J262" s="3" t="inlineStr">
        <is>
          <t>Open</t>
        </is>
      </c>
      <c r="K262" s="3" t="inlineStr"/>
    </row>
    <row r="263">
      <c r="A263" s="3" t="n">
        <v>872</v>
      </c>
      <c r="B263" s="3" t="inlineStr">
        <is>
          <t>Posanol (Posaconazole) (POS01)</t>
        </is>
      </c>
      <c r="C263" s="7" t="inlineStr">
        <is>
          <t>High</t>
        </is>
      </c>
      <c r="D263" s="3" t="inlineStr">
        <is>
          <t>Drug interaction</t>
        </is>
      </c>
      <c r="E263" s="3" t="inlineStr">
        <is>
          <t>Interaction list incomplete</t>
        </is>
      </c>
      <c r="F263" s="3" t="inlineStr">
        <is>
          <t>Add venetoclax (CLL ramp-up) CI, terfenadine/astemizole/cisapride; TW sirolimus: reduce to 1/10, monitor</t>
        </is>
      </c>
      <c r="G263" s="3" t="inlineStr">
        <is>
          <t>US list: ergot alkaloids, CYP3A4 statins, sirolimus, pimozide/quinidine, hypersensitivity.</t>
        </is>
      </c>
      <c r="H263" s="3" t="inlineStr">
        <is>
          <t>TW insert (stocked product) does not contraindicate sirolimus; it says reduce the dose to about 1/10 and monitor troughs. TW also lists terfenadine, astemizole and cisapride. US/UK also contraindicate venetoclax during CLL/SLL initiation/ramp-up, which the hospital list omits.</t>
        </is>
      </c>
      <c r="I263" s="3" t="inlineStr">
        <is>
          <t>TW 仿單 §4, §7 (Sirolimus); US §4.6; UK SmPC §4.3</t>
        </is>
      </c>
      <c r="J263" s="3" t="inlineStr">
        <is>
          <t>Open</t>
        </is>
      </c>
      <c r="K263" s="3" t="inlineStr"/>
    </row>
    <row r="264">
      <c r="A264" s="3" t="n">
        <v>880</v>
      </c>
      <c r="B264" s="3" t="inlineStr">
        <is>
          <t>Posanol (Posaconazole) (POS01)</t>
        </is>
      </c>
      <c r="C264" s="7" t="inlineStr">
        <is>
          <t>High</t>
        </is>
      </c>
      <c r="D264" s="3" t="inlineStr">
        <is>
          <t>Drug interaction</t>
        </is>
      </c>
      <c r="E264" s="3" t="inlineStr">
        <is>
          <t>Interaction list incomplete</t>
        </is>
      </c>
      <c r="F264" s="3" t="inlineStr">
        <is>
          <t>Align CIs to TW insert: sirolimus dose reduce/monitor; add terfenadine/astemizole/cisapride, venetoclax</t>
        </is>
      </c>
      <c r="G264" s="3" t="inlineStr">
        <is>
          <t>Lists sirolimus as contraindicated (US wording). Does not list venetoclax (CLL/SLL ramp-up) or terfenadine/astemizole/cisapride.</t>
        </is>
      </c>
      <c r="H264" s="3" t="inlineStr">
        <is>
          <t>TW insert (stocked product) does not contraindicate sirolimus; it says reduce to ~1/10 with trough monitoring. UK says avoid; US contraindicates. The TW contraindications include terfenadine, astemizole and cisapride. The US/UK contraindications include venetoclax during CLL initiation/ramp-up.</t>
        </is>
      </c>
      <c r="I264" s="3" t="inlineStr">
        <is>
          <t>TW 仿單 §4, §7 Sirolimus; US §4.2, §4.6; UK §4.3, §4.5</t>
        </is>
      </c>
      <c r="J264" s="3" t="inlineStr">
        <is>
          <t>Open</t>
        </is>
      </c>
      <c r="K264" s="3" t="inlineStr"/>
    </row>
    <row r="265">
      <c r="A265" s="3" t="n">
        <v>1183</v>
      </c>
      <c r="B265" s="3" t="inlineStr">
        <is>
          <t>Pyrazinamide (PYR03)</t>
        </is>
      </c>
      <c r="C265" s="7" t="inlineStr">
        <is>
          <t>High</t>
        </is>
      </c>
      <c r="D265" s="3" t="inlineStr">
        <is>
          <t>Contraindication/warning</t>
        </is>
      </c>
      <c r="E265" s="3" t="inlineStr"/>
      <c r="F265" s="3" t="inlineStr">
        <is>
          <t>Add hypersensitivity, acute porphyria, recent hepatitis, breastfeeding; specify acute gout/hyperuricaemia.</t>
        </is>
      </c>
      <c r="G265" s="3" t="inlineStr">
        <is>
          <t>'gout'; does not list hypersensitivity, acute porphyria, recent hepatitis or breastfeeding</t>
        </is>
      </c>
      <c r="H265" s="3" t="inlineStr">
        <is>
          <t>US: severe hepatic damage, hypersensitivity, ACUTE gout. UK: hypersensitivity; severe hepatic impairment, acute liver disease and up to 6 months after hepatitis; acute porphyria; hyperuricaemia and/or acute gouty arthritis; breastfeeding. 仿單: any 肝障害 is 禁忌, and a gout history is a caution only.</t>
        </is>
      </c>
      <c r="I265" s="3" t="inlineStr">
        <is>
          <t>US CONTRAINDICATIONS; UK SmPC §4.3; 仿單 【注意事項】1–2</t>
        </is>
      </c>
      <c r="J265" s="3" t="inlineStr">
        <is>
          <t>Open</t>
        </is>
      </c>
      <c r="K265" s="3" t="inlineStr"/>
    </row>
    <row r="266">
      <c r="A266" s="3" t="n">
        <v>1190</v>
      </c>
      <c r="B266" s="3" t="inlineStr">
        <is>
          <t>Pyrazinamide (PYR03)</t>
        </is>
      </c>
      <c r="C266" s="7" t="inlineStr">
        <is>
          <t>High</t>
        </is>
      </c>
      <c r="D266" s="3" t="inlineStr">
        <is>
          <t>Contraindication/warning</t>
        </is>
      </c>
      <c r="E266" s="3" t="inlineStr"/>
      <c r="F266" s="3" t="inlineStr">
        <is>
          <t>Remove renal failure as contraindication; specify acute gout; add hypersensitivity, acute porphyria, acute liver disease.</t>
        </is>
      </c>
      <c r="G266" s="3" t="inlineStr">
        <is>
          <t>Patients with severe hepatic damage, renal failure, gout.</t>
        </is>
      </c>
      <c r="H266" s="3" t="inlineStr">
        <is>
          <t>No label contraindicates renal failure: the US says no dose reduction appears required, the UK says emergencies only with intermittent dosing, and 仿單 says 慎重投與 only. Gout: the US contraindicates acute gout and the UK hyperuricaemia and/or acute gouty arthritis; 仿單 lists a gout history as caution only. Missing from the hospital list: hypersensitivity (US/UK), acute porphyria (UK), acute liver disease and ≤6 months after hepatitis (UK), breastfeeding (UK), and 仿單's broader 肝障害.</t>
        </is>
      </c>
      <c r="I266" s="3" t="inlineStr">
        <is>
          <t>US label CONTRAINDICATIONS https://dailymed.nlm.nih.gov/dailymed/drugInfo.cfm?setid=262d8829-728c-48db-b89b-88d13b87e684 ; UK SmPC §4.3 ; Taiwan 仿單 https://mcp.fda.gov.tw/insert/pdfcasefile/i_8de661ba-bced-4948-baae-5b4c4be371c3</t>
        </is>
      </c>
      <c r="J266" s="3" t="inlineStr">
        <is>
          <t>Open</t>
        </is>
      </c>
      <c r="K266" s="3" t="inlineStr"/>
    </row>
    <row r="267">
      <c r="A267" s="3" t="n">
        <v>1187</v>
      </c>
      <c r="B267" s="3" t="inlineStr">
        <is>
          <t>Pyrazinamide (PYR03)</t>
        </is>
      </c>
      <c r="C267" s="7" t="inlineStr">
        <is>
          <t>High</t>
        </is>
      </c>
      <c r="D267" s="3" t="inlineStr">
        <is>
          <t>Dosing – adult</t>
        </is>
      </c>
      <c r="E267" s="3" t="inlineStr"/>
      <c r="F267" s="3" t="inlineStr">
        <is>
          <t>Add label doses (仿單 1.5–2 g/day; US 15–30 mg/kg, max 3 g) and fix garbled 4-month regimen weight band.</t>
        </is>
      </c>
      <c r="G267" s="3" t="inlineStr">
        <is>
          <t>Guideline weight bands only. Three times weekly: 76–90 kg 3 g. Twice weekly: up to 4 g. The 4-month regimen band is printed as '40 to ≥55 to 75 kg: 1.5 g', which is garbled.</t>
        </is>
      </c>
      <c r="H267" s="3" t="inlineStr">
        <is>
          <t>仿單 (stocked product): 1.5–2 g/day in 1–3 divided doses. US: 15–30 mg/kg daily, max 3 g/day. UK: 3× weekly max 2.5 g for ≥50 kg. Both the 仿單 and label doses are missing from the hospital page, and the 4-month-regimen weight band text is malformed.</t>
        </is>
      </c>
      <c r="I267" s="3" t="inlineStr">
        <is>
          <t>仿單 【用法用量】; US DOSAGE &amp; ADMINISTRATION; UK SmPC §4.2</t>
        </is>
      </c>
      <c r="J267" s="3" t="inlineStr">
        <is>
          <t>Open</t>
        </is>
      </c>
      <c r="K267" s="3" t="inlineStr"/>
    </row>
    <row r="268">
      <c r="A268" s="3" t="n">
        <v>1194</v>
      </c>
      <c r="B268" s="3" t="inlineStr">
        <is>
          <t>Pyrazinamide (PYR03)</t>
        </is>
      </c>
      <c r="C268" s="7" t="inlineStr">
        <is>
          <t>High</t>
        </is>
      </c>
      <c r="D268" s="3" t="inlineStr">
        <is>
          <t>Dosing – adult</t>
        </is>
      </c>
      <c r="E268" s="3" t="inlineStr"/>
      <c r="F268" s="3" t="inlineStr">
        <is>
          <t>Restore three weight bands for 4-month regimen: 1 g 40–&lt;55 kg, 1.5 g 55–75 kg, 2 g &gt;75 kg (verify MMWR).</t>
        </is>
      </c>
      <c r="G268" s="3" t="inlineStr">
        <is>
          <t>40 to ≥55 to 75 kg: Oral: 1.5 g once daily. &gt;75 kg: 2 g once daily.</t>
        </is>
      </c>
      <c r="H268" s="3" t="inlineStr">
        <is>
          <t>The CDC interim guidance (PMID 35202353) uses three bands: 1 g for 40–&lt;55 kg, 1.5 g for 55–75 kg, 2 g for &gt;75 kg. The hospital text appears to have merged the bands and drops the 1 g band, which would give 40–54 kg patients 1.5 g. This is plausible but needs confirmation against the MMWR table, which is not reachable from this sandbox.</t>
        </is>
      </c>
      <c r="I268" s="3" t="inlineStr">
        <is>
          <t>Carr W et al. MMWR 2022, PMID 35202353 https://pubmed.ncbi.nlm.nih.gov/35202353/</t>
        </is>
      </c>
      <c r="J268" s="3" t="inlineStr">
        <is>
          <t>Open</t>
        </is>
      </c>
      <c r="K268" s="3" t="inlineStr"/>
    </row>
    <row r="269">
      <c r="A269" s="3" t="n">
        <v>1184</v>
      </c>
      <c r="B269" s="3" t="inlineStr">
        <is>
          <t>Pyrazinamide (PYR03)</t>
        </is>
      </c>
      <c r="C269" s="7" t="inlineStr">
        <is>
          <t>High</t>
        </is>
      </c>
      <c r="D269" s="3" t="inlineStr">
        <is>
          <t>Dosing – hepatic</t>
        </is>
      </c>
      <c r="E269" s="3" t="inlineStr"/>
      <c r="F269" s="3" t="inlineStr">
        <is>
          <t>Replace 'no adjustment' with contraindication in severe hepatic damage/acute liver disease and LFT monitoring.</t>
        </is>
      </c>
      <c r="G269" s="3" t="inlineStr">
        <is>
          <t>No dosage adjustment necessary.</t>
        </is>
      </c>
      <c r="H269" s="3" t="inlineStr">
        <is>
          <t>Contraindicated in severe hepatic damage (US/UK) and in any hepatic disorder (仿單). The UK also contraindicates it in acute liver disease and for 6 months after hepatitis. Pre-existing liver disease needs close follow-up and more frequent LFTs, and hepatic failure triples the AUC (UK §5.2).</t>
        </is>
      </c>
      <c r="I269" s="3" t="inlineStr">
        <is>
          <t>US CONTRAINDICATIONS/WARNINGS; UK SmPC §4.3/§4.4/§5.2; 仿單 禁忌</t>
        </is>
      </c>
      <c r="J269" s="3" t="inlineStr">
        <is>
          <t>Open</t>
        </is>
      </c>
      <c r="K269" s="3" t="inlineStr"/>
    </row>
    <row r="270">
      <c r="A270" s="3" t="n">
        <v>1191</v>
      </c>
      <c r="B270" s="3" t="inlineStr">
        <is>
          <t>Pyrazinamide (PYR03)</t>
        </is>
      </c>
      <c r="C270" s="7" t="inlineStr">
        <is>
          <t>High</t>
        </is>
      </c>
      <c r="D270" s="3" t="inlineStr">
        <is>
          <t>Dosing – hepatic</t>
        </is>
      </c>
      <c r="E270" s="3" t="inlineStr"/>
      <c r="F270" s="3" t="inlineStr">
        <is>
          <t>Replace 'no adjustment' with contraindication in severe hepatic damage/acute liver disease; note PZA-sparing regimens.</t>
        </is>
      </c>
      <c r="G270" s="3" t="inlineStr">
        <is>
          <t>No dosage adjustment necessary.</t>
        </is>
      </c>
      <c r="H270" s="3" t="inlineStr">
        <is>
          <t>All three labels contraindicate PZA in hepatic disease: 仿單 any 肝障害; US severe hepatic damage; UK severe impairment, acute liver disease and up to 6 months after hepatitis. UK §5.2 reports a 3× AUC rise in hepatic failure. The 2016 guideline recommends PZA-sparing regimens in advanced liver disease.</t>
        </is>
      </c>
      <c r="I270" s="3" t="inlineStr">
        <is>
          <t>US/UK/仿單 as above; PMID 27516382 'Hepatic Disease' section</t>
        </is>
      </c>
      <c r="J270" s="3" t="inlineStr">
        <is>
          <t>Open</t>
        </is>
      </c>
      <c r="K270" s="3" t="inlineStr"/>
    </row>
    <row r="271">
      <c r="A271" s="3" t="n">
        <v>1186</v>
      </c>
      <c r="B271" s="3" t="inlineStr">
        <is>
          <t>Pyrazinamide (PYR03)</t>
        </is>
      </c>
      <c r="C271" s="7" t="inlineStr">
        <is>
          <t>High</t>
        </is>
      </c>
      <c r="D271" s="3" t="inlineStr">
        <is>
          <t>Dosing – renal/dialysis</t>
        </is>
      </c>
      <c r="E271" s="3" t="inlineStr">
        <is>
          <t>Renal table outdated</t>
        </is>
      </c>
      <c r="F271" s="3" t="inlineStr">
        <is>
          <t>Replace fixed renal weight bands with 25–35 mg/kg 3x weekly after HD per ATS 2016; cite source.</t>
        </is>
      </c>
      <c r="G271" s="3" t="inlineStr">
        <is>
          <t>CrCl ≥30: no adjustment. CrCl &lt;30: 1 g / 1.5 g / 2 g 3× weekly by weight band (40–55 / 56–75 / 76–90 kg)</t>
        </is>
      </c>
      <c r="H271" s="3" t="inlineStr">
        <is>
          <t>No label gives a CrCl scheme. The stocked product's 仿單 says caution only; the US says no reduction appears required; the UK says emergencies only, intermittent. The guideline (ATS/CDC/IDSA 2016) says 25–35 mg/kg per dose 3× weekly after HD. The hospital's fixed bands can fall below that range at the top of each band: 55 kg on 1 g is about 18 mg/kg, and 90 kg on 2 g is about 22 mg/kg. The page also gives no source.</t>
        </is>
      </c>
      <c r="I271" s="3" t="inlineStr">
        <is>
          <t>US GERIATRIC USE; UK §4.4; PMID 27516382 https://pubmed.ncbi.nlm.nih.gov/27516382/</t>
        </is>
      </c>
      <c r="J271" s="3" t="inlineStr">
        <is>
          <t>Open</t>
        </is>
      </c>
      <c r="K271" s="3" t="inlineStr"/>
    </row>
    <row r="272">
      <c r="A272" s="3" t="n">
        <v>1193</v>
      </c>
      <c r="B272" s="3" t="inlineStr">
        <is>
          <t>Pyrazinamide (PYR03)</t>
        </is>
      </c>
      <c r="C272" s="7" t="inlineStr">
        <is>
          <t>High</t>
        </is>
      </c>
      <c r="D272" s="3" t="inlineStr">
        <is>
          <t>Dosing – renal/dialysis</t>
        </is>
      </c>
      <c r="E272" s="3" t="inlineStr">
        <is>
          <t>Renal table outdated</t>
        </is>
      </c>
      <c r="F272" s="3" t="inlineStr">
        <is>
          <t>Change CrCl&lt;30 flat doses to 25–35 mg/kg 3x weekly (verify Table 12) to avoid underdosing heavier patients.</t>
        </is>
      </c>
      <c r="G272" s="3" t="inlineStr">
        <is>
          <t>Three times weekly: 40–55 kg 1 g, 56–75 kg 1.5 g, 76–90 kg 2 g.</t>
        </is>
      </c>
      <c r="H272" s="3" t="inlineStr">
        <is>
          <t>This is not label content: the labels say no reduction (US), emergencies only with reduced dose or intermittent dosing (UK), or caution (仿單). The guideline (Table 12) gives 25–35 mg/kg per dose three times weekly. The hospital's flat doses fall below 25 mg/kg at the top of each band (1 g at 55 kg = 18 mg/kg; 1.5 g at 75 kg = 20 mg/kg; 2 g at 90 kg = 22 mg/kg), so they may under-dose heavier patients in each band. The Table 12 value still needs a PDF check.</t>
        </is>
      </c>
      <c r="I272" s="3" t="inlineStr">
        <is>
          <t>PMID 27516382 Table 12 https://www.idsociety.org/practice-guideline/treatment-of-drug-susceptible-tb/ ; US label Geriatric Use; UK SmPC §4.4</t>
        </is>
      </c>
      <c r="J272" s="3" t="inlineStr">
        <is>
          <t>Open</t>
        </is>
      </c>
      <c r="K272" s="3" t="inlineStr"/>
    </row>
    <row r="273">
      <c r="A273" s="3" t="n">
        <v>72</v>
      </c>
      <c r="B273" s="3" t="inlineStr">
        <is>
          <t>Rapiacta (Peramivir) (RAP02)</t>
        </is>
      </c>
      <c r="C273" s="7" t="inlineStr">
        <is>
          <t>High</t>
        </is>
      </c>
      <c r="D273" s="3" t="inlineStr">
        <is>
          <t>Dosing – renal/dialysis</t>
        </is>
      </c>
      <c r="E273" s="3" t="inlineStr">
        <is>
          <t>Renal table outdated</t>
        </is>
      </c>
      <c r="F273" s="3" t="inlineStr">
        <is>
          <t>Renal: single dose only (US 200 mg CrCl 30–49, 100 mg 10–29); remove daily dosing</t>
        </is>
      </c>
      <c r="G273" s="3" t="inlineStr">
        <is>
          <t>Per the source brief: CrCl 31–49: 150 mg daily; CrCl 10–30: 100 mg daily; HD: 100 mg on day 1, then after each session; the CrCl &lt;10 line is truncated on the page.</t>
        </is>
      </c>
      <c r="H273" s="3" t="inlineStr">
        <is>
          <t>US FDA: single dose; CrCl 30–49 gets 200 mg and CrCl 10–29 gets 100 mg (for the 600 mg dose). On HD, give after dialysis at the renally adjusted dose. There is no daily repeat dosing and no recommendation below CrCl 10. The Taiwan Rapiacta 仿單 could not be retrieved to check the 300 mg-based values.</t>
        </is>
      </c>
      <c r="I273" s="3" t="inlineStr">
        <is>
          <t>DailyMed RAPIVAB §2.2 Table 1, §8.6 https://dailymed.nlm.nih.gov/dailymed/drugInfo.cfm?setid=fe04f6cd-e71c-4bd4-abac-97720bba2a0d</t>
        </is>
      </c>
      <c r="J273" s="3" t="inlineStr">
        <is>
          <t>Open</t>
        </is>
      </c>
      <c r="K273" s="3" t="inlineStr"/>
    </row>
    <row r="274">
      <c r="A274" s="3" t="n">
        <v>80</v>
      </c>
      <c r="B274" s="3" t="inlineStr">
        <is>
          <t>Rapiacta (Peramivir) (RAP02)</t>
        </is>
      </c>
      <c r="C274" s="7" t="inlineStr">
        <is>
          <t>High</t>
        </is>
      </c>
      <c r="D274" s="3" t="inlineStr">
        <is>
          <t>Dosing – renal/dialysis</t>
        </is>
      </c>
      <c r="E274" s="3" t="inlineStr">
        <is>
          <t>Renal table outdated</t>
        </is>
      </c>
      <c r="F274" s="3" t="inlineStr">
        <is>
          <t>Replace renal table with TW single doses (≥50 300, 30–&lt;50 100, 10–&lt;30 50 mg); HD after dialysis</t>
        </is>
      </c>
      <c r="G274" s="3" t="inlineStr">
        <is>
          <t>CrCl 31–49: 150 mg daily; CrCl 10–30: 100 mg daily; item 3 'CrCl' is blank/truncated; ESRD on HD: 100 mg on day 1, then 100 mg 2 h after each HD session</t>
        </is>
      </c>
      <c r="H274" s="3" t="inlineStr">
        <is>
          <t>Taiwan insert (stocked product, 300 mg basis): CrCl ≥50 300 mg; 30–&lt;50 100 mg; 10–&lt;30 50 mg, as single doses. For CrCl &lt;10 and HD there is no fixed dose: adjust carefully and give after dialysis (drug is rapidly removed by HD). US label (600 mg basis): 30–49 200 mg; 10–29 100 mg; HD after dialysis. The hospital values match neither label, and the 'daily' frequency and the HD 100 mg day-1 regimen are not in either label.</t>
        </is>
      </c>
      <c r="I274" s="3" t="inlineStr">
        <is>
          <t>Taiwan insert 衛部藥輸字第026649號 v4 §2.3 Table 1 (https://mcp.fda.gov.tw/insert/pdfcasefile/d2a947d2-b3f0-49fa-bb7a-ef8b0f0cb3de); US RAPIVAB §2.2 (https://dailymed.nlm.nih.gov/dailymed/drugInfo.cfm?setid=fe04f6cd-e71c-4bd4-abac-97720bba2a0d)</t>
        </is>
      </c>
      <c r="J274" s="3" t="inlineStr">
        <is>
          <t>Open</t>
        </is>
      </c>
      <c r="K274" s="3" t="inlineStr"/>
    </row>
    <row r="275">
      <c r="A275" s="3" t="n">
        <v>1452</v>
      </c>
      <c r="B275" s="3" t="inlineStr">
        <is>
          <t>Ribarin (Ribavirin) (RIB01)</t>
        </is>
      </c>
      <c r="C275" s="7" t="inlineStr">
        <is>
          <t>High</t>
        </is>
      </c>
      <c r="D275" s="3" t="inlineStr">
        <is>
          <t>Breastfeeding</t>
        </is>
      </c>
      <c r="E275" s="3" t="inlineStr"/>
      <c r="F275" s="3" t="inlineStr">
        <is>
          <t>State breastfeeding contraindicated per TW insert/UK SmPC; stop nursing before treatment.</t>
        </is>
      </c>
      <c r="G275" s="3" t="inlineStr">
        <is>
          <t>Infant risk cannot be ruled out</t>
        </is>
      </c>
      <c r="H275" s="3" t="inlineStr">
        <is>
          <t>The Taiwan insert and UK SmPC contraindicate breastfeeding and say to stop nursing before treatment. LactMed notes the drug has not been studied in nursing mothers.</t>
        </is>
      </c>
      <c r="I275" s="3" t="inlineStr">
        <is>
          <t>Taiwan insert §4/§6.2; UK SmPC §4.3/§4.6; LactMed NBK500613</t>
        </is>
      </c>
      <c r="J275" s="3" t="inlineStr">
        <is>
          <t>Open</t>
        </is>
      </c>
      <c r="K275" s="3" t="inlineStr"/>
    </row>
    <row r="276">
      <c r="A276" s="3" t="n">
        <v>1460</v>
      </c>
      <c r="B276" s="3" t="inlineStr">
        <is>
          <t>Ribarin (Ribavirin) (RIB01)</t>
        </is>
      </c>
      <c r="C276" s="7" t="inlineStr">
        <is>
          <t>High</t>
        </is>
      </c>
      <c r="D276" s="3" t="inlineStr">
        <is>
          <t>Breastfeeding</t>
        </is>
      </c>
      <c r="E276" s="3" t="inlineStr"/>
      <c r="F276" s="3" t="inlineStr">
        <is>
          <t>State breastfeeding contraindicated per TW insert; stop nursing before treatment.</t>
        </is>
      </c>
      <c r="G276" s="3" t="inlineStr">
        <is>
          <t>Infant risk cannot be ruled out</t>
        </is>
      </c>
      <c r="H276" s="3" t="inlineStr">
        <is>
          <t>TW仿單 §4 and §6.2 contraindicate breastfeeding (開始治療前應停止哺乳). UK SmPC §4.3 and §4.6 contraindicate it. The hospital wording understates the label for the stocked product.</t>
        </is>
      </c>
      <c r="I276" s="3" t="inlineStr">
        <is>
          <t>TW仿單 §4/§6.2 ; UK SmPC §4.3/§4.6 https://www.medicines.org.uk/emc/product/7108/smpc</t>
        </is>
      </c>
      <c r="J276" s="3" t="inlineStr">
        <is>
          <t>Open</t>
        </is>
      </c>
      <c r="K276" s="3" t="inlineStr"/>
    </row>
    <row r="277">
      <c r="A277" s="3" t="n">
        <v>1448</v>
      </c>
      <c r="B277" s="3" t="inlineStr">
        <is>
          <t>Ribarin (Ribavirin) (RIB01)</t>
        </is>
      </c>
      <c r="C277" s="7" t="inlineStr">
        <is>
          <t>High</t>
        </is>
      </c>
      <c r="D277" s="3" t="inlineStr">
        <is>
          <t>Contraindication/warning</t>
        </is>
      </c>
      <c r="E277" s="3" t="inlineStr"/>
      <c r="F277" s="3" t="inlineStr">
        <is>
          <t>Fix truncated text: restore CrCl &lt;50 contraindication and &lt;75 kg / &lt;47 kg doses.</t>
        </is>
      </c>
      <c r="G277" s="3" t="inlineStr">
        <is>
          <t>'5. CrCl ' cut off; adult '1. ' (&lt;75 kg line) blank; pediatric '1. ' (&lt;47 kg line) blank; 'Low initial dose… (maximum: 1 g/day [' cut off; renal line 2 cut off</t>
        </is>
      </c>
      <c r="H277" s="3" t="inlineStr">
        <is>
          <t>Text with a '&lt;' character appears to be dropped in rendering (HTML escaping). Intended content: CrCl &lt;50 contraindicated; &lt;75 kg 1 g/day; &lt;47 kg 15 mg/kg/day.</t>
        </is>
      </c>
      <c r="I277" s="3" t="inlineStr">
        <is>
          <t>Hospital P4 page https://pharmacy.fjuh.fju.edu.tw/Key_Search/P4?query=RIB01 compared with DailyMed §4 and EPCLUSA §2.4</t>
        </is>
      </c>
      <c r="J277" s="3" t="inlineStr">
        <is>
          <t>Open</t>
        </is>
      </c>
      <c r="K277" s="3" t="inlineStr"/>
    </row>
    <row r="278">
      <c r="A278" s="3" t="n">
        <v>1458</v>
      </c>
      <c r="B278" s="3" t="inlineStr">
        <is>
          <t>Ribarin (Ribavirin) (RIB01)</t>
        </is>
      </c>
      <c r="C278" s="7" t="inlineStr">
        <is>
          <t>High</t>
        </is>
      </c>
      <c r="D278" s="3" t="inlineStr">
        <is>
          <t>Contraindication/warning</t>
        </is>
      </c>
      <c r="E278" s="3" t="inlineStr"/>
      <c r="F278" s="3" t="inlineStr">
        <is>
          <t>HTML-escape '&lt;' so CrCl &lt;50 contraindication and weight-based doses display.</t>
        </is>
      </c>
      <c r="G278" s="3" t="inlineStr">
        <is>
          <t>Displayed as '5. CrCl' (blank), adult '1.' (blank), pediatric '1.' (blank)</t>
        </is>
      </c>
      <c r="H278" s="3" t="inlineStr">
        <is>
          <t>The raw HTML holds 'CrCl &lt;50 mL/minute', '&lt;75 kg: 1 g/day…' and '&lt;47 kg: 15 mg/kg/day…'. The unescaped '&lt;' is parsed as a tag, so the text disappears. It should be HTML-escaped as &amp;lt;.</t>
        </is>
      </c>
      <c r="I278" s="3" t="inlineStr">
        <is>
          <t>https://pharmacy.fjuh.fju.edu.tw/Key_Search/P4?query=RIB01 (raw HTML inspected)</t>
        </is>
      </c>
      <c r="J278" s="3" t="inlineStr">
        <is>
          <t>Open</t>
        </is>
      </c>
      <c r="K278" s="3" t="inlineStr"/>
    </row>
    <row r="279">
      <c r="A279" s="3" t="n">
        <v>1464</v>
      </c>
      <c r="B279" s="3" t="inlineStr">
        <is>
          <t>Ribarin (Ribavirin) (RIB01)</t>
        </is>
      </c>
      <c r="C279" s="7" t="inlineStr">
        <is>
          <t>High</t>
        </is>
      </c>
      <c r="D279" s="3" t="inlineStr">
        <is>
          <t>Contraindication/warning</t>
        </is>
      </c>
      <c r="E279" s="3" t="inlineStr">
        <is>
          <t>Missing boxed warning</t>
        </is>
      </c>
      <c r="F279" s="3" t="inlineStr">
        <is>
          <t>Add boxed warning (embryo-fetal toxicity, haemolytic anaemia, no monotherapy), pregnancy testing and contraception.</t>
        </is>
      </c>
      <c r="G279" s="3" t="inlineStr">
        <is>
          <t>No licence number, no insert link, no pregnancy-prevention / contraception statement (only '懷孕分類 Contraindicated'), no boxed warning</t>
        </is>
      </c>
      <c r="H279" s="3" t="inlineStr">
        <is>
          <t>The licence is 衛署藥製字第048027號 (TFDA). The labels require a negative pregnancy test before starting, monthly tests, and contraception for 9 months after (female patients; FDA/SmPC; TW says 6 months) and 6 months after (female partners of male patients). The US boxed warning covers embryo-fetal toxicity, haemolytic anaemia and no monotherapy.</t>
        </is>
      </c>
      <c r="I279" s="3" t="inlineStr">
        <is>
          <t>TFDA https://mcp.fda.gov.tw/im_detail_1/%E8%A1%9B%E7%BD%B2%E8%97%A5%E8%A3%BD%E5%AD%97%E7%AC%AC048027%E8%99%9F ; US label Boxed Warning/§8.3</t>
        </is>
      </c>
      <c r="J279" s="3" t="inlineStr">
        <is>
          <t>Open</t>
        </is>
      </c>
      <c r="K279" s="3" t="inlineStr"/>
    </row>
    <row r="280">
      <c r="A280" s="3" t="n">
        <v>1450</v>
      </c>
      <c r="B280" s="3" t="inlineStr">
        <is>
          <t>Ribarin (Ribavirin) (RIB01)</t>
        </is>
      </c>
      <c r="C280" s="7" t="inlineStr">
        <is>
          <t>High</t>
        </is>
      </c>
      <c r="D280" s="3" t="inlineStr">
        <is>
          <t>Dosing – pediatric</t>
        </is>
      </c>
      <c r="E280" s="3" t="inlineStr"/>
      <c r="F280" s="3" t="inlineStr">
        <is>
          <t>Note TW insert not recommended &lt;18 y; bands from Epclusa label; &lt;47 kg needs unstocked solution.</t>
        </is>
      </c>
      <c r="G280" s="3" t="inlineStr">
        <is>
          <t>Children ≥3 y: weight bands 47–49 kg 600 mg, 50–65 kg 800 mg, 66–80 kg 1000 mg, &gt;80 kg 1200 mg</t>
        </is>
      </c>
      <c r="H280" s="3" t="inlineStr">
        <is>
          <t>The Taiwan insert (and UK SmPC) do not recommend use under 18 y. The bands match the US Epclusa+RBV pediatric table, not the stocked product's insert. Doses for children under 47 kg (15 mg/kg/day) cannot be given with 200 mg capsules, which must not be opened; the US label says to use the oral solution, which is not stocked.</t>
        </is>
      </c>
      <c r="I280" s="3" t="inlineStr">
        <is>
          <t>Taiwan insert §3.3; DailyMed ribavirin §2.1/§2.2 Table 2; EPCLUSA §2.4 Table 3</t>
        </is>
      </c>
      <c r="J280" s="3" t="inlineStr">
        <is>
          <t>Open</t>
        </is>
      </c>
      <c r="K280" s="3" t="inlineStr"/>
    </row>
    <row r="281">
      <c r="A281" s="3" t="n">
        <v>1461</v>
      </c>
      <c r="B281" s="3" t="inlineStr">
        <is>
          <t>Ribarin (Ribavirin) (RIB01)</t>
        </is>
      </c>
      <c r="C281" s="7" t="inlineStr">
        <is>
          <t>High</t>
        </is>
      </c>
      <c r="D281" s="3" t="inlineStr">
        <is>
          <t>Dosing – pediatric</t>
        </is>
      </c>
      <c r="E281" s="3" t="inlineStr"/>
      <c r="F281" s="3" t="inlineStr">
        <is>
          <t>Note bands from Epclusa label, TW not recommended &lt;18 y; &lt;47 kg needs unstocked solution.</t>
        </is>
      </c>
      <c r="G281" s="3" t="inlineStr">
        <is>
          <t>Children ≥3 y: &lt;47 kg 15 mg/kg/day; 47–49 kg 600 mg; 50–65 kg 800 mg; 66–80 kg 1000 mg; &gt;80 kg 1200 mg/day</t>
        </is>
      </c>
      <c r="H281" s="3" t="inlineStr">
        <is>
          <t>These bands match the EPCLUSA (SOF/VEL) label Table 3, not ribavirin's own labels. TW仿單 3.3: 不建議用於18歲以下. US capsule label (with PegIntron): 47–59 kg 800, 60–73 kg 1000, &gt;73 kg 1200 mg, and &lt;47 kg must use the oral solution, which is not stocked. The source and the TW off-label status should be stated.</t>
        </is>
      </c>
      <c r="I281" s="3" t="inlineStr">
        <is>
          <t>TW仿單 §3.3 ; US label §2.2 Table 2 ; EPCLUSA §2.4 Table 3 https://dailymed.nlm.nih.gov/dailymed/drugInfo.cfm?setid=7f30631a-ee3b-4cfe-866b-964df3f0a44f</t>
        </is>
      </c>
      <c r="J281" s="3" t="inlineStr">
        <is>
          <t>Open</t>
        </is>
      </c>
      <c r="K281" s="3" t="inlineStr"/>
    </row>
    <row r="282">
      <c r="A282" s="3" t="n">
        <v>1444</v>
      </c>
      <c r="B282" s="3" t="inlineStr">
        <is>
          <t>Ribarin (Ribavirin) (RIB01)</t>
        </is>
      </c>
      <c r="C282" s="7" t="inlineStr">
        <is>
          <t>High</t>
        </is>
      </c>
      <c r="D282" s="3" t="inlineStr">
        <is>
          <t>Dosing – renal/dialysis</t>
        </is>
      </c>
      <c r="E282" s="3" t="inlineStr">
        <is>
          <t>Renal table outdated</t>
        </is>
      </c>
      <c r="F282" s="3" t="inlineStr">
        <is>
          <t>Stocked product contraindicated at CrCl &lt;50; remove UK tablet alternate-day regimen.</t>
        </is>
      </c>
      <c r="G282" s="3" t="inlineStr">
        <is>
          <t>CrCl 30–50: 200 mg and 400 mg on alternate days; CrCl &lt;30 / HD: 200 mg daily (the second line is cut off in the rendered text)</t>
        </is>
      </c>
      <c r="H282" s="3" t="inlineStr">
        <is>
          <t>The labels for the stocked product (Taiwan Ribarin insert, and the US capsule label) contraindicate use at CrCl &lt;50 mL/min and say to stop if SCr &gt;2 mg/dL. The alternate-day regimen comes from the UK tablet SmPC Table 3 (old Copegus regimen).</t>
        </is>
      </c>
      <c r="I282" s="3" t="inlineStr">
        <is>
          <t>Taiwan insert §3.3/§4 https://mcp.fda.gov.tw/im_detail_1/%E8%A1%9B%E7%BD%B2%E8%97%A5%E8%A3%BD%E5%AD%97%E7%AC%AC048027%E8%99%9F ; DailyMed §4 https://dailymed.nlm.nih.gov/dailymed/drugInfo.cfm?setid=35f99f76-f2ef-4a81-91ff-285419664be3 ; UK SmPC §4.2 Table 3 https://www.medicines.org.uk/emc/product/7108/smpc</t>
        </is>
      </c>
      <c r="J282" s="3" t="inlineStr">
        <is>
          <t>Open</t>
        </is>
      </c>
      <c r="K282" s="3" t="inlineStr"/>
    </row>
    <row r="283">
      <c r="A283" s="3" t="n">
        <v>1454</v>
      </c>
      <c r="B283" s="3" t="inlineStr">
        <is>
          <t>Ribarin (Ribavirin) (RIB01)</t>
        </is>
      </c>
      <c r="C283" s="7" t="inlineStr">
        <is>
          <t>High</t>
        </is>
      </c>
      <c r="D283" s="3" t="inlineStr">
        <is>
          <t>Dosing – renal/dialysis</t>
        </is>
      </c>
      <c r="E283" s="3" t="inlineStr">
        <is>
          <t>Renal table outdated</t>
        </is>
      </c>
      <c r="F283" s="3" t="inlineStr">
        <is>
          <t>Resolve contradiction: CrCl &lt;50 contraindicated for stocked product; remove UK tablet regimen.</t>
        </is>
      </c>
      <c r="G283" s="3" t="inlineStr">
        <is>
          <t>CrCl 30–50 mL/min: 200 mg and 400 mg on alternating days; CrCl &lt;30 or hemodialysis: 200 mg once daily. The same page's contraindication #5 says 'CrCl &lt;50 mL/minute', so the page contradicts itself.</t>
        </is>
      </c>
      <c r="H283" s="3" t="inlineStr">
        <is>
          <t>The stocked product's TW仿單 (3.3, §4) and the US capsule label (§4) both make CrCl &lt;50 mL/min a contraindication and say to stop if SCr &gt;2 mg/dL. The alternate-day / 200 mg regimen comes from the UK SmPC for the 200 mg film-coated tablet (Table 3), which is a different product.</t>
        </is>
      </c>
      <c r="I283" s="3" t="inlineStr">
        <is>
          <t>TW仿單 衛署藥製字第048027號 §3.3/§4 https://mcp.fda.gov.tw/im_detail_1/%E8%A1%9B%E7%BD%B2%E8%97%A5%E8%A3%BD%E5%AD%97%E7%AC%AC048027%E8%99%9F ; US label §4 https://dailymed.nlm.nih.gov/dailymed/drugInfo.cfm?setid=35f99f76-f2ef-4a81-91ff-285419664be3 ; UK SmPC §4.2 https://www.medicines.org.uk/emc/product/7108/smpc</t>
        </is>
      </c>
      <c r="J283" s="3" t="inlineStr">
        <is>
          <t>Open</t>
        </is>
      </c>
      <c r="K283" s="3" t="inlineStr"/>
    </row>
    <row r="284">
      <c r="A284" s="3" t="n">
        <v>1115</v>
      </c>
      <c r="B284" s="3" t="inlineStr">
        <is>
          <t>Rifampicin (Rifampin) (RIF04)</t>
        </is>
      </c>
      <c r="C284" s="7" t="inlineStr">
        <is>
          <t>High</t>
        </is>
      </c>
      <c r="D284" s="3" t="inlineStr">
        <is>
          <t>Administration/compatibility</t>
        </is>
      </c>
      <c r="E284" s="3" t="inlineStr"/>
      <c r="F284" s="3" t="inlineStr">
        <is>
          <t>Remove IV routes; FJUH stocks only oral RIF04 capsules.</t>
        </is>
      </c>
      <c r="G284" s="3" t="inlineStr">
        <is>
          <t>Many regimens say 'orally/IV' (and isoniazid 'orally/IM'); paediatric bacterial meningitis is given as IV rifampin; endocarditis 300 mg 'IV or orally'; leprosy 'ORALLY or IV'</t>
        </is>
      </c>
      <c r="H284" s="3" t="inlineStr">
        <is>
          <t>FJUH stocks only the RIF04 oral capsule, and the stocked product's US capsule label says 'Rifampin can be administered by the oral route'. IV routes do not apply to this product.</t>
        </is>
      </c>
      <c r="I284" s="3" t="inlineStr">
        <is>
          <t>US label DOSAGE AND ADMINISTRATION https://dailymed.nlm.nih.gov/dailymed/drugInfo.cfm?setid=50f706f9-5003-4e15-bece-85b6213b1f5c ; hospital P4 page RIF04 (product identification only)</t>
        </is>
      </c>
      <c r="J284" s="3" t="inlineStr">
        <is>
          <t>Open</t>
        </is>
      </c>
      <c r="K284" s="3" t="inlineStr"/>
    </row>
    <row r="285">
      <c r="A285" s="3" t="n">
        <v>1124</v>
      </c>
      <c r="B285" s="3" t="inlineStr">
        <is>
          <t>Rifampicin (Rifampin) (RIF04)</t>
        </is>
      </c>
      <c r="C285" s="7" t="inlineStr">
        <is>
          <t>High</t>
        </is>
      </c>
      <c r="D285" s="3" t="inlineStr">
        <is>
          <t>Administration/compatibility</t>
        </is>
      </c>
      <c r="E285" s="3" t="inlineStr"/>
      <c r="F285" s="3" t="inlineStr">
        <is>
          <t>Remove IV/IM routes; RIF04 is an oral 300 mg capsule with no IV product.</t>
        </is>
      </c>
      <c r="G285" s="3" t="inlineStr">
        <is>
          <t>Most regimens say 'orally/IV' (and isoniazid 'orally/IM'); pediatric meningitis entries are IV-only</t>
        </is>
      </c>
      <c r="H285" s="3" t="inlineStr">
        <is>
          <t>The hospital stocks only RIF04, an oral 300 mg capsule; there is no IV rifampin product. The US capsule label says 'Rifampin can be administered by the oral route'.</t>
        </is>
      </c>
      <c r="I285" s="3" t="inlineStr">
        <is>
          <t>Hospital P4 RIF04 (product identification only); US label DOSAGE AND ADMINISTRATION</t>
        </is>
      </c>
      <c r="J285" s="3" t="inlineStr">
        <is>
          <t>Open</t>
        </is>
      </c>
      <c r="K285" s="3" t="inlineStr"/>
    </row>
    <row r="286">
      <c r="A286" s="3" t="n">
        <v>1118</v>
      </c>
      <c r="B286" s="3" t="inlineStr">
        <is>
          <t>Rifampicin (Rifampin) (RIF04)</t>
        </is>
      </c>
      <c r="C286" s="7" t="inlineStr">
        <is>
          <t>High</t>
        </is>
      </c>
      <c r="D286" s="3" t="inlineStr">
        <is>
          <t>Dosing – adult</t>
        </is>
      </c>
      <c r="E286" s="3" t="inlineStr"/>
      <c r="F286" s="3" t="inlineStr">
        <is>
          <t>Replace HRZ regimen under latent TB with 4R (or 3HR/3HP); RIF-PZA not recommended for LTBI.</t>
        </is>
      </c>
      <c r="G286" s="3" t="inlineStr">
        <is>
          <t>Initial 10 mg/kg/day (with isoniazid and pyrazinamide) oral/IV once daily for 2 months, then with isoniazid for 4 months or longer</t>
        </is>
      </c>
      <c r="H286" s="3" t="inlineStr">
        <is>
          <t>This is an active-TB regimen (2HRZ → 4HR) filed under latent TB. The NTCA/CDC 2020 preferred LTBI rifamycin regimens are 3HP, 4R (rifampin daily × 4 months) and 3HR; a pyrazinamide-containing regimen is not among the recommended LTBI regimens.</t>
        </is>
      </c>
      <c r="I286" s="3" t="inlineStr">
        <is>
          <t>Sterling TR et al. MMWR Recomm Rep 2020;69(1):1-11, PMID 32053584 https://pubmed.ncbi.nlm.nih.gov/32053584/</t>
        </is>
      </c>
      <c r="J286" s="3" t="inlineStr">
        <is>
          <t>Open</t>
        </is>
      </c>
      <c r="K286" s="3" t="inlineStr"/>
    </row>
    <row r="287">
      <c r="A287" s="3" t="n">
        <v>1127</v>
      </c>
      <c r="B287" s="3" t="inlineStr">
        <is>
          <t>Rifampicin (Rifampin) (RIF04)</t>
        </is>
      </c>
      <c r="C287" s="7" t="inlineStr">
        <is>
          <t>High</t>
        </is>
      </c>
      <c r="D287" s="3" t="inlineStr">
        <is>
          <t>Dosing – adult</t>
        </is>
      </c>
      <c r="E287" s="3" t="inlineStr"/>
      <c r="F287" s="3" t="inlineStr">
        <is>
          <t>Replace LTBI entry with 4R 10 mg/kg (max 600 mg) × 4 months or 3HR; remove RIF-PZA.</t>
        </is>
      </c>
      <c r="G287" s="3" t="inlineStr">
        <is>
          <t>Inactive TB: 10 mg/kg/day with isoniazid + pyrazinamide × 2 months, then with isoniazid × 4 months</t>
        </is>
      </c>
      <c r="H287" s="3" t="inlineStr">
        <is>
          <t>This is the active-TB regimen. Current LTBI regimens are 4R (rifampin 10 mg/kg qd, max 600 mg × 4 mo; children 15–20 mg/kg) or 3HR. RIF-PZA is not a recommended LTBI regimen.</t>
        </is>
      </c>
      <c r="I287" s="3" t="inlineStr">
        <is>
          <t>CDC/NTCA LTBI 2020, PMID 32053584 https://pubmed.ncbi.nlm.nih.gov/32053584/</t>
        </is>
      </c>
      <c r="J287" s="3" t="inlineStr">
        <is>
          <t>Open</t>
        </is>
      </c>
      <c r="K287" s="3" t="inlineStr"/>
    </row>
    <row r="288">
      <c r="A288" s="3" t="n">
        <v>1113</v>
      </c>
      <c r="B288" s="3" t="inlineStr">
        <is>
          <t>Rifampicin (Rifampin) (RIF04)</t>
        </is>
      </c>
      <c r="C288" s="7" t="inlineStr">
        <is>
          <t>High</t>
        </is>
      </c>
      <c r="D288" s="3" t="inlineStr">
        <is>
          <t>Dosing – hepatic</t>
        </is>
      </c>
      <c r="E288" s="3" t="inlineStr"/>
      <c r="F288" s="3" t="inlineStr">
        <is>
          <t>Add max 8 mg/kg/day in hepatic impairment, contraindication in jaundice, LFT monitoring every 2–4 weeks.</t>
        </is>
      </c>
      <c r="G288" s="3" t="inlineStr">
        <is>
          <t>significantly prolonged half-life ... no specific dosing recommendations available</t>
        </is>
      </c>
      <c r="H288" s="3" t="inlineStr">
        <is>
          <t>Max 8 mg/kg/day in hepatic impairment (UK 4.2; TW 6.6); contraindicated with jaundice (UK 4.3; TW 4); US: use only if necessary, with LFTs before therapy and every 2–4 weeks.</t>
        </is>
      </c>
      <c r="I288" s="3" t="inlineStr">
        <is>
          <t>UK SmPC 4.2/4.3 https://www.medicines.org.uk/emc/product/6382/smpc ; Taiwan 仿單 §4/§6.6 ; US label WARNINGS</t>
        </is>
      </c>
      <c r="J288" s="3" t="inlineStr">
        <is>
          <t>Open</t>
        </is>
      </c>
      <c r="K288" s="3" t="inlineStr"/>
    </row>
    <row r="289">
      <c r="A289" s="3" t="n">
        <v>1122</v>
      </c>
      <c r="B289" s="3" t="inlineStr">
        <is>
          <t>Rifampicin (Rifampin) (RIF04)</t>
        </is>
      </c>
      <c r="C289" s="7" t="inlineStr">
        <is>
          <t>High</t>
        </is>
      </c>
      <c r="D289" s="3" t="inlineStr">
        <is>
          <t>Dosing – hepatic</t>
        </is>
      </c>
      <c r="E289" s="3" t="inlineStr"/>
      <c r="F289" s="3" t="inlineStr">
        <is>
          <t>Add max 8 mg/kg/day hepatic impairment, jaundice contraindication and LFT monitoring schedule.</t>
        </is>
      </c>
      <c r="G289" s="3" t="inlineStr">
        <is>
          <t>significantly prolonged half-life reported in liver disease; no specific dosing recommendations available</t>
        </is>
      </c>
      <c r="H289" s="3" t="inlineStr">
        <is>
          <t>Do not exceed 8 mg/kg/day in hepatic impairment (UK 4.2; TW 6.6). Contraindicated in jaundice (UK 4.3; TW §4). Close LFT monitoring (US WARNINGS: q2–4 wk; UK: weekly × 2 wk, then q2wk × 6 wk).</t>
        </is>
      </c>
      <c r="I289" s="3" t="inlineStr">
        <is>
          <t>UK SmPC 4.2/4.3/4.4; TW 仿單 §4/§6.6; US label WARNINGS</t>
        </is>
      </c>
      <c r="J289" s="3" t="inlineStr">
        <is>
          <t>Open</t>
        </is>
      </c>
      <c r="K289" s="3" t="inlineStr"/>
    </row>
    <row r="290">
      <c r="A290" s="3" t="n">
        <v>1128</v>
      </c>
      <c r="B290" s="3" t="inlineStr">
        <is>
          <t>Rifampicin (Rifampin) (RIF04)</t>
        </is>
      </c>
      <c r="C290" s="7" t="inlineStr">
        <is>
          <t>High</t>
        </is>
      </c>
      <c r="D290" s="3" t="inlineStr">
        <is>
          <t>Dosing – pediatric</t>
        </is>
      </c>
      <c r="E290" s="3" t="inlineStr"/>
      <c r="F290" s="3" t="inlineStr">
        <is>
          <t>Correct TIW 4-month continuation dose count to 54; 126 doses applies to daily dosing.</t>
        </is>
      </c>
      <c r="G290" s="3" t="inlineStr">
        <is>
          <t>(≥ 15 y or &gt; 40 kg) Continuation phase, 3 times weekly × 4 months (126 doses)</t>
        </is>
      </c>
      <c r="H290" s="3" t="inlineStr">
        <is>
          <t>Internally inconsistent: the same regimen on the adult section says 54 doses (3 × weekly × 18 wk); 126 doses applies to daily dosing.</t>
        </is>
      </c>
      <c r="I290" s="3" t="inlineStr">
        <is>
          <t>Hospital P4 RIF04 internal comparison; ATS/CDC/IDSA 2016 PMID 27516382</t>
        </is>
      </c>
      <c r="J290" s="3" t="inlineStr">
        <is>
          <t>Open</t>
        </is>
      </c>
      <c r="K290" s="3" t="inlineStr"/>
    </row>
    <row r="291">
      <c r="A291" s="3" t="n">
        <v>1112</v>
      </c>
      <c r="B291" s="3" t="inlineStr">
        <is>
          <t>Rifampicin (Rifampin) (RIF04)</t>
        </is>
      </c>
      <c r="C291" s="7" t="inlineStr">
        <is>
          <t>High</t>
        </is>
      </c>
      <c r="D291" s="3" t="inlineStr">
        <is>
          <t>Dosing – renal/dialysis</t>
        </is>
      </c>
      <c r="E291" s="3" t="inlineStr">
        <is>
          <t>Renal table outdated</t>
        </is>
      </c>
      <c r="F291" s="3" t="inlineStr">
        <is>
          <t>Remove renal dose reduction and post-PD supplement; no adjustment at ≤600 mg/day, not dialysed.</t>
        </is>
      </c>
      <c r="G291" s="3" t="inlineStr">
        <is>
          <t>CKD/ESRD and HIV: CrCl ≤50 mL/min 50–100% of full dose; HD 50–100%; PD 50–100% with an extra 50–100% dose after PD [ref 20, HIV/CKD source]</t>
        </is>
      </c>
      <c r="H291" s="3" t="inlineStr">
        <is>
          <t>No dose reduction in renal impairment; not removed by HD or PD (TW 仿單 6.7, 5.1.9). The US label says t½ is unchanged at ≤600 mg/day, so no adjustment is required; UK 5.2 is the same. The hospital page's own PK field also says 'not removed ... by either hemodialysis or peritoneal dialysis', which contradicts its post-PD supplement.</t>
        </is>
      </c>
      <c r="I291" s="3" t="inlineStr">
        <is>
          <t>Taiwan 仿單 §6.7/§5.1.9 https://mcp.fda.gov.tw/im_detail_1/%E8%A1%9B%E7%BD%B2%E8%97%A5%E8%A3%BD%E5%AD%97%E7%AC%AC044061%E8%99%9F ; US label Clinical Pharmacology https://dailymed.nlm.nih.gov/dailymed/drugInfo.cfm?setid=50f706f9-5003-4e15-bece-85b6213b1f5c ; UK SmPC 5.2 https://www.medicines.org.uk/emc/product/6382/smpc</t>
        </is>
      </c>
      <c r="J291" s="3" t="inlineStr">
        <is>
          <t>Open</t>
        </is>
      </c>
      <c r="K291" s="3" t="inlineStr"/>
    </row>
    <row r="292">
      <c r="A292" s="3" t="n">
        <v>1121</v>
      </c>
      <c r="B292" s="3" t="inlineStr">
        <is>
          <t>Rifampicin (Rifampin) (RIF04)</t>
        </is>
      </c>
      <c r="C292" s="7" t="inlineStr">
        <is>
          <t>High</t>
        </is>
      </c>
      <c r="D292" s="3" t="inlineStr">
        <is>
          <t>Dosing – renal/dialysis</t>
        </is>
      </c>
      <c r="E292" s="3" t="inlineStr">
        <is>
          <t>Renal table outdated</t>
        </is>
      </c>
      <c r="F292" s="3" t="inlineStr">
        <is>
          <t>Delete CrCl ≤50/HD/PD reductions and post-PD dose; rifampin needs no renal adjustment.</t>
        </is>
      </c>
      <c r="G292" s="3" t="inlineStr">
        <is>
          <t>CKD/ESRD + HIV: CrCl ≤ 50 mL/min 50–100% of full dose; HD 50–100%; PD 50–100% plus an extra 50–100% dose after PD [ref 20]</t>
        </is>
      </c>
      <c r="H292" s="3" t="inlineStr">
        <is>
          <t>No dose adjustment in renal failure at ≤ 600 mg/day (US Clin Pharm; UK 5.2; TW 仿單 6.7 不需降低劑量). Not removed by HD or PD (TW 5.1.9), so no post-dialysis supplement. The hospital page's own PK field also says it is not removed by HD/PD.</t>
        </is>
      </c>
      <c r="I292" s="3" t="inlineStr">
        <is>
          <t>US label CLINICAL PHARMACOLOGY https://dailymed.nlm.nih.gov/dailymed/drugInfo.cfm?setid=50f706f9-5003-4e15-bece-85b6213b1f5c ; UK SmPC 5.2 https://www.medicines.org.uk/emc/product/6382/smpc ; TW 仿單 §5.1.9/§6.7 https://mcp.fda.gov.tw/im_detail_1/%E8%A1%9B%E7%BD%B2%E8%97%A5%E8%A3%BD%E5%AD%97%E7%AC%AC044061%E8%99%9F</t>
        </is>
      </c>
      <c r="J292" s="3" t="inlineStr">
        <is>
          <t>Open</t>
        </is>
      </c>
      <c r="K292" s="3" t="inlineStr"/>
    </row>
    <row r="293">
      <c r="A293" s="3" t="n">
        <v>1116</v>
      </c>
      <c r="B293" s="3" t="inlineStr">
        <is>
          <t>Rifampicin (Rifampin) (RIF04)</t>
        </is>
      </c>
      <c r="C293" s="7" t="inlineStr">
        <is>
          <t>High</t>
        </is>
      </c>
      <c r="D293" s="3" t="inlineStr">
        <is>
          <t>Drug interaction</t>
        </is>
      </c>
      <c r="E293" s="3" t="inlineStr">
        <is>
          <t>Interaction list incomplete</t>
        </is>
      </c>
      <c r="F293" s="3" t="inlineStr">
        <is>
          <t>Add cabotegravir, fostemsavir, lenacapavir, praziquantel, lurasidone, bictegravir, voriconazole, HCV DAAs, jaundice.</t>
        </is>
      </c>
      <c r="G293" s="3" t="inlineStr">
        <is>
          <t>atazanavir, darunavir, fosamprenavir, saquinavir (± ritonavir), tipranavir; rilpivirine or elvitegravir/cobicistat [25]; rifamycin hypersensitivity</t>
        </is>
      </c>
      <c r="H293" s="3" t="inlineStr">
        <is>
          <t>The current US rifampin label also lists cabotegravir, fostemsavir, lenacapavir (Sunlenca), praziquantel and lurasidone; UK adds jaundice, sofosbuvir, daclatasvir and telaprevir; TW adds jaundice. Rilpivirine and elvitegravir/cobicistat are contraindicated in their own labels (Edurant, Genvoya), not in the rifampin label, and bictegravir (Biktarvy) and voriconazole (Vfend) are missing.</t>
        </is>
      </c>
      <c r="I293" s="3" t="inlineStr">
        <is>
          <t>US label CONTRAINDICATIONS https://dailymed.nlm.nih.gov/dailymed/drugInfo.cfm?setid=50f706f9-5003-4e15-bece-85b6213b1f5c ; UK SmPC 4.3 https://www.medicines.org.uk/emc/product/6382/smpc ; Taiwan 仿單 §4</t>
        </is>
      </c>
      <c r="J293" s="3" t="inlineStr">
        <is>
          <t>Open</t>
        </is>
      </c>
      <c r="K293" s="3" t="inlineStr"/>
    </row>
    <row r="294">
      <c r="A294" s="3" t="n">
        <v>1126</v>
      </c>
      <c r="B294" s="3" t="inlineStr">
        <is>
          <t>Rifampicin (Rifampin) (RIF04)</t>
        </is>
      </c>
      <c r="C294" s="7" t="inlineStr">
        <is>
          <t>High</t>
        </is>
      </c>
      <c r="D294" s="3" t="inlineStr">
        <is>
          <t>Drug interaction</t>
        </is>
      </c>
      <c r="E294" s="3" t="inlineStr">
        <is>
          <t>Interaction list incomplete</t>
        </is>
      </c>
      <c r="F294" s="3" t="inlineStr">
        <is>
          <t>Update contraindicated co-medications per current US/UK/TW labels and add jaundice.</t>
        </is>
      </c>
      <c r="G294" s="3" t="inlineStr">
        <is>
          <t>atazanavir, darunavir, fosamprenavir, saquinavir (± ritonavir), tipranavir; rilpivirine, elvitegravir/cobicistat; rifamycin hypersensitivity</t>
        </is>
      </c>
      <c r="H294" s="3" t="inlineStr">
        <is>
          <t>Missing from the hospital list: cabotegravir, fostemsavir, lenacapavir, praziquantel and lurasidone (current US label); sofosbuvir, daclatasvir and telaprevir (UK 4.3); and jaundice (UK 4.3 and the stocked product's TW 仿單 §4). Rilpivirine and E/C are contraindicated by their own labels (Edurant/Genvoya), not by the rifampin label. Bictegravir (Biktarvy) and voriconazole are also contraindicated per their own labels.</t>
        </is>
      </c>
      <c r="I294" s="3" t="inlineStr">
        <is>
          <t>US label CONTRAINDICATIONS; UK SmPC 4.3; TW 仿單 §4; Edurant/Genvoya/Biktarvy/Vfend labels (DailyMed)</t>
        </is>
      </c>
      <c r="J294" s="3" t="inlineStr">
        <is>
          <t>Open</t>
        </is>
      </c>
      <c r="K294" s="3" t="inlineStr"/>
    </row>
    <row r="295">
      <c r="A295" s="3" t="n">
        <v>796</v>
      </c>
      <c r="B295" s="3" t="inlineStr">
        <is>
          <t>SABS (Metronidazole) (SAB03, TOL01)</t>
        </is>
      </c>
      <c r="C295" s="7" t="inlineStr">
        <is>
          <t>High</t>
        </is>
      </c>
      <c r="D295" s="3" t="inlineStr">
        <is>
          <t>Contraindication/warning</t>
        </is>
      </c>
      <c r="E295" s="3" t="inlineStr"/>
      <c r="F295" s="3" t="inlineStr">
        <is>
          <t>Add Cockayne syndrome, blood disease, CNS disease, 1st trimester (any indication) to SAB03 CIs</t>
        </is>
      </c>
      <c r="G295" s="3" t="inlineStr">
        <is>
          <t>(1) hypersensitivity; (2) 1st trimester only in trichomoniasis; (3) disulfiram within 2 wk, alcohol/propylene glycol within 3 d. Cockayne syndrome is not listed.</t>
        </is>
      </c>
      <c r="H295" s="3" t="inlineStr">
        <is>
          <t>TW SABS 仿單 4 contraindicates: hypersensitivity; 血液疾病; 腦、脊髓疾病; 懷孕三個月內 (any indication); Cockayne syndrome. The US injection label contraindicates hypersensitivity, disulfiram, alcohol/PG for 3 d, and Cockayne syndrome. The 'first trimester with trichomoniasis' wording comes from the US oral (FLAGYL) label, not the IV label. Item 3 IS label-supported, contrary to the brief.</t>
        </is>
      </c>
      <c r="I295" s="3" t="inlineStr">
        <is>
          <t>https://mcp.fda.gov.tw/im_detail_1/%E8%A1%9B%E7%BD%B2%E8%97%A5%E8%A3%BD%E5%AD%97%E7%AC%AC026817%E8%99%9F ; https://dailymed.nlm.nih.gov/dailymed/drugInfo.cfm?setid=e4ea0c09-cdd1-4708-962c-6ba28b989df3</t>
        </is>
      </c>
      <c r="J295" s="3" t="inlineStr">
        <is>
          <t>Open</t>
        </is>
      </c>
      <c r="K295" s="3" t="inlineStr"/>
    </row>
    <row r="296">
      <c r="A296" s="3" t="n">
        <v>797</v>
      </c>
      <c r="B296" s="3" t="inlineStr">
        <is>
          <t>SABS (Metronidazole) (SAB03, TOL01)</t>
        </is>
      </c>
      <c r="C296" s="7" t="inlineStr">
        <is>
          <t>High</t>
        </is>
      </c>
      <c r="D296" s="3" t="inlineStr">
        <is>
          <t>Contraindication/warning</t>
        </is>
      </c>
      <c r="E296" s="3" t="inlineStr"/>
      <c r="F296" s="3" t="inlineStr">
        <is>
          <t>Add Cockayne, blood/CNS disease, 1st trimester, alcohol/propylene glycol 3 d to TOL01 CIs</t>
        </is>
      </c>
      <c r="G296" s="3" t="inlineStr">
        <is>
          <t>Hypersensitivity; 1st trimester with trichomoniasis; disulfiram within 2 wk.</t>
        </is>
      </c>
      <c r="H296" s="3" t="inlineStr">
        <is>
          <t>TW Tolizole 仿單 4.1–4.5 also lists blood disease, brain/spinal-cord disease, all 1st-trimester use, and Cockayne syndrome. The US FLAGYL contraindications also include alcohol/propylene glycol for ≥3 d and Cockayne syndrome.</t>
        </is>
      </c>
      <c r="I296" s="3" t="inlineStr">
        <is>
          <t>https://mcp.fda.gov.tw/im_detail_1/%E8%A1%9B%E7%BD%B2%E8%97%A5%E8%A3%BD%E5%AD%97%E7%AC%AC041025%E8%99%9F ; https://dailymed.nlm.nih.gov/dailymed/drugInfo.cfm?setid=a2883ca1-5a9a-4259-9d80-46ab67274384</t>
        </is>
      </c>
      <c r="J296" s="3" t="inlineStr">
        <is>
          <t>Open</t>
        </is>
      </c>
      <c r="K296" s="3" t="inlineStr"/>
    </row>
    <row r="297">
      <c r="A297" s="3" t="n">
        <v>807</v>
      </c>
      <c r="B297" s="3" t="inlineStr">
        <is>
          <t>SABS (Metronidazole) (SAB03, TOL01)</t>
        </is>
      </c>
      <c r="C297" s="7" t="inlineStr">
        <is>
          <t>High</t>
        </is>
      </c>
      <c r="D297" s="3" t="inlineStr">
        <is>
          <t>Contraindication/warning</t>
        </is>
      </c>
      <c r="E297" s="3" t="inlineStr"/>
      <c r="F297" s="3" t="inlineStr">
        <is>
          <t>Add Cockayne syndrome, blood dyscrasia, CNS disease, 1st trimester CIs to both pages</t>
        </is>
      </c>
      <c r="G297" s="3" t="inlineStr">
        <is>
          <t>Lists hypersensitivity, first trimester in trichomoniasis and disulfiram. No Cockayne syndrome. No blood dyscrasia or CNS-disease contraindication.</t>
        </is>
      </c>
      <c r="H297" s="3" t="inlineStr">
        <is>
          <t>Both TW 仿單 contraindicate Cockayne syndrome, blood disease, brain/spinal cord disease and the first trimester (any indication). The US labels also contraindicate Cockayne syndrome.</t>
        </is>
      </c>
      <c r="I297" s="3" t="inlineStr">
        <is>
          <t>TW 仿單 SABS §4 &amp; Tolizole §4 — https://mcp.fda.gov.tw/im_detail_1/%E8%A1%9B%E7%BD%B2%E8%97%A5%E8%A3%BD%E5%AD%97%E7%AC%AC041025%E8%99%9F; US IV label CONTRAINDICATIONS</t>
        </is>
      </c>
      <c r="J297" s="3" t="inlineStr">
        <is>
          <t>Open</t>
        </is>
      </c>
      <c r="K297" s="3" t="inlineStr"/>
    </row>
    <row r="298">
      <c r="A298" s="3" t="n">
        <v>795</v>
      </c>
      <c r="B298" s="3" t="inlineStr">
        <is>
          <t>SABS (Metronidazole) (SAB03, TOL01)</t>
        </is>
      </c>
      <c r="C298" s="7" t="inlineStr">
        <is>
          <t>High</t>
        </is>
      </c>
      <c r="D298" s="3" t="inlineStr">
        <is>
          <t>Dosing – hepatic</t>
        </is>
      </c>
      <c r="E298" s="3" t="inlineStr"/>
      <c r="F298" s="3" t="inlineStr">
        <is>
          <t>Replace SAB03 'extend to q12h' rule with label: severe hepatic disease reduce dose, monitor levels</t>
        </is>
      </c>
      <c r="G298" s="3" t="inlineStr">
        <is>
          <t>SAB03: keep the dose and extend q6–8h to q12h. TOL01: reduce the dose by 50% for every indication.</t>
        </is>
      </c>
      <c r="H298" s="3" t="inlineStr">
        <is>
          <t>US FLAGYL (PO): amebiasis → reduce the dose by 50%; trichomoniasis → q12h to q24h; Child-Pugh A/B no change. US injection: in severe hepatic disease give doses below the usual ones, cautiously, and monitor plasma levels. UK: reduce the dose with serum-level monitoring. TW inserts: 劑量調整可能有其必要. No label states SAB03's 'extend to q12h' rule.</t>
        </is>
      </c>
      <c r="I298" s="3" t="inlineStr">
        <is>
          <t>https://dailymed.nlm.nih.gov/dailymed/drugInfo.cfm?setid=a2883ca1-5a9a-4259-9d80-46ab67274384 ; https://dailymed.nlm.nih.gov/dailymed/drugInfo.cfm?setid=e4ea0c09-cdd1-4708-962c-6ba28b989df3 ; https://www.medicines.org.uk/emc/product/1842/smpc</t>
        </is>
      </c>
      <c r="J298" s="3" t="inlineStr">
        <is>
          <t>Open</t>
        </is>
      </c>
      <c r="K298" s="3" t="inlineStr"/>
    </row>
    <row r="299">
      <c r="A299" s="3" t="n">
        <v>805</v>
      </c>
      <c r="B299" s="3" t="inlineStr">
        <is>
          <t>SABS (Metronidazole) (SAB03, TOL01)</t>
        </is>
      </c>
      <c r="C299" s="7" t="inlineStr">
        <is>
          <t>High</t>
        </is>
      </c>
      <c r="D299" s="3" t="inlineStr">
        <is>
          <t>Dosing – hepatic</t>
        </is>
      </c>
      <c r="E299" s="3" t="inlineStr"/>
      <c r="F299" s="3" t="inlineStr">
        <is>
          <t>Harmonise Child-Pugh C: reduce dose (e.g. 50%) with monitoring; remove SAB03 interval rule</t>
        </is>
      </c>
      <c r="G299" s="3" t="inlineStr">
        <is>
          <t>SAB03: keep the dose and extend q6–8h to q12h. TOL01: reduce the dose by 50%.</t>
        </is>
      </c>
      <c r="H299" s="3" t="inlineStr">
        <is>
          <t>US oral tablet label: reduce the dose by 50% in Child-Pugh C, so TOL01 matches the label. The Flagyl capsule label gives 50% for amebiasis and q24h for trichomoniasis. US IV label: doses below usual plus plasma-level monitoring. UK: dose reduction with serum-level monitoring. SAB03's interval rule is from a drug database, not a label. The brief was wrong to say the labels give only 'doses below usual'.</t>
        </is>
      </c>
      <c r="I299" s="3" t="inlineStr">
        <is>
          <t>US Metronidazole Tablets (Teva) label — https://dailymed.nlm.nih.gov/dailymed/drugInfo.cfm?setid=291a45f6-ed27-4dcc-8364-358d08623797; UK SmPC 4.2 — https://www.medicines.org.uk/emc/product/1842/smpc</t>
        </is>
      </c>
      <c r="J299" s="3" t="inlineStr">
        <is>
          <t>Open</t>
        </is>
      </c>
      <c r="K299" s="3" t="inlineStr"/>
    </row>
    <row r="300">
      <c r="A300" s="3" t="n">
        <v>798</v>
      </c>
      <c r="B300" s="3" t="inlineStr">
        <is>
          <t>SABS (Metronidazole) (SAB03, TOL01)</t>
        </is>
      </c>
      <c r="C300" s="7" t="inlineStr">
        <is>
          <t>High</t>
        </is>
      </c>
      <c r="D300" s="3" t="inlineStr">
        <is>
          <t>Dosing – pediatric</t>
        </is>
      </c>
      <c r="E300" s="3" t="inlineStr"/>
      <c r="F300" s="3" t="inlineStr">
        <is>
          <t>Remove oral regimen; state peds dose not established (TW) or US infant &lt;4 mo IAI regimen</t>
        </is>
      </c>
      <c r="G300" s="3" t="inlineStr">
        <is>
          <t>An oral regimen (15–50 mg/kg/day q8h) is listed on an IV-only product. IV: 22.5–40 mg/kg/day divided q6–8h for infants, children and adolescents.</t>
        </is>
      </c>
      <c r="H300" s="3" t="inlineStr">
        <is>
          <t>TW SABS 仿單 3.1/6.4: 一般兒童劑量尚未確立. US injection: only for IAI in infants &lt;4 months (15 mg/kg loading, then 7.5 mg/kg q12/8/6h by post-menstrual age); ≥4 months not established. UK SmPC: 20–30 mg/kg/day (up to 40) for &gt;8 wk–12 y.</t>
        </is>
      </c>
      <c r="I300" s="3" t="inlineStr">
        <is>
          <t>https://mcp.fda.gov.tw/im_detail_1/%E8%A1%9B%E7%BD%B2%E8%97%A5%E8%A3%BD%E5%AD%97%E7%AC%AC026817%E8%99%9F ; https://dailymed.nlm.nih.gov/dailymed/drugInfo.cfm?setid=e4ea0c09-cdd1-4708-962c-6ba28b989df3 ; https://www.medicines.org.uk/emc/product/1842/smpc</t>
        </is>
      </c>
      <c r="J300" s="3" t="inlineStr">
        <is>
          <t>Open</t>
        </is>
      </c>
      <c r="K300" s="3" t="inlineStr"/>
    </row>
    <row r="301">
      <c r="A301" s="3" t="n">
        <v>808</v>
      </c>
      <c r="B301" s="3" t="inlineStr">
        <is>
          <t>SABS (Metronidazole) (SAB03, TOL01)</t>
        </is>
      </c>
      <c r="C301" s="7" t="inlineStr">
        <is>
          <t>High</t>
        </is>
      </c>
      <c r="D301" s="3" t="inlineStr">
        <is>
          <t>Dosing – pediatric</t>
        </is>
      </c>
      <c r="E301" s="3" t="inlineStr"/>
      <c r="F301" s="3" t="inlineStr">
        <is>
          <t>Remove oral regimen from IV page; peds dose not established (TW)/US infant IAI only</t>
        </is>
      </c>
      <c r="G301" s="3" t="inlineStr">
        <is>
          <t>Gives an oral regimen (15–50 mg/kg/day q8h) for an IV-only product, and IV 22.5–40 mg/kg/day q6–8h for infants to adolescents.</t>
        </is>
      </c>
      <c r="H301" s="3" t="inlineStr">
        <is>
          <t>TW SABS 仿單: pediatric dose not established. US IV label: only infants under 4 months with IAI (15 mg/kg LD, then 7.5 mg/kg q12/8/6h by PMA); not established at 4 months or older. UK IV: 20–30 mg/kg/day, up to 40, for &gt;8 weeks to 12 years. The oral regimen does not belong on the IV product page.</t>
        </is>
      </c>
      <c r="I301" s="3" t="inlineStr">
        <is>
          <t>US IV label Table 2/Pediatric Use; TW 仿單 SABS §3.1; UK SmPC IV 4.2</t>
        </is>
      </c>
      <c r="J301" s="3" t="inlineStr">
        <is>
          <t>Open</t>
        </is>
      </c>
      <c r="K301" s="3" t="inlineStr"/>
    </row>
    <row r="302">
      <c r="A302" s="3" t="n">
        <v>804</v>
      </c>
      <c r="B302" s="3" t="inlineStr">
        <is>
          <t>SABS (Metronidazole) (SAB03, TOL01)</t>
        </is>
      </c>
      <c r="C302" s="7" t="inlineStr">
        <is>
          <t>High</t>
        </is>
      </c>
      <c r="D302" s="3" t="inlineStr">
        <is>
          <t>Dosing – renal/dialysis</t>
        </is>
      </c>
      <c r="E302" s="3" t="inlineStr">
        <is>
          <t>Renal table outdated</t>
        </is>
      </c>
      <c r="F302" s="3" t="inlineStr">
        <is>
          <t>Remove reduced CrCl&lt;10/HD regimens; labels: no reduction in anuria, dose after HD</t>
        </is>
      </c>
      <c r="G302" s="3" t="inlineStr">
        <is>
          <t>For CrCl &lt;10, 500 mg q12h may be adequate. For intermittent HD, 500 mg q8–12h.</t>
        </is>
      </c>
      <c r="H302" s="3" t="inlineStr">
        <is>
          <t>US IV label: the dose should not be specifically reduced in anuric patients, because HD removes the metabolites. TW SABS 仿單 §5.1 says the same (無尿症患者一般不需要減少劑量). UK: re-administer after HD. The hospital's reduced regimens are not in any label.</t>
        </is>
      </c>
      <c r="I302" s="3" t="inlineStr">
        <is>
          <t>US IV label DOSAGE; TW 仿單 衛署藥製字第026817號 §5.1 — https://mcp.fda.gov.tw/im_detail_1/%E8%A1%9B%E7%BD%B2%E8%97%A5%E8%A3%BD%E5%AD%97%E7%AC%AC026817%E8%99%9F</t>
        </is>
      </c>
      <c r="J302" s="3" t="inlineStr">
        <is>
          <t>Open</t>
        </is>
      </c>
      <c r="K302" s="3" t="inlineStr"/>
    </row>
    <row r="303">
      <c r="A303" s="3" t="n">
        <v>423</v>
      </c>
      <c r="B303" s="3" t="inlineStr">
        <is>
          <t>Seforce (ciprofloxacin) (SEF02, CIN02)</t>
        </is>
      </c>
      <c r="C303" s="7" t="inlineStr">
        <is>
          <t>High</t>
        </is>
      </c>
      <c r="D303" s="3" t="inlineStr">
        <is>
          <t>Dosing – adult</t>
        </is>
      </c>
      <c r="E303" s="3" t="inlineStr"/>
      <c r="F303" s="3" t="inlineStr">
        <is>
          <t>Remove 500 mg q12h typhoid dose from IV page (oral dose); IV is 200–400 mg</t>
        </is>
      </c>
      <c r="G303" s="3" t="inlineStr">
        <is>
          <t>Typhoid fever: 500 mg Q12H (listed on the IV product page)</t>
        </is>
      </c>
      <c r="H303" s="3" t="inlineStr">
        <is>
          <t>500 mg q12h is an oral tablet dose (US oral label Table 1: typhoid 500 mg q12h × 10 d; UK SmPC 4.2: 500 mg BID × 7 d). The US IV label has no typhoid indication, and the Seforce 仿單 IV doses are 200-400 mg.</t>
        </is>
      </c>
      <c r="I303" s="3" t="inlineStr">
        <is>
          <t>US FDA label (Aurobindo tablets) 2.1 - https://dailymed.nlm.nih.gov/dailymed/drugInfo.cfm?setid=6a935846-3c97-4517-bc4e-2377f673285e; US FDA label (Sagent IV) 2.1 - https://dailymed.nlm.nih.gov/dailymed/drugInfo.cfm?setid=f406e796-17d9-4465-b8a7-00d966a4ba74</t>
        </is>
      </c>
      <c r="J303" s="3" t="inlineStr">
        <is>
          <t>Open</t>
        </is>
      </c>
      <c r="K303" s="3" t="inlineStr"/>
    </row>
    <row r="304">
      <c r="A304" s="3" t="n">
        <v>428</v>
      </c>
      <c r="B304" s="3" t="inlineStr">
        <is>
          <t>Seforce (ciprofloxacin) (SEF02, CIN02)</t>
        </is>
      </c>
      <c r="C304" s="7" t="inlineStr">
        <is>
          <t>High</t>
        </is>
      </c>
      <c r="D304" s="3" t="inlineStr">
        <is>
          <t>Dosing – adult</t>
        </is>
      </c>
      <c r="E304" s="3" t="inlineStr"/>
      <c r="F304" s="3" t="inlineStr">
        <is>
          <t>Remove 500 mg IV typhoid dose; that is the oral regimen</t>
        </is>
      </c>
      <c r="G304" s="3" t="inlineStr">
        <is>
          <t>Typhoid fever: 500 mg Q12H (on the IV product page)</t>
        </is>
      </c>
      <c r="H304" s="3" t="inlineStr">
        <is>
          <t>500 mg q12h is the oral dose (UK SmPC 4.2: typhoid fever 500 mg twice daily × 7 days, tablets). US and TW IV dosing gives 200-400 mg IV; there is no 500 mg IV dose.</t>
        </is>
      </c>
      <c r="I304" s="3" t="inlineStr">
        <is>
          <t>UK SmPC 4.2 https://www.medicines.org.uk/emc/product/7256/smpc; Taiwan Seforce insert 3.1 https://mcp.fda.gov.tw/im_detail_1/%E8%A1%9B%E7%BD%B2%E8%97%A5%E8%A3%BD%E5%AD%97%E7%AC%AC044809%E8%99%9F</t>
        </is>
      </c>
      <c r="J304" s="3" t="inlineStr">
        <is>
          <t>Open</t>
        </is>
      </c>
      <c r="K304" s="3" t="inlineStr"/>
    </row>
    <row r="305">
      <c r="A305" s="3" t="n">
        <v>424</v>
      </c>
      <c r="B305" s="3" t="inlineStr">
        <is>
          <t>Seforce (ciprofloxacin) (SEF02, CIN02)</t>
        </is>
      </c>
      <c r="C305" s="7" t="inlineStr">
        <is>
          <t>High</t>
        </is>
      </c>
      <c r="D305" s="3" t="inlineStr">
        <is>
          <t>Dosing – renal/dialysis</t>
        </is>
      </c>
      <c r="E305" s="3" t="inlineStr"/>
      <c r="F305" s="3" t="inlineStr">
        <is>
          <t>Use insert: CrCl 31–60 max 800 mg/day; &lt;30 max 400 mg/day (US q18–24h); HD after dialysis</t>
        </is>
      </c>
      <c r="G305" s="3" t="inlineStr">
        <is>
          <t>CrCl 30-130: 400 mg q8-12h; CrCl &lt;30: 200-400 mg q12-24h (allows up to 800 mg/day); intermittent HD or PD: 200-400 mg q24h</t>
        </is>
      </c>
      <c r="H305" s="3" t="inlineStr">
        <is>
          <t>Seforce 仿單: CrCl 31-60 → max 800 mg/day; CrCl &lt;30 (SCr ≥2.0) → max 400 mg/day; HD → same maximum, given after dialysis; CAPD → 50 mg/L dialysate IP q6h. US IV label: CrCl 5-29 → 200-400 mg q18-24h. The hospital's 'q12h' at CrCl &lt;30 exceeds both labels, and its 30-130 band ignores the 800 mg/day cap at CrCl 31-60.</t>
        </is>
      </c>
      <c r="I305" s="3" t="inlineStr">
        <is>
          <t>Seforce 仿單 3.3 - https://mcp.fda.gov.tw/im_detail_1/%E8%A1%9B%E7%BD%B2%E8%97%A5%E8%A3%BD%E5%AD%97%E7%AC%AC044809%E8%99%9F; US FDA label (Sagent IV) 2.3 Table 4 - https://dailymed.nlm.nih.gov/dailymed/drugInfo.cfm?setid=f406e796-17d9-4465-b8a7-00d966a4ba74</t>
        </is>
      </c>
      <c r="J305" s="3" t="inlineStr">
        <is>
          <t>Open</t>
        </is>
      </c>
      <c r="K305" s="3" t="inlineStr"/>
    </row>
    <row r="306">
      <c r="A306" s="3" t="n">
        <v>429</v>
      </c>
      <c r="B306" s="3" t="inlineStr">
        <is>
          <t>Seforce (ciprofloxacin) (SEF02, CIN02)</t>
        </is>
      </c>
      <c r="C306" s="7" t="inlineStr">
        <is>
          <t>High</t>
        </is>
      </c>
      <c r="D306" s="3" t="inlineStr">
        <is>
          <t>Dosing – renal/dialysis</t>
        </is>
      </c>
      <c r="E306" s="3" t="inlineStr"/>
      <c r="F306" s="3" t="inlineStr">
        <is>
          <t>CrCl &lt;30: max 400 mg/day IV (TW) or 200–400 mg q18–24h (US); remove q12h</t>
        </is>
      </c>
      <c r="G306" s="3" t="inlineStr">
        <is>
          <t>CrCl &lt;30: 200-400 mg q12-24h (allows up to 800 mg/day)</t>
        </is>
      </c>
      <c r="H306" s="3" t="inlineStr">
        <is>
          <t>The TW Seforce insert caps the IV dose at 400 mg/day when CrCl &lt;30 mL/min/1.73 m² or SCr ≥2.0. The US IV label gives 200-400 mg q18-24h for CrCl 5-29.</t>
        </is>
      </c>
      <c r="I306" s="3" t="inlineStr">
        <is>
          <t>Taiwan Seforce insert 3.3 https://mcp.fda.gov.tw/im_detail_1/%E8%A1%9B%E7%BD%B2%E8%97%A5%E8%A3%BD%E5%AD%97%E7%AC%AC044809%E8%99%9F; US FDA label 2.3 Table 4 https://dailymed.nlm.nih.gov/dailymed/drugInfo.cfm?setid=f406e796-17d9-4465-b8a7-00d966a4ba74</t>
        </is>
      </c>
      <c r="J306" s="3" t="inlineStr">
        <is>
          <t>Open</t>
        </is>
      </c>
      <c r="K306" s="3" t="inlineStr"/>
    </row>
    <row r="307">
      <c r="A307" s="3" t="n">
        <v>430</v>
      </c>
      <c r="B307" s="3" t="inlineStr">
        <is>
          <t>Seforce (ciprofloxacin) (SEF02, CIN02)</t>
        </is>
      </c>
      <c r="C307" s="7" t="inlineStr">
        <is>
          <t>High</t>
        </is>
      </c>
      <c r="D307" s="3" t="inlineStr">
        <is>
          <t>Dosing – renal/dialysis</t>
        </is>
      </c>
      <c r="E307" s="3" t="inlineStr"/>
      <c r="F307" s="3" t="inlineStr">
        <is>
          <t>CrCl 31–60: cap IV at 800 mg/day per TW insert; remove 400 mg q8h</t>
        </is>
      </c>
      <c r="G307" s="3" t="inlineStr">
        <is>
          <t>CrCl 30-130: 400 mg q8-12h (allows 1200 mg/day at CrCl 31-60)</t>
        </is>
      </c>
      <c r="H307" s="3" t="inlineStr">
        <is>
          <t>The TW Seforce insert caps the IV dose at 800 mg/day when CrCl 31-60 mL/min/1.73 m² (SCr 1.4-1.9). 400 mg q8h exceeds this cap. (The US IV label adjusts only below 30.)</t>
        </is>
      </c>
      <c r="I307" s="3" t="inlineStr">
        <is>
          <t>Taiwan Seforce insert 3.3 https://mcp.fda.gov.tw/im_detail_1/%E8%A1%9B%E7%BD%B2%E8%97%A5%E8%A3%BD%E5%AD%97%E7%AC%AC044809%E8%99%9F</t>
        </is>
      </c>
      <c r="J307" s="3" t="inlineStr">
        <is>
          <t>Open</t>
        </is>
      </c>
      <c r="K307" s="3" t="inlineStr"/>
    </row>
    <row r="308">
      <c r="A308" s="3" t="n">
        <v>817</v>
      </c>
      <c r="B308" s="3" t="inlineStr">
        <is>
          <t>Sevatrim (Sulfamethoxazole/Trimethoprim) (SEV03, MOR06, SUL03)</t>
        </is>
      </c>
      <c r="C308" s="7" t="inlineStr">
        <is>
          <t>High</t>
        </is>
      </c>
      <c r="D308" s="3" t="inlineStr">
        <is>
          <t>Administration/compatibility</t>
        </is>
      </c>
      <c r="E308" s="3" t="inlineStr"/>
      <c r="F308" s="3" t="inlineStr">
        <is>
          <t>Correct infusion: 5 mL per 125 mL over ~1.5 h (60–90 min); remove 30-min instruction</t>
        </is>
      </c>
      <c r="G308" s="3" t="inlineStr">
        <is>
          <t>One field: 5 mL in 100 mL D5W over 30 min (another field says 125 mL over 1.5 h)</t>
        </is>
      </c>
      <c r="H308" s="3" t="inlineStr">
        <is>
          <t>TW Sevatrim: 5 mL in 125 mL, infuse ~1.5 h. US: 60–90 min; 'Avoid administration by rapid infusion or bolus'. UK: ~1–1.5 h. A 30-min infusion is not supported by any label, and the two hospital fields contradict each other.</t>
        </is>
      </c>
      <c r="I308" s="3" t="inlineStr">
        <is>
          <t>Taiwan insert Sevatrim §3.2; US FDA injection label §2.3 https://dailymed.nlm.nih.gov/dailymed/drugInfo.cfm?setid=ebb570bb-6e5e-489e-875c-9e7b3a6d716a</t>
        </is>
      </c>
      <c r="J308" s="3" t="inlineStr">
        <is>
          <t>Open</t>
        </is>
      </c>
      <c r="K308" s="3" t="inlineStr"/>
    </row>
    <row r="309">
      <c r="A309" s="3" t="n">
        <v>826</v>
      </c>
      <c r="B309" s="3" t="inlineStr">
        <is>
          <t>Sevatrim (Sulfamethoxazole/Trimethoprim) (SEV03, MOR06, SUL03)</t>
        </is>
      </c>
      <c r="C309" s="7" t="inlineStr">
        <is>
          <t>High</t>
        </is>
      </c>
      <c r="D309" s="3" t="inlineStr">
        <is>
          <t>Administration/compatibility</t>
        </is>
      </c>
      <c r="E309" s="3" t="inlineStr"/>
      <c r="F309" s="3" t="inlineStr">
        <is>
          <t>Remove 100 mL/30-min infusion; use 125 mL over ~1.5 h; avoid rapid infusion</t>
        </is>
      </c>
      <c r="G309" s="3" t="inlineStr">
        <is>
          <t>'drug in 100 ml of D5W per 5 ml vial over 30 minutes is recommended'. The IV section of the same page says 125 mL over 1.5 h (仿單).</t>
        </is>
      </c>
      <c r="H309" s="3" t="inlineStr">
        <is>
          <t>Sevatrim TW insert: 5 mL in 125 mL, infused over about 1.5 h. US: 60–90 min, avoid rapid infusion/bolus. A 30-min infusion contradicts both.</t>
        </is>
      </c>
      <c r="I309" s="3" t="inlineStr">
        <is>
          <t>Taiwan insert Sevatrim §3.2, https://mcp.fda.gov.tw/im_detail_1/%E8%A1%9B%E7%BD%B2%E8%97%A5%E8%A3%BD%E5%AD%97%E7%AC%AC012528%E8%99%9F ; US FDA IV label §2.3</t>
        </is>
      </c>
      <c r="J309" s="3" t="inlineStr">
        <is>
          <t>Open</t>
        </is>
      </c>
      <c r="K309" s="3" t="inlineStr"/>
    </row>
    <row r="310">
      <c r="A310" s="3" t="n">
        <v>831</v>
      </c>
      <c r="B310" s="3" t="inlineStr">
        <is>
          <t>Sevatrim (Sulfamethoxazole/Trimethoprim) (SEV03, MOR06, SUL03)</t>
        </is>
      </c>
      <c r="C310" s="7" t="inlineStr">
        <is>
          <t>High</t>
        </is>
      </c>
      <c r="D310" s="3" t="inlineStr">
        <is>
          <t>Dosing – adult</t>
        </is>
      </c>
      <c r="E310" s="3" t="inlineStr"/>
      <c r="F310" s="3" t="inlineStr">
        <is>
          <t>State unit for max dose (per day) with source; correct 'trimethoprin' spelling</t>
        </is>
      </c>
      <c r="G310" s="3" t="inlineStr">
        <is>
          <t>'MAX trimethoprin 640mg, sulfamethoxazole 3.2g' (no time unit; 'trimethoprin' misspelt).</t>
        </is>
      </c>
      <c r="H310" s="3" t="inlineStr">
        <is>
          <t>Not found in the TW inserts. The US label maximum is 960 mg TMP/day (IV). UK nocardiosis uses 6–8 tablets daily (480–640 mg TMP). The unit (per day vs per dose) must be stated.</t>
        </is>
      </c>
      <c r="I310" s="3" t="inlineStr">
        <is>
          <t>US FDA IV label §2.1; UK SmPC 6999 §4.2</t>
        </is>
      </c>
      <c r="J310" s="3" t="inlineStr">
        <is>
          <t>Open</t>
        </is>
      </c>
      <c r="K310" s="3" t="inlineStr"/>
    </row>
    <row r="311">
      <c r="A311" s="3" t="n">
        <v>828</v>
      </c>
      <c r="B311" s="3" t="inlineStr">
        <is>
          <t>Sevatrim (Sulfamethoxazole/Trimethoprim) (SEV03, MOR06, SUL03)</t>
        </is>
      </c>
      <c r="C311" s="7" t="inlineStr">
        <is>
          <t>High</t>
        </is>
      </c>
      <c r="D311" s="3" t="inlineStr">
        <is>
          <t>Dosing – hepatic</t>
        </is>
      </c>
      <c r="E311" s="3" t="inlineStr"/>
      <c r="F311" s="3" t="inlineStr">
        <is>
          <t>Replace 'no adjustment' with contraindicated in marked/severe hepatic impairment</t>
        </is>
      </c>
      <c r="G311" s="3" t="inlineStr">
        <is>
          <t>'No dosage adjustment necessary'.</t>
        </is>
      </c>
      <c r="H311" s="3" t="inlineStr">
        <is>
          <t>Contraindicated in marked hepatic damage (US), severe hepatic impairment (UK) and 肝臟實質傷害 (TW). This also contradicts the hospital's own contraindication field.</t>
        </is>
      </c>
      <c r="I311" s="3" t="inlineStr">
        <is>
          <t>Taiwan insert Sevatrim §4; US FDA IV label §4; UK SmPC 4669 §4.3</t>
        </is>
      </c>
      <c r="J311" s="3" t="inlineStr">
        <is>
          <t>Open</t>
        </is>
      </c>
      <c r="K311" s="3" t="inlineStr"/>
    </row>
    <row r="312">
      <c r="A312" s="3" t="n">
        <v>829</v>
      </c>
      <c r="B312" s="3" t="inlineStr">
        <is>
          <t>Sevatrim (Sulfamethoxazole/Trimethoprim) (SEV03, MOR06, SUL03)</t>
        </is>
      </c>
      <c r="C312" s="7" t="inlineStr">
        <is>
          <t>High</t>
        </is>
      </c>
      <c r="D312" s="3" t="inlineStr">
        <is>
          <t>Dosing – pediatric</t>
        </is>
      </c>
      <c r="E312" s="3" t="inlineStr"/>
      <c r="F312" s="3" t="inlineStr">
        <is>
          <t>Align peds dose to label (US 8–10 mg TMP/kg/day; TW ~6 mg/kg/day from 6 wk)</t>
        </is>
      </c>
      <c r="G312" s="3" t="inlineStr">
        <is>
          <t>SEV03: 'Infants 2 months… 8 to 12 mg TMP/kg/day… every 12 hours; maximum 320 mg TMP/dose'. All pages: contraindicated in infants &lt;2 months.</t>
        </is>
      </c>
      <c r="H312" s="3" t="inlineStr">
        <is>
          <t>Sevatrim TW insert: ≤12 y TMP about 6 mg/kg/day in 2 doses by age band from 6 weeks (severe +50%). US IV: 8–10 mg/kg/day in 2–4 doses from 2 months. The stocked TW inserts use a 6-week cut-off, not 2 months.</t>
        </is>
      </c>
      <c r="I312" s="3" t="inlineStr">
        <is>
          <t>Taiwan insert Sevatrim §3.1, §5.1; US FDA IV label §2.1, §4</t>
        </is>
      </c>
      <c r="J312" s="3" t="inlineStr">
        <is>
          <t>Open</t>
        </is>
      </c>
      <c r="K312" s="3" t="inlineStr"/>
    </row>
    <row r="313">
      <c r="A313" s="3" t="n">
        <v>827</v>
      </c>
      <c r="B313" s="3" t="inlineStr">
        <is>
          <t>Sevatrim (Sulfamethoxazole/Trimethoprim) (SEV03, MOR06, SUL03)</t>
        </is>
      </c>
      <c r="C313" s="7" t="inlineStr">
        <is>
          <t>High</t>
        </is>
      </c>
      <c r="D313" s="3" t="inlineStr">
        <is>
          <t>Dosing – renal/dialysis</t>
        </is>
      </c>
      <c r="E313" s="3" t="inlineStr">
        <is>
          <t>Renal table outdated</t>
        </is>
      </c>
      <c r="F313" s="3" t="inlineStr">
        <is>
          <t>Replace renal table with label bands (TW CrCl 15–25/ &lt;15 HD); remove 10–20 mg/kg/day for CrCl&gt;30</t>
        </is>
      </c>
      <c r="G313" s="3" t="inlineStr">
        <is>
          <t>CrCl &gt;30: 10–20 mg/kg/day in 2–3 doses; 15–30: 5–10 mg/kg/day; &lt;15 not recommended.</t>
        </is>
      </c>
      <c r="H313" s="3" t="inlineStr">
        <is>
          <t>Sevatrim TW insert: CrCl &gt;25 standard; 15–25 standard dose for 3 days then half; &lt;15 not given unless HD (then half dose). The 10–20 mg/kg/day figure for CrCl &gt;30 is not in any label: it exceeds the US UTI dose of 8–10 mg/kg/day and corresponds to the PJP range.</t>
        </is>
      </c>
      <c r="I313" s="3" t="inlineStr">
        <is>
          <t>Taiwan insert Sevatrim §3.3; US FDA IV label §2.1–2.2</t>
        </is>
      </c>
      <c r="J313" s="3" t="inlineStr">
        <is>
          <t>Open</t>
        </is>
      </c>
      <c r="K313" s="3" t="inlineStr"/>
    </row>
    <row r="314">
      <c r="A314" s="3" t="n">
        <v>42</v>
      </c>
      <c r="B314" s="3" t="inlineStr">
        <is>
          <t>Sulampi (Ampicillin/Sulbactam) (SUL05)</t>
        </is>
      </c>
      <c r="C314" s="7" t="inlineStr">
        <is>
          <t>High</t>
        </is>
      </c>
      <c r="D314" s="3" t="inlineStr">
        <is>
          <t>Administration/compatibility</t>
        </is>
      </c>
      <c r="E314" s="3" t="inlineStr"/>
      <c r="F314" s="3" t="inlineStr">
        <is>
          <t>Remove IM route; stocked Sulampi product is IV only</t>
        </is>
      </c>
      <c r="G314" s="3" t="inlineStr">
        <is>
          <t>IM, IV: 1.5 to 3 g every 6 hours</t>
        </is>
      </c>
      <c r="H314" s="3" t="inlineStr">
        <is>
          <t>The stocked product's Taiwan insert (舒安比靜脈乾粉注射劑) describes IV administration only (bolus ≥3 min or 15–30 min infusion). IM use comes from US UNASYN labelling.</t>
        </is>
      </c>
      <c r="I314" s="3" t="inlineStr">
        <is>
          <t>Taiwan insert 【劑量與用法】 'Sulbactam sodium/Ampicillin sodium 靜脈注射劑可以用靜脈內注射的途徑給予' https://www.cth.org.tw/public/medi_news/9e24641f15ab702170213ee1b96e6469.pdf</t>
        </is>
      </c>
      <c r="J314" s="3" t="inlineStr">
        <is>
          <t>Open</t>
        </is>
      </c>
      <c r="K314" s="3" t="inlineStr"/>
    </row>
    <row r="315">
      <c r="A315" s="3" t="n">
        <v>44</v>
      </c>
      <c r="B315" s="3" t="inlineStr">
        <is>
          <t>Sulampi (Ampicillin/Sulbactam) (SUL05)</t>
        </is>
      </c>
      <c r="C315" s="7" t="inlineStr">
        <is>
          <t>High</t>
        </is>
      </c>
      <c r="D315" s="3" t="inlineStr">
        <is>
          <t>Administration/compatibility</t>
        </is>
      </c>
      <c r="E315" s="3" t="inlineStr"/>
      <c r="F315" s="3" t="inlineStr">
        <is>
          <t>Remove IM from adult and pediatric routes; IV only per Sulampi insert</t>
        </is>
      </c>
      <c r="G315" s="3" t="inlineStr">
        <is>
          <t>Adult 'IM, IV: 1.5 to 3 g every 6 hours'; pediatric mild-moderate 'IV, IM'</t>
        </is>
      </c>
      <c r="H315" s="3" t="inlineStr">
        <is>
          <t>The Sulampi insert describes an IV-only product: '靜脈乾粉注射劑 ... 可以用靜脈內注射的途徑給予'. The hospital's own 注射給藥指引 lists only IVF/IV bolus. FDA: 'safety and efficacy of UNASYN administered via intramuscular injection in pediatric patients have not been established'.</t>
        </is>
      </c>
      <c r="I315" s="3" t="inlineStr">
        <is>
          <t>Sulampi 仿單 https://www.cth.org.tw/public/medi_news/9e24641f15ab702170213ee1b96e6469.pdf ; FDA UNASYN Pediatric Patients https://dailymed.nlm.nih.gov/dailymed/drugInfo.cfm?setid=155c7ec0-5862-404f-b1d0-f278f8a8bbda</t>
        </is>
      </c>
      <c r="J315" s="3" t="inlineStr">
        <is>
          <t>Open</t>
        </is>
      </c>
      <c r="K315" s="3" t="inlineStr"/>
    </row>
    <row r="316">
      <c r="A316" s="3" t="n">
        <v>52</v>
      </c>
      <c r="B316" s="3" t="inlineStr">
        <is>
          <t>Sulampi (Ampicillin/Sulbactam) (SUL05)</t>
        </is>
      </c>
      <c r="C316" s="7" t="inlineStr">
        <is>
          <t>High</t>
        </is>
      </c>
      <c r="D316" s="3" t="inlineStr">
        <is>
          <t>Contraindication/warning</t>
        </is>
      </c>
      <c r="E316" s="3" t="inlineStr"/>
      <c r="F316" s="3" t="inlineStr">
        <is>
          <t>Add contraindication after prior amp/sulb cholestatic jaundice/hepatic dysfunction; monitor LFTs in hepatic impairment</t>
        </is>
      </c>
      <c r="G316" s="3" t="inlineStr">
        <is>
          <t>There is no dosage adjustment provided in the manufacturer's labeling</t>
        </is>
      </c>
      <c r="H316" s="3" t="inlineStr">
        <is>
          <t>Accurate, but it leaves out the FDA advice to monitor hepatic function regularly in hepatic impairment, and the contraindication after prior cholestatic jaundice/hepatic dysfunction with this drug.</t>
        </is>
      </c>
      <c r="I316" s="3" t="inlineStr">
        <is>
          <t>FDA UNASYN CONTRAINDICATIONS and WARNINGS–Hepatotoxicity</t>
        </is>
      </c>
      <c r="J316" s="3" t="inlineStr">
        <is>
          <t>Open</t>
        </is>
      </c>
      <c r="K316" s="3" t="inlineStr"/>
    </row>
    <row r="317">
      <c r="A317" s="3" t="n">
        <v>41</v>
      </c>
      <c r="B317" s="3" t="inlineStr">
        <is>
          <t>Sulampi (Ampicillin/Sulbactam) (SUL05)</t>
        </is>
      </c>
      <c r="C317" s="7" t="inlineStr">
        <is>
          <t>High</t>
        </is>
      </c>
      <c r="D317" s="3" t="inlineStr">
        <is>
          <t>Dosing – pediatric</t>
        </is>
      </c>
      <c r="E317" s="3" t="inlineStr"/>
      <c r="F317" s="3" t="inlineStr">
        <is>
          <t>Pediatric max 200 mg ampicillin/kg/day (US); flag 400 mg/kg/day as off-label</t>
        </is>
      </c>
      <c r="G317" s="3" t="inlineStr">
        <is>
          <t>IV: 200 to 400 mg ampicillin/kg/day divided every 6 hours (up to 400 for severe infection); usual maximum 2,000 mg ampicillin/dose</t>
        </is>
      </c>
      <c r="H317" s="3" t="inlineStr">
        <is>
          <t>US label: 300 mg/kg/day total = 200 mg ampicillin/kg/day, age ≥1 year, IV only. Taiwan insert: 150 mg/kg/day total (100 mg ampicillin/kg/day) q6–8h; neonates in the first week 75 mg/kg/day q12h. 400 mg ampicillin/kg/day is above both labels (off-label).</t>
        </is>
      </c>
      <c r="I317" s="3" t="inlineStr">
        <is>
          <t>DailyMed UNASYN Pediatric Patients 1 Year of Age or Older; Taiwan insert 使用於孩童、嬰兒和新生兒</t>
        </is>
      </c>
      <c r="J317" s="3" t="inlineStr">
        <is>
          <t>Open</t>
        </is>
      </c>
      <c r="K317" s="3" t="inlineStr"/>
    </row>
    <row r="318">
      <c r="A318" s="3" t="n">
        <v>50</v>
      </c>
      <c r="B318" s="3" t="inlineStr">
        <is>
          <t>Sulampi (Ampicillin/Sulbactam) (SUL05)</t>
        </is>
      </c>
      <c r="C318" s="7" t="inlineStr">
        <is>
          <t>High</t>
        </is>
      </c>
      <c r="D318" s="3" t="inlineStr">
        <is>
          <t>Dosing – pediatric</t>
        </is>
      </c>
      <c r="E318" s="3" t="inlineStr"/>
      <c r="F318" s="3" t="inlineStr">
        <is>
          <t>Align pediatric dosing: 200 mg ampicillin/kg/day q6h (US) or TW 100 mg/kg/day; no 400 mg/kg/day</t>
        </is>
      </c>
      <c r="G318" s="3" t="inlineStr">
        <is>
          <t>Mild-moderate 100–200 mg ampicillin/kg/day ÷ q6h; severe 200–400 mg ampicillin/kg/day</t>
        </is>
      </c>
      <c r="H318" s="3" t="inlineStr">
        <is>
          <t>FDA (≥1 yr): 200 mg ampicillin/kg/day (300 mg/kg/day combined) ÷ q6h; ≥40 kg use adult dose; sulbactam ≤4 g/day. Sulampi 仿單: 100 mg ampicillin/kg/day (150 combined) ÷ q6–8h; neonates ≤1 week 50 mg ampicillin/kg/day ÷ q12h. Neither label supports 400 mg/kg/day.</t>
        </is>
      </c>
      <c r="I318" s="3" t="inlineStr">
        <is>
          <t>FDA UNASYN Pediatric Patients 1 Year of Age or Older; Sulampi 仿單 使用於孩童、嬰兒和新生兒</t>
        </is>
      </c>
      <c r="J318" s="3" t="inlineStr">
        <is>
          <t>Open</t>
        </is>
      </c>
      <c r="K318" s="3" t="inlineStr"/>
    </row>
    <row r="319">
      <c r="A319" s="3" t="n">
        <v>35</v>
      </c>
      <c r="B319" s="3" t="inlineStr">
        <is>
          <t>Sulampi (Ampicillin/Sulbactam) (SUL05)</t>
        </is>
      </c>
      <c r="C319" s="7" t="inlineStr">
        <is>
          <t>High</t>
        </is>
      </c>
      <c r="D319" s="3" t="inlineStr">
        <is>
          <t>Indication/coverage</t>
        </is>
      </c>
      <c r="E319" s="3" t="inlineStr"/>
      <c r="F319" s="3" t="inlineStr">
        <is>
          <t>Remove C. difficile from covered anaerobes; list Clostridium spp.; amp/sulb causes CDAD</t>
        </is>
      </c>
      <c r="G319" s="3" t="inlineStr">
        <is>
          <t>Infections caused by ... Anaerobic bacteria (Bacteroides Fusobacterium, Clostridium difficile), and Branhumella catarrhalis</t>
        </is>
      </c>
      <c r="H319" s="3" t="inlineStr">
        <is>
          <t>US label lists 'Clostridium species' (non-β-lactamase producers) and names C. difficile only as the cause of CDAD (WARNINGS). The C. difficile text is copied from the old Taiwan insert's indication paragraph (confirmed on the PDF image) and is clinically wrong. 'Branhumella' is misspelled in the Taiwan insert itself; the correct genus is Branhamella, now Moraxella catarrhalis (US label MICROBIOLOGY).</t>
        </is>
      </c>
      <c r="I319" s="3" t="inlineStr">
        <is>
          <t>DailyMed UNASYN MICROBIOLOGY–Anaerobes, WARNINGS–CDAD https://dailymed.nlm.nih.gov/dailymed/drugInfo.cfm?setid=155c7ec0-5862-404f-b1d0-f278f8a8bbda; Taiwan insert 【適應症】 https://www.cth.org.tw/public/medi_news/9e24641f15ab702170213ee1b96e6469.pdf</t>
        </is>
      </c>
      <c r="J319" s="3" t="inlineStr">
        <is>
          <t>Open</t>
        </is>
      </c>
      <c r="K319" s="3" t="inlineStr"/>
    </row>
    <row r="320">
      <c r="A320" s="3" t="n">
        <v>45</v>
      </c>
      <c r="B320" s="3" t="inlineStr">
        <is>
          <t>Sulampi (Ampicillin/Sulbactam) (SUL05)</t>
        </is>
      </c>
      <c r="C320" s="7" t="inlineStr">
        <is>
          <t>High</t>
        </is>
      </c>
      <c r="D320" s="3" t="inlineStr">
        <is>
          <t>Indication/coverage</t>
        </is>
      </c>
      <c r="E320" s="3" t="inlineStr"/>
      <c r="F320" s="3" t="inlineStr">
        <is>
          <t>Delete Clostridium difficile from coverage list; note CDAD warning</t>
        </is>
      </c>
      <c r="G320" s="3" t="inlineStr">
        <is>
          <t>Lists 'Clostridium difficile' among covered anaerobes</t>
        </is>
      </c>
      <c r="H320" s="3" t="inlineStr">
        <is>
          <t>The error comes from the Taiwan insert's own 適應症 text. Clinically, ampicillin/sulbactam causes CDAD (FDA Warnings: Clostridioides difficile-Associated Diarrhea); the FDA microbiology list names only 'Clostridium species'.</t>
        </is>
      </c>
      <c r="I320" s="3" t="inlineStr">
        <is>
          <t>FDA UNASYN WARNINGS–CDAD and MICROBIOLOGY https://dailymed.nlm.nih.gov/dailymed/drugInfo.cfm?setid=155c7ec0-5862-404f-b1d0-f278f8a8bbda</t>
        </is>
      </c>
      <c r="J320" s="3" t="inlineStr">
        <is>
          <t>Open</t>
        </is>
      </c>
      <c r="K320" s="3" t="inlineStr"/>
    </row>
    <row r="321">
      <c r="A321" s="3" t="n">
        <v>132</v>
      </c>
      <c r="B321" s="3" t="inlineStr">
        <is>
          <t>Taigexyn (Nemonoxacin) (TAI05, TAI06)</t>
        </is>
      </c>
      <c r="C321" s="7" t="inlineStr">
        <is>
          <t>High</t>
        </is>
      </c>
      <c r="D321" s="3" t="inlineStr">
        <is>
          <t>Breastfeeding</t>
        </is>
      </c>
      <c r="E321" s="3" t="inlineStr"/>
      <c r="F321" s="3" t="inlineStr">
        <is>
          <t>State contraindicated in breastfeeding; interrupt breastfeeding if used (replace generic caution text)</t>
        </is>
      </c>
      <c r="G321" s="3" t="inlineStr">
        <is>
          <t>Generic LactMed/Micromedex-style caution wording</t>
        </is>
      </c>
      <c r="H321" s="3" t="inlineStr">
        <is>
          <t>Contraindicated during breastfeeding; if benefit outweighs risk, breastfeeding must be interrupted (應暫停哺乳). There is no LactMed record for nemonoxacin.</t>
        </is>
      </c>
      <c r="I321" s="3" t="inlineStr">
        <is>
          <t>TFDA 仿單 §4, §6.2 (both products) — https://mcp.fda.gov.tw/im_detail_1/%E8%A1%9B%E9%83%A8%E8%97%A5%E8%A3%BD%E5%AD%97%E7%AC%AC058540%E8%99%9F</t>
        </is>
      </c>
      <c r="J321" s="3" t="inlineStr">
        <is>
          <t>Open</t>
        </is>
      </c>
      <c r="K321" s="3" t="inlineStr"/>
    </row>
    <row r="322">
      <c r="A322" s="3" t="n">
        <v>137</v>
      </c>
      <c r="B322" s="3" t="inlineStr">
        <is>
          <t>Taigexyn (Nemonoxacin) (TAI05, TAI06)</t>
        </is>
      </c>
      <c r="C322" s="7" t="inlineStr">
        <is>
          <t>High</t>
        </is>
      </c>
      <c r="D322" s="3" t="inlineStr">
        <is>
          <t>Breastfeeding</t>
        </is>
      </c>
      <c r="E322" s="3" t="inlineStr"/>
      <c r="F322" s="3" t="inlineStr">
        <is>
          <t>Replace Micromedex rating with: contraindicated in breastfeeding; stop breastfeeding if used</t>
        </is>
      </c>
      <c r="G322" s="3" t="inlineStr">
        <is>
          <t>'Available evidence and/or expert consensus is inconclusive… Use during breastfeeding is not recommended' (Micromedex-style rating text)</t>
        </is>
      </c>
      <c r="H322" s="3" t="inlineStr">
        <is>
          <t>哺乳中婦女禁用 (contraindicated); if the drug is used, 應暫停哺乳 (breastfeeding must stop)</t>
        </is>
      </c>
      <c r="I322" s="3" t="inlineStr">
        <is>
          <t>TFDA 仿單 6.2 — https://mcp.fda.gov.tw/im_detail_1/%E8%A1%9B%E9%83%A8%E8%97%A5%E8%A3%BD%E5%AD%97%E7%AC%AC060558%E8%99%9F</t>
        </is>
      </c>
      <c r="J322" s="3" t="inlineStr">
        <is>
          <t>Open</t>
        </is>
      </c>
      <c r="K322" s="3" t="inlineStr"/>
    </row>
    <row r="323">
      <c r="A323" s="3" t="n">
        <v>129</v>
      </c>
      <c r="B323" s="3" t="inlineStr">
        <is>
          <t>Taigexyn (Nemonoxacin) (TAI05, TAI06)</t>
        </is>
      </c>
      <c r="C323" s="7" t="inlineStr">
        <is>
          <t>High</t>
        </is>
      </c>
      <c r="D323" s="3" t="inlineStr">
        <is>
          <t>Contraindication/warning</t>
        </is>
      </c>
      <c r="E323" s="3" t="inlineStr"/>
      <c r="F323" s="3" t="inlineStr">
        <is>
          <t>Add contraindication: children and adolescents (plus quinolone hypersensitivity) per TW insert §4</t>
        </is>
      </c>
      <c r="G323" s="3" t="inlineStr">
        <is>
          <t>Contraindications list pregnancy and breastfeeding only; pediatric field says use is not established</t>
        </is>
      </c>
      <c r="H323" s="3" t="inlineStr">
        <is>
          <t>Contraindicated in quinolone hypersensitivity, in pregnancy or breastfeeding, and in children or adolescents (§4 禁忌: '◎兒童或青少年')</t>
        </is>
      </c>
      <c r="I323" s="3" t="inlineStr">
        <is>
          <t>TFDA 仿單 §4 (both products) — https://mcp.fda.gov.tw/im_detail_1/%E8%A1%9B%E9%83%A8%E8%97%A5%E8%A3%BD%E5%AD%97%E7%AC%AC058540%E8%99%9F ; https://mcp.fda.gov.tw/im_detail_1/%E8%A1%9B%E9%83%A8%E8%97%A5%E8%A3%BD%E5%AD%97%E7%AC%AC060558%E8%99%9F</t>
        </is>
      </c>
      <c r="J323" s="3" t="inlineStr">
        <is>
          <t>Open</t>
        </is>
      </c>
      <c r="K323" s="3" t="inlineStr"/>
    </row>
    <row r="324">
      <c r="A324" s="3" t="n">
        <v>135</v>
      </c>
      <c r="B324" s="3" t="inlineStr">
        <is>
          <t>Taigexyn (Nemonoxacin) (TAI05, TAI06)</t>
        </is>
      </c>
      <c r="C324" s="7" t="inlineStr">
        <is>
          <t>High</t>
        </is>
      </c>
      <c r="D324" s="3" t="inlineStr">
        <is>
          <t>Contraindication/warning</t>
        </is>
      </c>
      <c r="E324" s="3" t="inlineStr"/>
      <c r="F324" s="3" t="inlineStr">
        <is>
          <t>Add children/adolescents contraindication to TAI05/TAI06 禁忌症 and pediatric fields</t>
        </is>
      </c>
      <c r="G324" s="3" t="inlineStr">
        <is>
          <t>Contraindications list only quinolone hypersensitivity and pregnancy/breastfeeding. The pediatric field says only 'no adequate studies' (TAI05) or 'efficacy and safety not established' (TAI06).</t>
        </is>
      </c>
      <c r="H324" s="3" t="inlineStr">
        <is>
          <t>4 禁忌 also lists ◎兒童或青少年 (children and adolescents are contraindicated)</t>
        </is>
      </c>
      <c r="I324" s="3" t="inlineStr">
        <is>
          <t>TFDA 仿單 4 禁忌 (both products) — https://mcp.fda.gov.tw/im_detail_1/%E8%A1%9B%E9%83%A8%E8%97%A5%E8%A3%BD%E5%AD%97%E7%AC%AC060558%E8%99%9F</t>
        </is>
      </c>
      <c r="J324" s="3" t="inlineStr">
        <is>
          <t>Open</t>
        </is>
      </c>
      <c r="K324" s="3" t="inlineStr"/>
    </row>
    <row r="325">
      <c r="A325" s="3" t="n">
        <v>136</v>
      </c>
      <c r="B325" s="3" t="inlineStr">
        <is>
          <t>Taigexyn (Nemonoxacin) (TAI05, TAI06)</t>
        </is>
      </c>
      <c r="C325" s="7" t="inlineStr">
        <is>
          <t>High</t>
        </is>
      </c>
      <c r="D325" s="3" t="inlineStr">
        <is>
          <t>Pregnancy</t>
        </is>
      </c>
      <c r="E325" s="3" t="inlineStr"/>
      <c r="F325" s="3" t="inlineStr">
        <is>
          <t>TAI05: state contraindicated in pregnancy (align with TAI06 and insert)</t>
        </is>
      </c>
      <c r="G325" s="3" t="inlineStr">
        <is>
          <t>'Use during pregnancy is not recommended'</t>
        </is>
      </c>
      <c r="H325" s="3" t="inlineStr">
        <is>
          <t>懷孕或有可能懷孕的女性禁用 (contraindicated). TAI06 correctly says contraindicated, so the two pages are inconsistent.</t>
        </is>
      </c>
      <c r="I325" s="3" t="inlineStr">
        <is>
          <t>TFDA 仿單 Taigexyn Capsule 4, 6.1 — https://mcp.fda.gov.tw/im_detail_1/%E8%A1%9B%E9%83%A8%E8%97%A5%E8%A3%BD%E5%AD%97%E7%AC%AC058540%E8%99%9F</t>
        </is>
      </c>
      <c r="J325" s="3" t="inlineStr">
        <is>
          <t>Open</t>
        </is>
      </c>
      <c r="K325" s="3" t="inlineStr"/>
    </row>
    <row r="326">
      <c r="A326" s="3" t="n">
        <v>956</v>
      </c>
      <c r="B326" s="3" t="inlineStr">
        <is>
          <t>Tamiflu (Oseltamivir) (TAM08, TAM06, ERA02, ERA03)</t>
        </is>
      </c>
      <c r="C326" s="7" t="inlineStr">
        <is>
          <t>High</t>
        </is>
      </c>
      <c r="D326" s="3" t="inlineStr">
        <is>
          <t>Dosing – renal/dialysis</t>
        </is>
      </c>
      <c r="E326" s="3" t="inlineStr">
        <is>
          <t>Renal table outdated</t>
        </is>
      </c>
      <c r="F326" s="3" t="inlineStr">
        <is>
          <t>CrCl &gt;30–60: remove 75 mg loading; 30 mg BID treatment, 30 mg QD prophylaxis</t>
        </is>
      </c>
      <c r="G326" s="3" t="inlineStr">
        <is>
          <t>CrCl &gt;30 to 60 mL/minute: 75 mg loading dose, followed by 30 mg twice daily</t>
        </is>
      </c>
      <c r="H326" s="3" t="inlineStr">
        <is>
          <t>CrCl &gt;30–60: 30 mg twice daily for 5 days (treatment) / 30 mg once daily (prophylaxis); no loading dose in any label</t>
        </is>
      </c>
      <c r="I326" s="3" t="inlineStr">
        <is>
          <t>Taiwan Tamiflu insert §3.3 https://mcp.fda.gov.tw/im_detail_1/%E8%A1%9B%E7%BD%B2%E8%97%A5%E8%BC%B8%E5%AD%97%E7%AC%AC023253%E8%99%9F; US FDA label §2.4 Table 2 https://dailymed.nlm.nih.gov/dailymed/drugInfo.cfm?setid=ee3c9555-60f2-4f82-a760-11983c86e97b; UK SmPC §4.2 https://www.medicines.org.uk/emc/product/8050/smpc</t>
        </is>
      </c>
      <c r="J326" s="3" t="inlineStr">
        <is>
          <t>Open</t>
        </is>
      </c>
      <c r="K326" s="3" t="inlineStr"/>
    </row>
    <row r="327">
      <c r="A327" s="3" t="n">
        <v>957</v>
      </c>
      <c r="B327" s="3" t="inlineStr">
        <is>
          <t>Tamiflu (Oseltamivir) (TAM08, TAM06, ERA02, ERA03)</t>
        </is>
      </c>
      <c r="C327" s="7" t="inlineStr">
        <is>
          <t>High</t>
        </is>
      </c>
      <c r="D327" s="3" t="inlineStr">
        <is>
          <t>Dosing – renal/dialysis</t>
        </is>
      </c>
      <c r="E327" s="3" t="inlineStr">
        <is>
          <t>Renal table outdated</t>
        </is>
      </c>
      <c r="F327" s="3" t="inlineStr">
        <is>
          <t>Add HD 30 mg after each session, CAPD 30 mg single dose, and renal prophylaxis doses</t>
        </is>
      </c>
      <c r="G327" s="3" t="inlineStr">
        <is>
          <t>Only 'ESRD not undergoing dialysis: Use is not recommended'; no haemodialysis or peritoneal dialysis dosing; no prophylaxis renal doses</t>
        </is>
      </c>
      <c r="H327" s="3" t="inlineStr">
        <is>
          <t>HD: 30 mg after each session (treatment) / after every second session (prophylaxis); CAPD: 30 mg single dose (treatment) / 30 mg weekly (prophylaxis); renal prophylaxis doses 30 mg QD (&gt;30–60) and 30 mg every other day (&gt;10–30)</t>
        </is>
      </c>
      <c r="I327" s="3" t="inlineStr">
        <is>
          <t>Taiwan Tamiflu insert §3.3; US FDA label §2.4 Table 2; UK SmPC §4.2</t>
        </is>
      </c>
      <c r="J327" s="3" t="inlineStr">
        <is>
          <t>Open</t>
        </is>
      </c>
      <c r="K327" s="3" t="inlineStr"/>
    </row>
    <row r="328">
      <c r="A328" s="3" t="n">
        <v>963</v>
      </c>
      <c r="B328" s="3" t="inlineStr">
        <is>
          <t>Tamiflu (Oseltamivir) (TAM08, TAM06, ERA02, ERA03)</t>
        </is>
      </c>
      <c r="C328" s="7" t="inlineStr">
        <is>
          <t>High</t>
        </is>
      </c>
      <c r="D328" s="3" t="inlineStr">
        <is>
          <t>Dosing – renal/dialysis</t>
        </is>
      </c>
      <c r="E328" s="3" t="inlineStr">
        <is>
          <t>Renal table outdated</t>
        </is>
      </c>
      <c r="F328" s="3" t="inlineStr">
        <is>
          <t>CrCl &gt;30–60: remove loading dose; 30 mg BID treatment / 30 mg QD prophylaxis</t>
        </is>
      </c>
      <c r="G328" s="3" t="inlineStr">
        <is>
          <t>75 mg loading dose, followed by 30 mg twice daily</t>
        </is>
      </c>
      <c r="H328" s="3" t="inlineStr">
        <is>
          <t>30 mg twice daily (treatment) / 30 mg once daily (prophylaxis), with no loading dose in any label</t>
        </is>
      </c>
      <c r="I328" s="3" t="inlineStr">
        <is>
          <t>仿單 §3.3 (https://mcp.fda.gov.tw/im_detail_1/%E8%A1%9B%E7%BD%B2%E8%97%A5%E8%BC%B8%E5%AD%97%E7%AC%AC025285%E8%99%9F); US label §2.4 Table 2 (https://dailymed.nlm.nih.gov/dailymed/drugInfo.cfm?setid=ee3c9555-60f2-4f82-a760-11983c86e97b); UK SmPC §4.2 (https://www.medicines.org.uk/emc/product/8050/smpc)</t>
        </is>
      </c>
      <c r="J328" s="3" t="inlineStr">
        <is>
          <t>Open</t>
        </is>
      </c>
      <c r="K328" s="3" t="inlineStr"/>
    </row>
    <row r="329">
      <c r="A329" s="3" t="n">
        <v>964</v>
      </c>
      <c r="B329" s="3" t="inlineStr">
        <is>
          <t>Tamiflu (Oseltamivir) (TAM08, TAM06, ERA02, ERA03)</t>
        </is>
      </c>
      <c r="C329" s="7" t="inlineStr">
        <is>
          <t>High</t>
        </is>
      </c>
      <c r="D329" s="3" t="inlineStr">
        <is>
          <t>Dosing – renal/dialysis</t>
        </is>
      </c>
      <c r="E329" s="3" t="inlineStr">
        <is>
          <t>Renal table outdated</t>
        </is>
      </c>
      <c r="F329" s="3" t="inlineStr">
        <is>
          <t>Add HD/CAPD doses and renal prophylaxis doses (30 mg QD; 30 mg every other day)</t>
        </is>
      </c>
      <c r="G329" s="3" t="inlineStr">
        <is>
          <t>Gives treatment doses only for CrCl &gt;60, &gt;30–60 and &gt;10–30, plus 'ESRD not undergoing dialysis: Use is not recommended'. No haemodialysis or CAPD doses and no renal prophylaxis doses.</t>
        </is>
      </c>
      <c r="H329" s="3" t="inlineStr">
        <is>
          <t>HD: 30 mg after each session (Tx) or after every 2nd session (PEP). CAPD: 30 mg single dose (Tx) or 30 mg weekly (PEP). The US label adds an immediate 30 mg dose. Prophylaxis: 30 mg QD (&gt;30–60) and 30 mg every other day (&gt;10–30).</t>
        </is>
      </c>
      <c r="I329" s="3" t="inlineStr">
        <is>
          <t>仿單 §3.3; US label §2.4 Table 2; UK SmPC §4.2 (URLs as above)</t>
        </is>
      </c>
      <c r="J329" s="3" t="inlineStr">
        <is>
          <t>Open</t>
        </is>
      </c>
      <c r="K329" s="3" t="inlineStr"/>
    </row>
    <row r="330">
      <c r="A330" s="3" t="n">
        <v>764</v>
      </c>
      <c r="B330" s="3" t="inlineStr">
        <is>
          <t>Tetracycline (TET09)</t>
        </is>
      </c>
      <c r="C330" s="7" t="inlineStr">
        <is>
          <t>High</t>
        </is>
      </c>
      <c r="D330" s="3" t="inlineStr">
        <is>
          <t>Pregnancy</t>
        </is>
      </c>
      <c r="E330" s="3" t="inlineStr"/>
      <c r="F330" s="3" t="inlineStr">
        <is>
          <t>State contraindicated in second half of pregnancy; add hepatotoxicity risk in pregnant renal patients</t>
        </is>
      </c>
      <c r="G330" s="3" t="inlineStr">
        <is>
          <t>通常被認為是孕婦的第二線抗生素，應盡量避免使用且應優先選擇其他藥物 (generic statement)</t>
        </is>
      </c>
      <c r="H330" s="3" t="inlineStr">
        <is>
          <t>TW 仿單: 懷孕後半期間不能使用 (tooth discoloration, enamel hypoplasia, inhibited bone growth). US: should not be used in pregnancy unless absolutely necessary; risk of liver failure in pregnant women with renal disease</t>
        </is>
      </c>
      <c r="I330" s="3" t="inlineStr">
        <is>
          <t>TW 仿單 §6.1; US FDA label WARNINGS/PRECAUTIONS–Pregnancy</t>
        </is>
      </c>
      <c r="J330" s="3" t="inlineStr">
        <is>
          <t>Open</t>
        </is>
      </c>
      <c r="K330" s="3" t="inlineStr"/>
    </row>
    <row r="331">
      <c r="A331" s="3" t="n">
        <v>771</v>
      </c>
      <c r="B331" s="3" t="inlineStr">
        <is>
          <t>Tetracycline (TET09)</t>
        </is>
      </c>
      <c r="C331" s="7" t="inlineStr">
        <is>
          <t>High</t>
        </is>
      </c>
      <c r="D331" s="3" t="inlineStr">
        <is>
          <t>Pregnancy</t>
        </is>
      </c>
      <c r="E331" s="3" t="inlineStr"/>
      <c r="F331" s="3" t="inlineStr">
        <is>
          <t>Add: contraindicated in second half of pregnancy; liver failure risk with renal disease</t>
        </is>
      </c>
      <c r="G331" s="3" t="inlineStr">
        <is>
          <t>通常被認為是孕婦的第二線抗生素，應盡量避免使用且應優先選擇其他藥物 (generic statement)</t>
        </is>
      </c>
      <c r="H331" s="3" t="inlineStr">
        <is>
          <t>TW §6.1: crosses the placenta, causes tooth discoloration, enamel hypoplasia and bone-growth inhibition; 懷孕後半期間不能使用. US: do not use unless absolutely necessary; risk of liver failure in pregnant women with renal disease.</t>
        </is>
      </c>
      <c r="I331" s="3" t="inlineStr">
        <is>
          <t>TW 仿單 §6.1; US FDA label WARNINGS/PRECAUTIONS Pregnancy</t>
        </is>
      </c>
      <c r="J331" s="3" t="inlineStr">
        <is>
          <t>Open</t>
        </is>
      </c>
      <c r="K331" s="3" t="inlineStr"/>
    </row>
    <row r="332">
      <c r="A332" s="3" t="n">
        <v>1311</v>
      </c>
      <c r="B332" s="3" t="inlineStr">
        <is>
          <t>Tivicay (Dolutegravir) (TIV01)</t>
        </is>
      </c>
      <c r="C332" s="7" t="inlineStr">
        <is>
          <t>High</t>
        </is>
      </c>
      <c r="D332" s="3" t="inlineStr">
        <is>
          <t>Dosing – pediatric</t>
        </is>
      </c>
      <c r="E332" s="3" t="inlineStr"/>
      <c r="F332" s="3" t="inlineStr">
        <is>
          <t>Remove obsolete 35 mg band; use TW ≥40 kg 50 mg QD, note US 20 kg/14–&lt;20 kg doses.</t>
        </is>
      </c>
      <c r="G332" s="3" t="inlineStr">
        <is>
          <t>(30 to less than 40 kg) Treatment-naive or treatment-experienced, INSTI-naive, 35 mg orally once daily</t>
        </is>
      </c>
      <c r="H332" s="3" t="inlineStr">
        <is>
          <t>No current label has a 35 mg band. The TW insert (stocked product) covers only ≥12 y and ≥40 kg at 50 mg QD; younger or lighter patients are not established. The current US label gives 50 mg QD from 20 kg and 40 mg QD for 14–&lt;20 kg. The UK SmPC gives 50 mg QD from 20 kg.</t>
        </is>
      </c>
      <c r="I332" s="3" t="inlineStr">
        <is>
          <t>Taiwan insert §3.3 https://mcp.fda.gov.tw/im_detail_1/%E8%A1%9B%E9%83%A8%E8%97%A5%E8%BC%B8%E5%AD%97%E7%AC%AC026407%E8%99%9F; US FDA label §2.3 Table 4 https://dailymed.nlm.nih.gov/dailymed/drugInfo.cfm?setid=63df5af3-b8ac-4e76-9830-2dbb340af922; UK SmPC §4.2 Table 1 https://www.medicines.org.uk/emc/product/10057/smpc</t>
        </is>
      </c>
      <c r="J332" s="3" t="inlineStr">
        <is>
          <t>Open</t>
        </is>
      </c>
      <c r="K332" s="3" t="inlineStr"/>
    </row>
    <row r="333">
      <c r="A333" s="3" t="n">
        <v>1317</v>
      </c>
      <c r="B333" s="3" t="inlineStr">
        <is>
          <t>Tivicay (Dolutegravir) (TIV01)</t>
        </is>
      </c>
      <c r="C333" s="7" t="inlineStr">
        <is>
          <t>High</t>
        </is>
      </c>
      <c r="D333" s="3" t="inlineStr">
        <is>
          <t>Dosing – pediatric</t>
        </is>
      </c>
      <c r="E333" s="3" t="inlineStr"/>
      <c r="F333" s="3" t="inlineStr">
        <is>
          <t>Remove 35 mg band; TW: ≥12 y and ≥40 kg 50 mg QD; cite US weight bands if used.</t>
        </is>
      </c>
      <c r="G333" s="3" t="inlineStr">
        <is>
          <t>30 to &lt;40 kg: 35 mg once daily; ≥40 kg: 50 mg once daily</t>
        </is>
      </c>
      <c r="H333" s="3" t="inlineStr">
        <is>
          <t>TW insert covers only ≥12 y and ≥40 kg (50 mg QD); &lt;12 y or &lt;40 kg is not established. The current US label gives 14–&lt;20 kg 40 mg QD and ≥20 kg 50 mg QD. The 35 mg band is obsolete.</t>
        </is>
      </c>
      <c r="I333" s="3" t="inlineStr">
        <is>
          <t>TW insert §3.3 and §6.4; US FDA label §2.3 Table 4: https://dailymed.nlm.nih.gov/dailymed/drugInfo.cfm?setid=63df5af3-b8ac-4e76-9830-2dbb340af922</t>
        </is>
      </c>
      <c r="J333" s="3" t="inlineStr">
        <is>
          <t>Open</t>
        </is>
      </c>
      <c r="K333" s="3" t="inlineStr"/>
    </row>
    <row r="334">
      <c r="A334" s="3" t="n">
        <v>1229</v>
      </c>
      <c r="B334" s="3" t="inlineStr">
        <is>
          <t>Triumeq (Dolutegravir/Abacavir/Lamivudine) (TRI05)</t>
        </is>
      </c>
      <c r="C334" s="7" t="inlineStr">
        <is>
          <t>High</t>
        </is>
      </c>
      <c r="D334" s="3" t="inlineStr">
        <is>
          <t>Contraindication/warning</t>
        </is>
      </c>
      <c r="E334" s="3" t="inlineStr">
        <is>
          <t>Missing boxed warning</t>
        </is>
      </c>
      <c r="F334" s="3" t="inlineStr">
        <is>
          <t>Add HBV-exacerbation boxed warning and HBV testing; explain SCr rise as tubular secretion inhibition.</t>
        </is>
      </c>
      <c r="G334" s="3" t="inlineStr">
        <is>
          <t>No mention of the HBV-exacerbation boxed warning. Lists 'Renal: Renal insufficiency' with no explanation.</t>
        </is>
      </c>
      <c r="H334" s="3" t="inlineStr">
        <is>
          <t>Boxed warning: severe acute HBV exacerbation after stopping lamivudine in HIV/HBV co-infection; test HBV before starting. The SCr rise (~0.14 mg/dL) is from DTG blocking tubular creatinine secretion, with GFR unchanged; 'renal impairment' is a &lt;2% event.</t>
        </is>
      </c>
      <c r="I334" s="3" t="inlineStr">
        <is>
          <t>US DailyMed Boxed Warning, §5.2, §6.1; TW 仿單 特殊警語, §6.1 不良反應</t>
        </is>
      </c>
      <c r="J334" s="3" t="inlineStr">
        <is>
          <t>Open</t>
        </is>
      </c>
      <c r="K334" s="3" t="inlineStr"/>
    </row>
    <row r="335">
      <c r="A335" s="3" t="n">
        <v>1235</v>
      </c>
      <c r="B335" s="3" t="inlineStr">
        <is>
          <t>Triumeq (Dolutegravir/Abacavir/Lamivudine) (TRI05)</t>
        </is>
      </c>
      <c r="C335" s="7" t="inlineStr">
        <is>
          <t>High</t>
        </is>
      </c>
      <c r="D335" s="3" t="inlineStr">
        <is>
          <t>Contraindication/warning</t>
        </is>
      </c>
      <c r="E335" s="3" t="inlineStr">
        <is>
          <t>Missing boxed warning</t>
        </is>
      </c>
      <c r="F335" s="3" t="inlineStr">
        <is>
          <t>Add HBV boxed warning: test HBV before start, monitor months after discontinuation.</t>
        </is>
      </c>
      <c r="G335" s="3" t="inlineStr">
        <is>
          <t>No mention of the HBV-exacerbation boxed warning or of HBV testing before starting</t>
        </is>
      </c>
      <c r="H335" s="3" t="inlineStr">
        <is>
          <t>Boxed warning: test all patients for HBV before starting. Severe acute HBV exacerbations can follow discontinuation in HIV/HBV co-infection, and lamivudine-resistant HBV can emerge. Monitor for several months after stopping.</t>
        </is>
      </c>
      <c r="I335" s="3" t="inlineStr">
        <is>
          <t>US label Boxed Warning, §2.2, §5.2; Taiwan insert 特殊警語 '過敏反應以及B型肝炎惡化'</t>
        </is>
      </c>
      <c r="J335" s="3" t="inlineStr">
        <is>
          <t>Open</t>
        </is>
      </c>
      <c r="K335" s="3" t="inlineStr"/>
    </row>
    <row r="336">
      <c r="A336" s="3" t="n">
        <v>1227</v>
      </c>
      <c r="B336" s="3" t="inlineStr">
        <is>
          <t>Triumeq (Dolutegravir/Abacavir/Lamivudine) (TRI05)</t>
        </is>
      </c>
      <c r="C336" s="7" t="inlineStr">
        <is>
          <t>High</t>
        </is>
      </c>
      <c r="D336" s="3" t="inlineStr">
        <is>
          <t>Dosing – renal/dialysis</t>
        </is>
      </c>
      <c r="E336" s="3" t="inlineStr">
        <is>
          <t>Renal table outdated</t>
        </is>
      </c>
      <c r="F336" s="3" t="inlineStr">
        <is>
          <t>Change renal cutoff: not recommended only at CrCl&lt;30; CrCl 30–49 usable with CBC monitoring.</t>
        </is>
      </c>
      <c r="G336" s="3" t="inlineStr">
        <is>
          <t>CrCl &lt;50 mL/min: Not recommended; CrCl ≥50: no adjustment</t>
        </is>
      </c>
      <c r="H336" s="3" t="inlineStr">
        <is>
          <t>Not recommended only when CrCl &lt;30 mL/min. CrCl 30–49: usable, but lamivudine AUC rises 1.6–3.3×, so monitor CBC and switch to components if neutropenia/anemia appears. The UK gives CrCl &lt;50 only as an exposure caution.</t>
        </is>
      </c>
      <c r="I336" s="3" t="inlineStr">
        <is>
          <t>TW 仿單 衛部藥輸字第026518號 §3.1/§6.7; US DailyMed §2.7/§8.6; UK SmPC §4.2 — https://mcp.fda.gov.tw/im_detail_1/%E8%A1%9B%E9%83%A8%E8%97%A5%E8%BC%B8%E5%AD%97%E7%AC%AC026518%E8%99%9F</t>
        </is>
      </c>
      <c r="J336" s="3" t="inlineStr">
        <is>
          <t>Open</t>
        </is>
      </c>
      <c r="K336" s="3" t="inlineStr"/>
    </row>
    <row r="337">
      <c r="A337" s="3" t="n">
        <v>1232</v>
      </c>
      <c r="B337" s="3" t="inlineStr">
        <is>
          <t>Triumeq (Dolutegravir/Abacavir/Lamivudine) (TRI05)</t>
        </is>
      </c>
      <c r="C337" s="7" t="inlineStr">
        <is>
          <t>High</t>
        </is>
      </c>
      <c r="D337" s="3" t="inlineStr">
        <is>
          <t>Dosing – renal/dialysis</t>
        </is>
      </c>
      <c r="E337" s="3" t="inlineStr">
        <is>
          <t>Renal table outdated</t>
        </is>
      </c>
      <c r="F337" s="3" t="inlineStr">
        <is>
          <t>Lower renal 'not recommended' threshold to CrCl&lt;30; allow 30–49 with CBC monitoring.</t>
        </is>
      </c>
      <c r="G337" s="3" t="inlineStr">
        <is>
          <t>CrCl &lt;50 mL/min: Not recommended; CrCl ≥50: no dosage adjustment</t>
        </is>
      </c>
      <c r="H337" s="3" t="inlineStr">
        <is>
          <t>Not recommended only at CrCl &lt;30 mL/min. CrCl 30–49 is allowed with CBC monitoring (3TC AUC 1.6–3.3×); switch to single agents if neutropenia or anemia appears. The UK SmPC gives &lt;50 only as an exposure caution.</t>
        </is>
      </c>
      <c r="I337" s="3" t="inlineStr">
        <is>
          <t>Taiwan insert §3.1/§6.7 https://mcp.fda.gov.tw/im_detail_1/%E8%A1%9B%E9%83%A8%E8%97%A5%E8%BC%B8%E5%AD%97%E7%AC%AC026518%E8%99%9F; US label §2.7; UK SmPC 4.2/4.4</t>
        </is>
      </c>
      <c r="J337" s="3" t="inlineStr">
        <is>
          <t>Open</t>
        </is>
      </c>
      <c r="K337" s="3" t="inlineStr"/>
    </row>
    <row r="338">
      <c r="A338" s="3" t="n">
        <v>1331</v>
      </c>
      <c r="B338" s="3" t="inlineStr">
        <is>
          <t>Truvada (Emtricitabine/TDF) (TRU01, TRU03)</t>
        </is>
      </c>
      <c r="C338" s="7" t="inlineStr">
        <is>
          <t>High</t>
        </is>
      </c>
      <c r="D338" s="3" t="inlineStr">
        <is>
          <t>Contraindication/warning</t>
        </is>
      </c>
      <c r="E338" s="3" t="inlineStr">
        <is>
          <t>Missing boxed warning</t>
        </is>
      </c>
      <c r="F338" s="3" t="inlineStr">
        <is>
          <t>Add boxed warning: HBV flare after stopping, PrEP resistance; HIV test before and every 3 months.</t>
        </is>
      </c>
      <c r="G338" s="3" t="inlineStr">
        <is>
          <t>No mention of the boxed warning or of HIV testing every 3 months during PrEP (only the PrEP contraindication is listed)</t>
        </is>
      </c>
      <c r="H338" s="3" t="inlineStr">
        <is>
          <t>Boxed warning: severe acute HBV flare after stopping, and resistance risk when PrEP is used in undiagnosed early HIV. HIV-1 test immediately before PrEP and at least every 3 months; HBV test before starting.</t>
        </is>
      </c>
      <c r="I338" s="3" t="inlineStr">
        <is>
          <t>US FDA label Boxed Warning, 2.1, 2.2; TW仿單 警告</t>
        </is>
      </c>
      <c r="J338" s="3" t="inlineStr">
        <is>
          <t>Open</t>
        </is>
      </c>
      <c r="K338" s="3" t="inlineStr"/>
    </row>
    <row r="339">
      <c r="A339" s="3" t="n">
        <v>1341</v>
      </c>
      <c r="B339" s="3" t="inlineStr">
        <is>
          <t>Truvada (Emtricitabine/TDF) (TRU01, TRU03)</t>
        </is>
      </c>
      <c r="C339" s="7" t="inlineStr">
        <is>
          <t>High</t>
        </is>
      </c>
      <c r="D339" s="3" t="inlineStr">
        <is>
          <t>Contraindication/warning</t>
        </is>
      </c>
      <c r="E339" s="3" t="inlineStr">
        <is>
          <t>Missing boxed warning</t>
        </is>
      </c>
      <c r="F339" s="3" t="inlineStr">
        <is>
          <t>Display boxed warning (HBV flare, PrEP resistance) and HIV testing before and every 3 months.</t>
        </is>
      </c>
      <c r="G339" s="3" t="inlineStr">
        <is>
          <t>Not shown on the P4 page. Only the PrEP contraindication is listed, and HBV reactivation appears only as a side effect.</t>
        </is>
      </c>
      <c r="H339" s="3" t="inlineStr">
        <is>
          <t>The TW and US boxed warning covers severe acute HBV exacerbation after stopping, and drug resistance when PrEP is used in undiagnosed early HIV. HIV testing is required immediately before starting PrEP and at least every 3 months.</t>
        </is>
      </c>
      <c r="I339" s="3" t="inlineStr">
        <is>
          <t>TW insert 警告 box; US Boxed Warning</t>
        </is>
      </c>
      <c r="J339" s="3" t="inlineStr">
        <is>
          <t>Open</t>
        </is>
      </c>
      <c r="K339" s="3" t="inlineStr"/>
    </row>
    <row r="340">
      <c r="A340" s="3" t="n">
        <v>1327</v>
      </c>
      <c r="B340" s="3" t="inlineStr">
        <is>
          <t>Truvada (Emtricitabine/TDF) (TRU01, TRU03)</t>
        </is>
      </c>
      <c r="C340" s="7" t="inlineStr">
        <is>
          <t>High</t>
        </is>
      </c>
      <c r="D340" s="3" t="inlineStr">
        <is>
          <t>Dosing – renal/dialysis</t>
        </is>
      </c>
      <c r="E340" s="3" t="inlineStr">
        <is>
          <t>Renal table outdated</t>
        </is>
      </c>
      <c r="F340" s="3" t="inlineStr">
        <is>
          <t>Add PrEP not recommended CrCl &lt;60, CrCl by ideal body weight, HD not recommended.</t>
        </is>
      </c>
      <c r="G340" s="3" t="inlineStr">
        <is>
          <t>1. CrCl ≥50: 1 tab Q24H; 2. CrCl 30-49: 1 tab Q48H; 3. CrCl &lt;30: should not be administered</t>
        </is>
      </c>
      <c r="H340" s="3" t="inlineStr">
        <is>
          <t>These treatment values are correct, but the field leaves out: (a) PrEP not recommended at CrCl &lt;60, which matters for TRU03 PrEP stock; (b) CrCl calculated with ideal (lean) body weight; (c) haemodialysis is also not recommended.</t>
        </is>
      </c>
      <c r="I340" s="3" t="inlineStr">
        <is>
          <t>US FDA label 2.6 Table 2, 8.6; TW仿單 2.5 表1</t>
        </is>
      </c>
      <c r="J340" s="3" t="inlineStr">
        <is>
          <t>Open</t>
        </is>
      </c>
      <c r="K340" s="3" t="inlineStr"/>
    </row>
    <row r="341">
      <c r="A341" s="3" t="n">
        <v>1336</v>
      </c>
      <c r="B341" s="3" t="inlineStr">
        <is>
          <t>Truvada (Emtricitabine/TDF) (TRU01, TRU03)</t>
        </is>
      </c>
      <c r="C341" s="7" t="inlineStr">
        <is>
          <t>High</t>
        </is>
      </c>
      <c r="D341" s="3" t="inlineStr">
        <is>
          <t>Dosing – renal/dialysis</t>
        </is>
      </c>
      <c r="E341" s="3" t="inlineStr">
        <is>
          <t>Renal table outdated</t>
        </is>
      </c>
      <c r="F341" s="3" t="inlineStr">
        <is>
          <t>Add PrEP threshold CrCl &lt;60 not recommended and ideal-body-weight CrCl basis; &lt;30 includes HD.</t>
        </is>
      </c>
      <c r="G341" s="3" t="inlineStr">
        <is>
          <t>CrCl ≥50: 1 tab Q24H; 30–49: Q48H; &lt;30: should not be administered. No PrEP threshold and no basis for the CrCl calculation.</t>
        </is>
      </c>
      <c r="H341" s="3" t="inlineStr">
        <is>
          <t>These are the HIV-treatment values only. The labels add: PrEP not recommended if CrCl &lt;60 mL/min (this matters for the TRU03 PrEP stock), and CrCl is calculated using ideal (lean) body weight (按理想（瘦）體重計算). &lt;30 includes patients on haemodialysis.</t>
        </is>
      </c>
      <c r="I341" s="3" t="inlineStr">
        <is>
          <t>TW 2.5 表1 and PrEP paragraph; US 2.6 — https://dailymed.nlm.nih.gov/dailymed/drugInfo.cfm?setid=54e82b13-a037-49ed-b4b3-030b37c0ecdd</t>
        </is>
      </c>
      <c r="J341" s="3" t="inlineStr">
        <is>
          <t>Open</t>
        </is>
      </c>
      <c r="K341" s="3" t="inlineStr"/>
    </row>
    <row r="342">
      <c r="A342" s="3" t="n">
        <v>202</v>
      </c>
      <c r="B342" s="3" t="inlineStr">
        <is>
          <t>UFO (Fosfomycin) (UFO02)</t>
        </is>
      </c>
      <c r="C342" s="7" t="inlineStr">
        <is>
          <t>High</t>
        </is>
      </c>
      <c r="D342" s="3" t="inlineStr">
        <is>
          <t>Contraindication/warning</t>
        </is>
      </c>
      <c r="E342" s="3" t="inlineStr"/>
      <c r="F342" s="3" t="inlineStr">
        <is>
          <t>Add sodium load (14.5 mEq/g), hypokalaemia, neutropenia warnings and combination-therapy advice</t>
        </is>
      </c>
      <c r="G342" s="3" t="inlineStr">
        <is>
          <t>No sodium-load, hypokalaemia, neutropenia/agranulocytosis or combination-therapy warnings</t>
        </is>
      </c>
      <c r="H342" s="3" t="inlineStr">
        <is>
          <t>14.5 mEq Na/g: monitor Na/K, low-sodium diet, K supplementation; monitor WBC; combine with another antibiotic</t>
        </is>
      </c>
      <c r="I342" s="3" t="inlineStr">
        <is>
          <t>Taiwan insert §5.1</t>
        </is>
      </c>
      <c r="J342" s="3" t="inlineStr">
        <is>
          <t>Open</t>
        </is>
      </c>
      <c r="K342" s="3" t="inlineStr"/>
    </row>
    <row r="343">
      <c r="A343" s="3" t="n">
        <v>212</v>
      </c>
      <c r="B343" s="3" t="inlineStr">
        <is>
          <t>UFO (Fosfomycin) (UFO02)</t>
        </is>
      </c>
      <c r="C343" s="7" t="inlineStr">
        <is>
          <t>High</t>
        </is>
      </c>
      <c r="D343" s="3" t="inlineStr">
        <is>
          <t>Contraindication/warning</t>
        </is>
      </c>
      <c r="E343" s="3" t="inlineStr"/>
      <c r="F343" s="3" t="inlineStr">
        <is>
          <t>Add sodium-load/K monitoring warning and combination-therapy recommendation</t>
        </is>
      </c>
      <c r="G343" s="3" t="inlineStr">
        <is>
          <t>Not mentioned</t>
        </is>
      </c>
      <c r="H343" s="3" t="inlineStr">
        <is>
          <t>14.5 mEq sodium per g: monitor Na and K, low-sodium diet, consider K supplements. Combination with another antibiotic is recommended because resistance is selected quickly.</t>
        </is>
      </c>
      <c r="I343" s="3" t="inlineStr">
        <is>
          <t>Taiwan insert UFO §5.1; UK SmPC §4.4</t>
        </is>
      </c>
      <c r="J343" s="3" t="inlineStr">
        <is>
          <t>Open</t>
        </is>
      </c>
      <c r="K343" s="3" t="inlineStr"/>
    </row>
    <row r="344">
      <c r="A344" s="3" t="n">
        <v>200</v>
      </c>
      <c r="B344" s="3" t="inlineStr">
        <is>
          <t>UFO (Fosfomycin) (UFO02)</t>
        </is>
      </c>
      <c r="C344" s="7" t="inlineStr">
        <is>
          <t>High</t>
        </is>
      </c>
      <c r="D344" s="3" t="inlineStr">
        <is>
          <t>Dosing – adult</t>
        </is>
      </c>
      <c r="E344" s="3" t="inlineStr"/>
      <c r="F344" s="3" t="inlineStr">
        <is>
          <t>Remove IM route; IV only 2–4 g/day per TW insert</t>
        </is>
      </c>
      <c r="G344" s="3" t="inlineStr">
        <is>
          <t>Micromedex-style text: disodium fosfomycin 2–4 g/day IV and IM; up to 16 g/day IV in severe infection; mentions vein/tissue irritation</t>
        </is>
      </c>
      <c r="H344" s="3" t="inlineStr">
        <is>
          <t>Taiwan insert: IV only (IVD or slow IV push), 2–4 g/day; no intramuscular route. UK: 12–24 g/day IV; US: 6 g q8h IV.</t>
        </is>
      </c>
      <c r="I344" s="3" t="inlineStr">
        <is>
          <t>Taiwan insert §3.1; UK SmPC §4.2; US Contepo §2.1</t>
        </is>
      </c>
      <c r="J344" s="3" t="inlineStr">
        <is>
          <t>Open</t>
        </is>
      </c>
      <c r="K344" s="3" t="inlineStr"/>
    </row>
    <row r="345">
      <c r="A345" s="3" t="n">
        <v>207</v>
      </c>
      <c r="B345" s="3" t="inlineStr">
        <is>
          <t>UFO (Fosfomycin) (UFO02)</t>
        </is>
      </c>
      <c r="C345" s="7" t="inlineStr">
        <is>
          <t>High</t>
        </is>
      </c>
      <c r="D345" s="3" t="inlineStr">
        <is>
          <t>Dosing – adult</t>
        </is>
      </c>
      <c r="E345" s="3" t="inlineStr"/>
      <c r="F345" s="3" t="inlineStr">
        <is>
          <t>Remove IM route; IV infusion/push only 2–4 g/day</t>
        </is>
      </c>
      <c r="G345" s="3" t="inlineStr">
        <is>
          <t>Micromedex-style text: disodium fosfomycin 2–4 g/day IV or IM in divided doses; up to 16 g/day IV in severe infection</t>
        </is>
      </c>
      <c r="H345" s="3" t="inlineStr">
        <is>
          <t>IV infusion or IV push only: 2–4 g/day (IVD in 2 doses; IV push in 2–4 doses). The insert has no IM route. The UK SmPC gives 12–24 g/day IV.</t>
        </is>
      </c>
      <c r="I345" s="3" t="inlineStr">
        <is>
          <t>Taiwan insert UFO §3.1; UK SmPC §4.2</t>
        </is>
      </c>
      <c r="J345" s="3" t="inlineStr">
        <is>
          <t>Open</t>
        </is>
      </c>
      <c r="K345" s="3" t="inlineStr"/>
    </row>
    <row r="346">
      <c r="A346" s="3" t="n">
        <v>196</v>
      </c>
      <c r="B346" s="3" t="inlineStr">
        <is>
          <t>UFO (Fosfomycin) (UFO02)</t>
        </is>
      </c>
      <c r="C346" s="7" t="inlineStr">
        <is>
          <t>High</t>
        </is>
      </c>
      <c r="D346" s="3" t="inlineStr">
        <is>
          <t>Dosing – renal/dialysis</t>
        </is>
      </c>
      <c r="E346" s="3" t="inlineStr">
        <is>
          <t>Renal table outdated</t>
        </is>
      </c>
      <c r="F346" s="3" t="inlineStr">
        <is>
          <t>Add CrCl &lt;40 table (70/60/40/20%), HD 2 g q48h post-dialysis, CVVH no change</t>
        </is>
      </c>
      <c r="G346" s="3" t="inlineStr">
        <is>
          <t>There are no dosage adjustments provided in the manufacturer's labeling.</t>
        </is>
      </c>
      <c r="H346" s="3" t="inlineStr">
        <is>
          <t>CrCl &lt;40: 20–70% of daily dose (40→70%, 30→60%, 20→40%, 10→20%); intermittent HD q48h: 2 g after dialysis; CVVH: no adjustment. The UK SmPC agrees; US Contepo adjusts at CrCl ≤50.</t>
        </is>
      </c>
      <c r="I346" s="3" t="inlineStr">
        <is>
          <t>Taiwan insert §3.1; UK SmPC §4.2 — https://www.medicines.org.uk/emc/product/100356/smpc; US Contepo §2.2 — https://dailymed.nlm.nih.gov/dailymed/drugInfo.cfm?setid=855574f2-39f8-43bc-a3d2-79dbb578cb94</t>
        </is>
      </c>
      <c r="J346" s="3" t="inlineStr">
        <is>
          <t>Open</t>
        </is>
      </c>
      <c r="K346" s="3" t="inlineStr"/>
    </row>
    <row r="347">
      <c r="A347" s="3" t="n">
        <v>206</v>
      </c>
      <c r="B347" s="3" t="inlineStr">
        <is>
          <t>UFO (Fosfomycin) (UFO02)</t>
        </is>
      </c>
      <c r="C347" s="7" t="inlineStr">
        <is>
          <t>High</t>
        </is>
      </c>
      <c r="D347" s="3" t="inlineStr">
        <is>
          <t>Dosing – renal/dialysis</t>
        </is>
      </c>
      <c r="E347" s="3" t="inlineStr">
        <is>
          <t>Renal table outdated</t>
        </is>
      </c>
      <c r="F347" s="3" t="inlineStr">
        <is>
          <t>Add CrCl &lt;40 dose % table and HD 2 g q48h post-dialysis</t>
        </is>
      </c>
      <c r="G347" s="3" t="inlineStr">
        <is>
          <t>There are no dosage adjustments provided in the manufacturer's labeling</t>
        </is>
      </c>
      <c r="H347" s="3" t="inlineStr">
        <is>
          <t>For CrCl &lt;40, give 20–70% of the daily dose (40→70%, 30→60%, 20→40%, 10→20%). Intermittent HD every 48 h: 2 g after dialysis. CVVH: no adjustment.</t>
        </is>
      </c>
      <c r="I347" s="3" t="inlineStr">
        <is>
          <t>Taiwan insert UFO §3.1; UK SmPC §4.2 https://www.medicines.org.uk/emc/product/100356/smpc</t>
        </is>
      </c>
      <c r="J347" s="3" t="inlineStr">
        <is>
          <t>Open</t>
        </is>
      </c>
      <c r="K347" s="3" t="inlineStr"/>
    </row>
    <row r="348">
      <c r="A348" s="3" t="n">
        <v>993</v>
      </c>
      <c r="B348" s="3" t="inlineStr">
        <is>
          <t>ValTREX (Valaciclovir) (VAL03)</t>
        </is>
      </c>
      <c r="C348" s="7" t="inlineStr">
        <is>
          <t>High</t>
        </is>
      </c>
      <c r="D348" s="3" t="inlineStr">
        <is>
          <t>Contraindication/warning</t>
        </is>
      </c>
      <c r="E348" s="3" t="inlineStr">
        <is>
          <t>Missing SCAR (SJS/TEN/DRESS)</t>
        </is>
      </c>
      <c r="F348" s="3" t="inlineStr">
        <is>
          <t>Add contraindication: prior SCAR to acyclovir/valacyclovir (FDA 11/2025, TW 5.1)</t>
        </is>
      </c>
      <c r="G348" s="3" t="inlineStr">
        <is>
          <t>Hypersensitivity to acyclovir or valacyclovir products.</t>
        </is>
      </c>
      <c r="H348" s="3" t="inlineStr">
        <is>
          <t>Current FDA (11/2025) and TW insert also contraindicate re-use after severe cutaneous adverse reactions (SCARs) to valacyclovir or acyclovir. FDA 4: '[e.g., anaphylaxis, severe cutaneous adverse reactions (SCARs)]'. TW 5.1: '曾因使用 acyclovir 或 valaciclovir 而發生 SCARs 之病人，禁止再次使用'.</t>
        </is>
      </c>
      <c r="I348" s="3" t="inlineStr">
        <is>
          <t>US FDA label 4 https://dailymed.nlm.nih.gov/dailymed/drugInfo.cfm?setid=f8e0d8f8-cb73-4206-a484-88f5c4fbd719; Taiwan insert 5.1 https://mcp.fda.gov.tw/im_detail_1/%E8%A1%9B%E7%BD%B2%E8%97%A5%E8%BC%B8%E5%AD%97%E7%AC%AC021788%E8%99%9F</t>
        </is>
      </c>
      <c r="J348" s="3" t="inlineStr">
        <is>
          <t>Open</t>
        </is>
      </c>
      <c r="K348" s="3" t="inlineStr"/>
    </row>
    <row r="349">
      <c r="A349" s="3" t="n">
        <v>990</v>
      </c>
      <c r="B349" s="3" t="inlineStr">
        <is>
          <t>ValTREX (Valaciclovir) (VAL03)</t>
        </is>
      </c>
      <c r="C349" s="7" t="inlineStr">
        <is>
          <t>High</t>
        </is>
      </c>
      <c r="D349" s="3" t="inlineStr">
        <is>
          <t>Dosing – renal/dialysis</t>
        </is>
      </c>
      <c r="E349" s="3" t="inlineStr">
        <is>
          <t>Renal table outdated</t>
        </is>
      </c>
      <c r="F349" s="3" t="inlineStr">
        <is>
          <t>Align renal table to stocked TW insert; add separate suppression row (500 mg q24h → q48h at CrCl &lt;30)</t>
        </is>
      </c>
      <c r="G349" s="3" t="inlineStr">
        <is>
          <t>US Table 1 thresholds: zoster CrCl 30–49 → 1 g q12h, 10–29 → 1 g q24h; cold sores and initial genital herpes steps; 'Recurrent episode and suppressive therapy' combined into one row (CrCl &lt;30 → 500 mg q24h). The &lt;10 rows are truncated on the page.</t>
        </is>
      </c>
      <c r="H349" s="3" t="inlineStr">
        <is>
          <t>The stocked product's TW insert adjusts only at lower CrCl: zoster 15–30 → 1 g BID, &lt;15 → 1 g QD; HSV treatment &lt;15 → 500 mg QD; suppression &lt;15 → 250 mg QD (immunocompetent) or 500 mg QD (immunocompromised); HD → &lt;15 dose after dialysis. The FDA table also gives a separate suppression step (500 mg QD → 500 mg q48h at CrCl &lt;30) that the hospital's combined row omits.</t>
        </is>
      </c>
      <c r="I349" s="3" t="inlineStr">
        <is>
          <t>Taiwan insert 3.3 腎功能不全者之劑量 https://mcp.fda.gov.tw/im_detail_1/%E8%A1%9B%E7%BD%B2%E8%97%A5%E8%BC%B8%E5%AD%97%E7%AC%AC021788%E8%99%9F; US FDA label 2.4 Table 1 https://dailymed.nlm.nih.gov/dailymed/drugInfo.cfm?setid=f8e0d8f8-cb73-4206-a484-88f5c4fbd719</t>
        </is>
      </c>
      <c r="J349" s="3" t="inlineStr">
        <is>
          <t>Open</t>
        </is>
      </c>
      <c r="K349" s="3" t="inlineStr"/>
    </row>
    <row r="350">
      <c r="A350" s="3" t="n">
        <v>1000</v>
      </c>
      <c r="B350" s="3" t="inlineStr">
        <is>
          <t>ValTREX (Valaciclovir) (VAL03)</t>
        </is>
      </c>
      <c r="C350" s="7" t="inlineStr">
        <is>
          <t>High</t>
        </is>
      </c>
      <c r="D350" s="3" t="inlineStr">
        <is>
          <t>Dosing – renal/dialysis</t>
        </is>
      </c>
      <c r="E350" s="3" t="inlineStr">
        <is>
          <t>Renal table outdated</t>
        </is>
      </c>
      <c r="F350" s="3" t="inlineStr">
        <is>
          <t>Split recurrent vs suppressive rows; add 500 mg q24h → q48h at CrCl &lt;30, 250 mg q24h immunocompetent</t>
        </is>
      </c>
      <c r="G350" s="3" t="inlineStr">
        <is>
          <t>'Recurrent episode and suppressive therapy: CrCl &lt;30 → 0.5 g Q24H' (one row for all)</t>
        </is>
      </c>
      <c r="H350" s="3" t="inlineStr">
        <is>
          <t>US Table 1 has separate rows. The alternate suppression regimen (500 mg q24h, for ≤9 recurrences/yr) becomes 500 mg q48h at CrCl &lt;30. TW/UK immunocompetent suppression becomes 250 mg q24h (TW &lt;15; UK &lt;30).</t>
        </is>
      </c>
      <c r="I350" s="3" t="inlineStr">
        <is>
          <t>US VALTREX label 2.4 Table 1 https://dailymed.nlm.nih.gov/dailymed/drugInfo.cfm?setid=f8e0d8f8-cb73-4206-a484-88f5c4fbd719; UK SmPC 4.2 Table 1 https://www.medicines.org.uk/emc/product/15072/smpc</t>
        </is>
      </c>
      <c r="J350" s="3" t="inlineStr">
        <is>
          <t>Open</t>
        </is>
      </c>
      <c r="K350" s="3" t="inlineStr"/>
    </row>
    <row r="351">
      <c r="A351" s="3" t="n">
        <v>1048</v>
      </c>
      <c r="B351" s="3" t="inlineStr">
        <is>
          <t>Valcyte (Valganciclovir) (VAL02)</t>
        </is>
      </c>
      <c r="C351" s="7" t="inlineStr">
        <is>
          <t>High</t>
        </is>
      </c>
      <c r="D351" s="3" t="inlineStr">
        <is>
          <t>Dosing – adult</t>
        </is>
      </c>
      <c r="E351" s="3" t="inlineStr"/>
      <c r="F351" s="3" t="inlineStr">
        <is>
          <t>Change induction to 900 mg BID ×21 days; note prolonged induction increases marrow toxicity</t>
        </is>
      </c>
      <c r="G351" s="3" t="inlineStr">
        <is>
          <t>Induction: 900 mg twice daily for 14 to 21 days</t>
        </is>
      </c>
      <c r="H351" s="3" t="inlineStr">
        <is>
          <t>Induction: 900 mg twice daily for 21 days. The UK and TW labels add that prolonged induction may increase bone-marrow toxicity.</t>
        </is>
      </c>
      <c r="I351" s="3" t="inlineStr">
        <is>
          <t>TW insert §3.1; US FDA §2.2; UK SmPC §4.2</t>
        </is>
      </c>
      <c r="J351" s="3" t="inlineStr">
        <is>
          <t>Open</t>
        </is>
      </c>
      <c r="K351" s="3" t="inlineStr"/>
    </row>
    <row r="352">
      <c r="A352" s="3" t="n">
        <v>1061</v>
      </c>
      <c r="B352" s="3" t="inlineStr">
        <is>
          <t>Valcyte (Valganciclovir) (VAL02)</t>
        </is>
      </c>
      <c r="C352" s="7" t="inlineStr">
        <is>
          <t>High</t>
        </is>
      </c>
      <c r="D352" s="3" t="inlineStr">
        <is>
          <t>Dosing – adult</t>
        </is>
      </c>
      <c r="E352" s="3" t="inlineStr"/>
      <c r="F352" s="3" t="inlineStr">
        <is>
          <t>Change induction to 900 mg BID for 21 days (no 14-day option)</t>
        </is>
      </c>
      <c r="G352" s="3" t="inlineStr">
        <is>
          <t>Induction: 900 mg twice daily for 14 to 21 days</t>
        </is>
      </c>
      <c r="H352" s="3" t="inlineStr">
        <is>
          <t>900 mg twice daily for 21 days. None of the three labels gives 14 days.</t>
        </is>
      </c>
      <c r="I352" s="3" t="inlineStr">
        <is>
          <t>TW insert 3.1 '總療程為21天'; US label 2.2; UK SmPC 4.2</t>
        </is>
      </c>
      <c r="J352" s="3" t="inlineStr">
        <is>
          <t>Open</t>
        </is>
      </c>
      <c r="K352" s="3" t="inlineStr"/>
    </row>
    <row r="353">
      <c r="A353" s="3" t="n">
        <v>1047</v>
      </c>
      <c r="B353" s="3" t="inlineStr">
        <is>
          <t>Valcyte (Valganciclovir) (VAL02)</t>
        </is>
      </c>
      <c r="C353" s="7" t="inlineStr">
        <is>
          <t>High</t>
        </is>
      </c>
      <c r="D353" s="3" t="inlineStr">
        <is>
          <t>Dosing – renal/dialysis</t>
        </is>
      </c>
      <c r="E353" s="3" t="inlineStr">
        <is>
          <t>Renal table outdated</t>
        </is>
      </c>
      <c r="F353" s="3" t="inlineStr">
        <is>
          <t>Restore missing threshold: CrCl &lt;10 mL/min not recommended; tablets not for HD</t>
        </is>
      </c>
      <c r="G353" s="3" t="inlineStr">
        <is>
          <t>'5. CrCl not recommended' (the threshold value is missing for both treatment and maintenance doses; hemodialysis not mentioned)</t>
        </is>
      </c>
      <c r="H353" s="3" t="inlineStr">
        <is>
          <t>CrCl &lt;10 mL/min (including hemodialysis): not recommended; tablets should not be used in HD</t>
        </is>
      </c>
      <c r="I353" s="3" t="inlineStr">
        <is>
          <t>TW insert §3.3 表一; US FDA §2.5 Table 2; UK SmPC §4.2</t>
        </is>
      </c>
      <c r="J353" s="3" t="inlineStr">
        <is>
          <t>Open</t>
        </is>
      </c>
      <c r="K353" s="3" t="inlineStr"/>
    </row>
    <row r="354">
      <c r="A354" s="3" t="n">
        <v>1060</v>
      </c>
      <c r="B354" s="3" t="inlineStr">
        <is>
          <t>Valcyte (Valganciclovir) (VAL02)</t>
        </is>
      </c>
      <c r="C354" s="7" t="inlineStr">
        <is>
          <t>High</t>
        </is>
      </c>
      <c r="D354" s="3" t="inlineStr">
        <is>
          <t>Dosing – renal/dialysis</t>
        </is>
      </c>
      <c r="E354" s="3" t="inlineStr">
        <is>
          <t>Renal table outdated</t>
        </is>
      </c>
      <c r="F354" s="3" t="inlineStr">
        <is>
          <t>Restore truncated '&lt;10': CrCl &lt;10 not recommended; tablets not used in HD</t>
        </is>
      </c>
      <c r="G354" s="3" t="inlineStr">
        <is>
          <t>'5. CrCl not recommended' for both treatment and maintenance (the threshold is missing, apparently truncated from '&lt;10')</t>
        </is>
      </c>
      <c r="H354" s="3" t="inlineStr">
        <is>
          <t>CrCl &lt;10 mL/min: not recommended. Hemodialysis: tablets should not be used.</t>
        </is>
      </c>
      <c r="I354" s="3" t="inlineStr">
        <is>
          <t>TW insert 表一; US label Table 2; UK SmPC 4.2</t>
        </is>
      </c>
      <c r="J354" s="3" t="inlineStr">
        <is>
          <t>Open</t>
        </is>
      </c>
      <c r="K354" s="3" t="inlineStr"/>
    </row>
    <row r="355">
      <c r="A355" s="3" t="n">
        <v>436</v>
      </c>
      <c r="B355" s="3" t="inlineStr">
        <is>
          <t>Vancomycin (UVA01)</t>
        </is>
      </c>
      <c r="C355" s="7" t="inlineStr">
        <is>
          <t>High</t>
        </is>
      </c>
      <c r="D355" s="3" t="inlineStr">
        <is>
          <t>Dosing – adult</t>
        </is>
      </c>
      <c r="E355" s="3" t="inlineStr"/>
      <c r="F355" s="3" t="inlineStr">
        <is>
          <t>Align to label usual 2 g/day (≥15 mg/kg initial); &gt;2 g/day TDM-guided; infuse ≤10 mg/min or ≥60 min</t>
        </is>
      </c>
      <c r="G355" s="3" t="inlineStr">
        <is>
          <t>2-3 g/day (30-60 mg/kg/day) divided q8-12h, each gram over ≥60 min</t>
        </is>
      </c>
      <c r="H355" s="3" t="inlineStr">
        <is>
          <t>The 仿單 for the stocked product and the US FDA label give a usual dose of 2 g/day (500 mg q6h or 1 g q12h), initial dose at least 15 mg/kg. UK SmPC: 15-20 mg/kg q8-12h, max 2 g/dose (overlaps the 30-60 mg/kg/day range), with a 25-30 mg/kg loading dose in seriously ill patients. A fixed 3 g/day is not in the label for the stocked product. Infusion should be at no more than 10 mg/min or over at least 60 min, whichever is longer, which is stricter than 'each gram over ≥60 min' for doses above 600 mg.</t>
        </is>
      </c>
      <c r="I355" s="3" t="inlineStr">
        <is>
          <t>Taiwan 仿單 3.1 https://mcp.fda.gov.tw/im_detail_1/%E8%A1%9B%E7%BD%B2%E8%97%A5%E8%A3%BD%E5%AD%97%E7%AC%AC041443%E8%99%9F ; US FDA D&amp;A https://dailymed.nlm.nih.gov/dailymed/drugInfo.cfm?setid=2dc7b3d6-3874-40ac-b8aa-7bcfe2dc0cdf ; UK SmPC 4.2 https://www.medicines.org.uk/emc/product/15737/smpc</t>
        </is>
      </c>
      <c r="J355" s="3" t="inlineStr">
        <is>
          <t>Open</t>
        </is>
      </c>
      <c r="K355" s="3" t="inlineStr"/>
    </row>
    <row r="356">
      <c r="A356" s="3" t="n">
        <v>442</v>
      </c>
      <c r="B356" s="3" t="inlineStr">
        <is>
          <t>Vancomycin (UVA01)</t>
        </is>
      </c>
      <c r="C356" s="7" t="inlineStr">
        <is>
          <t>High</t>
        </is>
      </c>
      <c r="D356" s="3" t="inlineStr">
        <is>
          <t>Dosing – adult</t>
        </is>
      </c>
      <c r="E356" s="3" t="inlineStr"/>
      <c r="F356" s="3" t="inlineStr">
        <is>
          <t>Usual 2 g/day per stocked insert; doses &gt;2 g/day only with TDM</t>
        </is>
      </c>
      <c r="G356" s="3" t="inlineStr">
        <is>
          <t>2-3 g/day (30-60 mg/kg/day) divided q8-12h</t>
        </is>
      </c>
      <c r="H356" s="3" t="inlineStr">
        <is>
          <t>Taiwan insert (same product) and US label: usual 2 g/day (500 mg q6h or 1 g q12h). UK: 15-20 mg/kg q8-12h, max 2 g/dose, which overlaps with 30-60 mg/kg/day only for the weight-based range. Doses above 2 g/day need TDM support.</t>
        </is>
      </c>
      <c r="I356" s="3" t="inlineStr">
        <is>
          <t>Taiwan insert 3.1 https://mcp.fda.gov.tw/im_detail_1/%E8%A1%9B%E7%BD%B2%E8%97%A5%E8%A3%BD%E5%AD%97%E7%AC%AC041443%E8%99%9F; US D&amp;A; UK SmPC 4.2</t>
        </is>
      </c>
      <c r="J356" s="3" t="inlineStr">
        <is>
          <t>Open</t>
        </is>
      </c>
      <c r="K356" s="3" t="inlineStr"/>
    </row>
    <row r="357">
      <c r="A357" s="3" t="n">
        <v>437</v>
      </c>
      <c r="B357" s="3" t="inlineStr">
        <is>
          <t>Vancomycin (UVA01)</t>
        </is>
      </c>
      <c r="C357" s="7" t="inlineStr">
        <is>
          <t>High</t>
        </is>
      </c>
      <c r="D357" s="3" t="inlineStr">
        <is>
          <t>Dosing – renal/dialysis</t>
        </is>
      </c>
      <c r="E357" s="3" t="inlineStr">
        <is>
          <t>Renal table outdated</t>
        </is>
      </c>
      <c r="F357" s="3" t="inlineStr">
        <is>
          <t>Replace unsourced day 1/4/weekly ESRD regimen with label regimen or cited guideline; level-guided redosing</t>
        </is>
      </c>
      <c r="G357" s="3" t="inlineStr">
        <is>
          <t>ESRD: 15 mg/kg day 1, 15 mg/kg day 4, then 15 mg/kg every 7 days</t>
        </is>
      </c>
      <c r="H357" s="3" t="inlineStr">
        <is>
          <t>仿單/FDA: functionally anephric, 15 mg/kg then 1.9 mg/kg/24h; severe impairment, 250-1000 mg every several days; anuria, 1 g every 7-10 days. SmPC: in CrCl &lt;20 or RRT, re-dose based on levels, and high-flux HD needs post-HD replacement dosing. The day 1/day 4/weekly regimen matches no label. It needs a guideline citation, or it should be flagged.</t>
        </is>
      </c>
      <c r="I357" s="3" t="inlineStr">
        <is>
          <t>Taiwan 仿單 3.3 ; US FDA D&amp;A (impaired renal function) ; UK SmPC 4.2 Renal impairment</t>
        </is>
      </c>
      <c r="J357" s="3" t="inlineStr">
        <is>
          <t>Open</t>
        </is>
      </c>
      <c r="K357" s="3" t="inlineStr"/>
    </row>
    <row r="358">
      <c r="A358" s="3" t="n">
        <v>438</v>
      </c>
      <c r="B358" s="3" t="inlineStr">
        <is>
          <t>Vancomycin (UVA01)</t>
        </is>
      </c>
      <c r="C358" s="7" t="inlineStr">
        <is>
          <t>High</t>
        </is>
      </c>
      <c r="D358" s="3" t="inlineStr">
        <is>
          <t>Dosing – renal/dialysis</t>
        </is>
      </c>
      <c r="E358" s="3" t="inlineStr"/>
      <c r="F358" s="3" t="inlineStr">
        <is>
          <t>Add: high-flux HD and CRRT increase clearance; replacement dosing after HD needed</t>
        </is>
      </c>
      <c r="G358" s="3" t="inlineStr">
        <is>
          <t>Conventional hemodialysis does not clear vancomycin (stated without qualification)</t>
        </is>
      </c>
      <c r="H358" s="3" t="inlineStr">
        <is>
          <t>The labels agree that conventional HD and PD remove little vancomycin. However, the SmPC states that 'use of high-flux membranes and continuous renal replacement therapy (CRRT) increases vancomycin clearance and generally requires replacement dosing (usually after the haemodialysis session)'. The FDA label notes increased clearance with hemofiltration and hemoperfusion.</t>
        </is>
      </c>
      <c r="I358" s="3" t="inlineStr">
        <is>
          <t>UK SmPC 4.2 &amp; 5.2 https://www.medicines.org.uk/emc/product/15737/smpc ; US FDA OVERDOSAGE https://dailymed.nlm.nih.gov/dailymed/drugInfo.cfm?setid=2dc7b3d6-3874-40ac-b8aa-7bcfe2dc0cdf</t>
        </is>
      </c>
      <c r="J358" s="3" t="inlineStr">
        <is>
          <t>Open</t>
        </is>
      </c>
      <c r="K358" s="3" t="inlineStr"/>
    </row>
    <row r="359">
      <c r="A359" s="3" t="n">
        <v>443</v>
      </c>
      <c r="B359" s="3" t="inlineStr">
        <is>
          <t>Vancomycin (UVA01)</t>
        </is>
      </c>
      <c r="C359" s="7" t="inlineStr">
        <is>
          <t>High</t>
        </is>
      </c>
      <c r="D359" s="3" t="inlineStr">
        <is>
          <t>Dosing – renal/dialysis</t>
        </is>
      </c>
      <c r="E359" s="3" t="inlineStr">
        <is>
          <t>Renal table outdated</t>
        </is>
      </c>
      <c r="F359" s="3" t="inlineStr">
        <is>
          <t>Replace day-1/day-4/weekly ESRD regimen with label dosing or cited guideline</t>
        </is>
      </c>
      <c r="G359" s="3" t="inlineStr">
        <is>
          <t>15 mg/kg day 1, 15 mg/kg day 4, then 15 mg/kg every 7 days</t>
        </is>
      </c>
      <c r="H359" s="3" t="inlineStr">
        <is>
          <t>Taiwan insert/US: anephric 15 mg/kg then 1.9 mg/kg/24h; marked impairment 250-1000 mg every several days; anuria 1 g every 7-10 days. UK: initial dose, then re-dose by levels for CrCl &lt;20 or RRT. No label gives the day-1/day-4/weekly regimen; it needs a guideline citation or a flag.</t>
        </is>
      </c>
      <c r="I359" s="3" t="inlineStr">
        <is>
          <t>Taiwan insert 3.3; US D&amp;A Impaired Renal Function; UK SmPC 4.2</t>
        </is>
      </c>
      <c r="J359" s="3" t="inlineStr">
        <is>
          <t>Open</t>
        </is>
      </c>
      <c r="K359" s="3" t="inlineStr"/>
    </row>
    <row r="360">
      <c r="A360" s="3" t="n">
        <v>444</v>
      </c>
      <c r="B360" s="3" t="inlineStr">
        <is>
          <t>Vancomycin (UVA01)</t>
        </is>
      </c>
      <c r="C360" s="7" t="inlineStr">
        <is>
          <t>High</t>
        </is>
      </c>
      <c r="D360" s="3" t="inlineStr">
        <is>
          <t>Dosing – renal/dialysis</t>
        </is>
      </c>
      <c r="E360" s="3" t="inlineStr"/>
      <c r="F360" s="3" t="inlineStr">
        <is>
          <t>Add high-flux HD/CRRT clearance with post-HD replacement dosing</t>
        </is>
      </c>
      <c r="G360" s="3" t="inlineStr">
        <is>
          <t>Conventional haemodialysis does not clear vancomycin (no further qualification)</t>
        </is>
      </c>
      <c r="H360" s="3" t="inlineStr">
        <is>
          <t>UK SmPC: poorly dialyzable by intermittent HD, BUT high-flux membranes and CRRT increase clearance and generally need replacement dosing after HD.</t>
        </is>
      </c>
      <c r="I360" s="3" t="inlineStr">
        <is>
          <t>UK SmPC 4.2 Renal impairment https://www.medicines.org.uk/emc/product/15737/smpc</t>
        </is>
      </c>
      <c r="J360" s="3" t="inlineStr">
        <is>
          <t>Open</t>
        </is>
      </c>
      <c r="K360" s="3" t="inlineStr"/>
    </row>
    <row r="361">
      <c r="A361" s="3" t="n">
        <v>1068</v>
      </c>
      <c r="B361" s="3" t="inlineStr">
        <is>
          <t>Veklury (Remdesivir) (VEK02, VEK03)</t>
        </is>
      </c>
      <c r="C361" s="7" t="inlineStr">
        <is>
          <t>High</t>
        </is>
      </c>
      <c r="D361" s="3" t="inlineStr">
        <is>
          <t>Dosing – pediatric</t>
        </is>
      </c>
      <c r="E361" s="3" t="inlineStr"/>
      <c r="F361" s="3" t="inlineStr">
        <is>
          <t>Restrict 200/100 mg to ≥40 kg; children 3–&lt;40 kg 5 mg/kg day 1 then 2.5 mg/kg QD</t>
        </is>
      </c>
      <c r="G361" s="3" t="inlineStr">
        <is>
          <t>'In patients over 28 days old and weigh at least 3 kg: 200 mg as a single dose on day 1, followed by 100 mg once daily': a fixed adult dose for everyone ≥3 kg. This is potentially dangerous for small children.</t>
        </is>
      </c>
      <c r="H361" s="3" t="inlineStr">
        <is>
          <t>200 mg then 100 mg applies only to adults and children ≥40 kg. Children ≥28 days and 3 to &lt;40 kg get 5 mg/kg on Day 1, then 2.5 mg/kg QD.</t>
        </is>
      </c>
      <c r="I361" s="3" t="inlineStr">
        <is>
          <t>仿單 §3.1.3 https://mcp.fda.gov.tw/im_detail_1/%E8%A1%9B%E9%83%A8%E8%97%A5%E8%BC%B8%E5%AD%97%E7%AC%AC027899%E8%99%9F ; US §2.3 Table 1 ; UK §4.2 Table 1</t>
        </is>
      </c>
      <c r="J361" s="3" t="inlineStr">
        <is>
          <t>Open</t>
        </is>
      </c>
      <c r="K361" s="3" t="inlineStr"/>
    </row>
    <row r="362">
      <c r="A362" s="3" t="n">
        <v>1071</v>
      </c>
      <c r="B362" s="3" t="inlineStr">
        <is>
          <t>Veklury (Remdesivir) (VEK02, VEK03)</t>
        </is>
      </c>
      <c r="C362" s="7" t="inlineStr">
        <is>
          <t>High</t>
        </is>
      </c>
      <c r="D362" s="3" t="inlineStr">
        <is>
          <t>Dosing – pediatric</t>
        </is>
      </c>
      <c r="E362" s="3" t="inlineStr"/>
      <c r="F362" s="3" t="inlineStr">
        <is>
          <t>Fix weight threshold to 3 kg (US 1.5 kg neonatal dosing); fix garbled '&lt;'; remove solution form</t>
        </is>
      </c>
      <c r="G362" s="3" t="inlineStr">
        <is>
          <t>'Infants and Children 3.5 to &lt;40 kg: Lyophilized powder only: 5 mg/kg day 1 then 2.5 mg/kg'. It also has a '≥12 y ≥40 kg: Injection solution or lyophilized powder' line, and the field is truncated or garbled when displayed (the '&lt;' is swallowed by the HTML).</t>
        </is>
      </c>
      <c r="H362" s="3" t="inlineStr">
        <is>
          <t>The lower weight limit is 3 kg (TW/UK, ≥28 days) or 1.5 kg (US, with 2.5 then 1.25 mg/kg for neonates and for 1.5 to &lt;3 kg). 3.5 kg is an old EUA threshold. Taiwan has only the lyophilized powder, not a solution.</t>
        </is>
      </c>
      <c r="I362" s="3" t="inlineStr">
        <is>
          <t>仿單 §3.1.3, §6.4 ; US §2.3 Table 1 (SPL XML) ; UK §4.2</t>
        </is>
      </c>
      <c r="J362" s="3" t="inlineStr">
        <is>
          <t>Open</t>
        </is>
      </c>
      <c r="K362" s="3" t="inlineStr"/>
    </row>
    <row r="363">
      <c r="A363" s="3" t="n">
        <v>1080</v>
      </c>
      <c r="B363" s="3" t="inlineStr">
        <is>
          <t>Veklury (Remdesivir) (VEK02, VEK03)</t>
        </is>
      </c>
      <c r="C363" s="7" t="inlineStr">
        <is>
          <t>High</t>
        </is>
      </c>
      <c r="D363" s="3" t="inlineStr">
        <is>
          <t>Dosing – pediatric</t>
        </is>
      </c>
      <c r="E363" s="3" t="inlineStr"/>
      <c r="F363" s="3" t="inlineStr">
        <is>
          <t>Fix paediatric: 3–&lt;40 kg 5 mg/kg then 2.5 mg/kg; fixed 200/100 mg only ≥40 kg</t>
        </is>
      </c>
      <c r="G363" s="3" t="inlineStr">
        <is>
          <t>Infants and Children 3.5 to ≥40 kg: loading 200 mg on day 1, then 100 mg once daily (fixed adult dose)</t>
        </is>
      </c>
      <c r="H363" s="3" t="inlineStr">
        <is>
          <t>Children 3 to &lt;40 kg: 5 mg/kg on day 1, then 2.5 mg/kg once daily. Only ≥40 kg get 200/100 mg. The 3.5 kg threshold dates from the old EUA</t>
        </is>
      </c>
      <c r="I363" s="3" t="inlineStr">
        <is>
          <t>TW仿單 §3.1.3; FDA label §2.3 Table 1; UK SmPC §4.2 Table 1 https://www.medicines.org.uk/emc/product/11597/smpc</t>
        </is>
      </c>
      <c r="J363" s="3" t="inlineStr">
        <is>
          <t>Open</t>
        </is>
      </c>
      <c r="K363" s="3" t="inlineStr"/>
    </row>
    <row r="364">
      <c r="A364" s="3" t="n">
        <v>1081</v>
      </c>
      <c r="B364" s="3" t="inlineStr">
        <is>
          <t>Veklury (Remdesivir) (VEK02, VEK03)</t>
        </is>
      </c>
      <c r="C364" s="7" t="inlineStr">
        <is>
          <t>High</t>
        </is>
      </c>
      <c r="D364" s="3" t="inlineStr">
        <is>
          <t>Dosing – pediatric</t>
        </is>
      </c>
      <c r="E364" s="3" t="inlineStr"/>
      <c r="F364" s="3" t="inlineStr">
        <is>
          <t>Restrict 200/100 mg to ≥40 kg; add 5/2.5 mg/kg for 3–&lt;40 kg</t>
        </is>
      </c>
      <c r="G364" s="3" t="inlineStr">
        <is>
          <t>Patients over 28 days old and ≥3 kg: 200 mg on day 1, then 100 mg once daily</t>
        </is>
      </c>
      <c r="H364" s="3" t="inlineStr">
        <is>
          <t>200 mg/100 mg applies only to adults and children ≥40 kg. Children 3 to &lt;40 kg get 5 mg/kg then 2.5 mg/kg</t>
        </is>
      </c>
      <c r="I364" s="3" t="inlineStr">
        <is>
          <t>TW仿單 §3.1.3 https://mcp.fda.gov.tw/im_detail_1/%E8%A1%9B%E9%83%A8%E8%97%A5%E8%BC%B8%E5%AD%97%E7%AC%AC027899%E8%99%9F</t>
        </is>
      </c>
      <c r="J364" s="3" t="inlineStr">
        <is>
          <t>Open</t>
        </is>
      </c>
      <c r="K364" s="3" t="inlineStr"/>
    </row>
    <row r="365">
      <c r="A365" s="3" t="n">
        <v>1072</v>
      </c>
      <c r="B365" s="3" t="inlineStr">
        <is>
          <t>Veklury (Remdesivir) (VEK02, VEK03)</t>
        </is>
      </c>
      <c r="C365" s="7" t="inlineStr">
        <is>
          <t>High</t>
        </is>
      </c>
      <c r="D365" s="3" t="inlineStr">
        <is>
          <t>Dosing – renal/dialysis</t>
        </is>
      </c>
      <c r="E365" s="3" t="inlineStr">
        <is>
          <t>Renal table outdated</t>
        </is>
      </c>
      <c r="F365" s="3" t="inlineStr">
        <is>
          <t>Remove eGFR &lt;30 'not recommended'; no adjustment for any renal impairment incl. dialysis</t>
        </is>
      </c>
      <c r="G365" s="3" t="inlineStr">
        <is>
          <t>'eGFR &gt;30 mL/minute: No dosage adjustment necessary. eGFR &lt;30 mL/minute: Use is not recommended.' (The text after '&lt;' is hidden on the rendered page but present in the raw HTML.)</t>
        </is>
      </c>
      <c r="H365" s="3" t="inlineStr">
        <is>
          <t>No dose adjustment for any degree of renal impairment, including dialysis; give without regard to dialysis timing. Study 5912 included CKD with eGFR &lt;30 and HD-dependent ESRD.</t>
        </is>
      </c>
      <c r="I365" s="3" t="inlineStr">
        <is>
          <t>仿單 §3.3.1, §6.7 ; US §2.4, §8.6 ; UK §4.2</t>
        </is>
      </c>
      <c r="J365" s="3" t="inlineStr">
        <is>
          <t>Open</t>
        </is>
      </c>
      <c r="K365" s="3" t="inlineStr"/>
    </row>
    <row r="366">
      <c r="A366" s="3" t="n">
        <v>1085</v>
      </c>
      <c r="B366" s="3" t="inlineStr">
        <is>
          <t>Veklury (Remdesivir) (VEK02, VEK03)</t>
        </is>
      </c>
      <c r="C366" s="7" t="inlineStr">
        <is>
          <t>High</t>
        </is>
      </c>
      <c r="D366" s="3" t="inlineStr">
        <is>
          <t>Dosing – renal/dialysis</t>
        </is>
      </c>
      <c r="E366" s="3" t="inlineStr">
        <is>
          <t>Renal table outdated</t>
        </is>
      </c>
      <c r="F366" s="3" t="inlineStr">
        <is>
          <t>Remove eGFR &lt;30 restriction; no adjustment any renal function incl. dialysis</t>
        </is>
      </c>
      <c r="G366" s="3" t="inlineStr">
        <is>
          <t>eGFR &gt;30 mL/min: no adjustment; eGFR &lt;30: use not recommended (the eGFR &lt;30 text is cut off on the page)</t>
        </is>
      </c>
      <c r="H366" s="3" t="inlineStr">
        <is>
          <t>No adjustment for any degree of renal impairment, including dialysis, regardless of dialysis timing</t>
        </is>
      </c>
      <c r="I366" s="3" t="inlineStr">
        <is>
          <t>TW仿單 §3.3.1/§6.7; FDA label §2.4/§8.6; UK SmPC §4.2</t>
        </is>
      </c>
      <c r="J366" s="3" t="inlineStr">
        <is>
          <t>Open</t>
        </is>
      </c>
      <c r="K366" s="3" t="inlineStr"/>
    </row>
    <row r="367">
      <c r="A367" s="3" t="n">
        <v>1398</v>
      </c>
      <c r="B367" s="3" t="inlineStr">
        <is>
          <t>Vemlidy (Tenofovir alafenamide) (VEM01)</t>
        </is>
      </c>
      <c r="C367" s="7" t="inlineStr">
        <is>
          <t>High</t>
        </is>
      </c>
      <c r="D367" s="3" t="inlineStr">
        <is>
          <t>Dosing – renal/dialysis</t>
        </is>
      </c>
      <c r="E367" s="3" t="inlineStr">
        <is>
          <t>Renal table outdated</t>
        </is>
      </c>
      <c r="F367" s="3" t="inlineStr">
        <is>
          <t>Allow use in CrCl &lt;15 on chronic HD (dose after HD); not recommended only if not on HD.</t>
        </is>
      </c>
      <c r="G367" s="3" t="inlineStr">
        <is>
          <t>CrCl &lt;15: not recommended (no exception for haemodialysis)</t>
        </is>
      </c>
      <c r="H367" s="3" t="inlineStr">
        <is>
          <t>No adjustment for CrCl ≥15 or for CrCl &lt;15 on chronic HD (give after HD on dialysis days). Not recommended only for ESRD not on HD (UK: no recommendation).</t>
        </is>
      </c>
      <c r="I367" s="3" t="inlineStr">
        <is>
          <t>TW insert §3.3.1/§6.7; US DailyMed §2.3/§8.6; UK SmPC §4.2 (hospital content taken from the source brief; I did not re-fetch the FJUH page)</t>
        </is>
      </c>
      <c r="J367" s="3" t="inlineStr">
        <is>
          <t>Open</t>
        </is>
      </c>
      <c r="K367" s="3" t="inlineStr"/>
    </row>
    <row r="368">
      <c r="A368" s="3" t="n">
        <v>1403</v>
      </c>
      <c r="B368" s="3" t="inlineStr">
        <is>
          <t>Vemlidy (Tenofovir alafenamide) (VEM01)</t>
        </is>
      </c>
      <c r="C368" s="7" t="inlineStr">
        <is>
          <t>High</t>
        </is>
      </c>
      <c r="D368" s="3" t="inlineStr">
        <is>
          <t>Dosing – renal/dialysis</t>
        </is>
      </c>
      <c r="E368" s="3" t="inlineStr">
        <is>
          <t>Renal table outdated</t>
        </is>
      </c>
      <c r="F368" s="3" t="inlineStr">
        <is>
          <t>Allow use in ESRD on chronic HD, dosed after HD; not recommended only if not on HD.</t>
        </is>
      </c>
      <c r="G368" s="3" t="inlineStr">
        <is>
          <t>1. CrCl ≥15 mL/minute: No dosage adjustment necessary; 2. CrCl &lt;15: not recommended (no exception for haemodialysis)</t>
        </is>
      </c>
      <c r="H368" s="3" t="inlineStr">
        <is>
          <t>No adjustment in ESRD (CrCl &lt;15) on chronic haemodialysis; on HD days give after HD. Not recommended only in ESRD not on HD (UK: no recommendation)</t>
        </is>
      </c>
      <c r="I368" s="3" t="inlineStr">
        <is>
          <t>TW insert 3.3.1; US FDA 2.3/8.6; UK SmPC 4.2</t>
        </is>
      </c>
      <c r="J368" s="3" t="inlineStr">
        <is>
          <t>Open</t>
        </is>
      </c>
      <c r="K368" s="3" t="inlineStr"/>
    </row>
    <row r="369">
      <c r="A369" s="3" t="n">
        <v>31</v>
      </c>
      <c r="B369" s="3" t="inlineStr">
        <is>
          <t>Vfend (Voriconazole) (VFE01, VFE02, VOR03)</t>
        </is>
      </c>
      <c r="C369" s="7" t="inlineStr">
        <is>
          <t>High</t>
        </is>
      </c>
      <c r="D369" s="3" t="inlineStr">
        <is>
          <t>Dosing – adult</t>
        </is>
      </c>
      <c r="E369" s="3" t="inlineStr"/>
      <c r="F369" s="3" t="inlineStr">
        <is>
          <t>Make candidemia IV dosing weight-based (6 mg/kg q12h ×2, then 3–4 mg/kg); fixed doses are oral</t>
        </is>
      </c>
      <c r="G369" s="3" t="inlineStr">
        <is>
          <t>'Initial 400 mg IV twice daily for 2 doses, then 200 to 300 mg IV or orally twice daily'</t>
        </is>
      </c>
      <c r="H369" s="3" t="inlineStr">
        <is>
          <t>Label IV dosing is weight-based: 6 mg/kg q12h × 2, then 3–4 mg/kg q12h. The fixed 400 mg and 200–300 mg doses are oral regimens in the labels (UK/TW). IDSA 2016 gives '400 mg (6 mg/kg) ... then 200 mg (3 mg/kg)' without naming a route.</t>
        </is>
      </c>
      <c r="I369" s="3" t="inlineStr">
        <is>
          <t>US §2.3 Table 1; UK SmPC §4.2; IDSA Candidiasis 2016 https://www.idsociety.org/practice-guideline/candidiasis/</t>
        </is>
      </c>
      <c r="J369" s="3" t="inlineStr">
        <is>
          <t>Open</t>
        </is>
      </c>
      <c r="K369" s="3" t="inlineStr"/>
    </row>
    <row r="370">
      <c r="A370" s="3" t="n">
        <v>32</v>
      </c>
      <c r="B370" s="3" t="inlineStr">
        <is>
          <t>Vfend (Voriconazole) (VFE01, VFE02, VOR03)</t>
        </is>
      </c>
      <c r="C370" s="7" t="inlineStr">
        <is>
          <t>High</t>
        </is>
      </c>
      <c r="D370" s="3" t="inlineStr">
        <is>
          <t>Dosing – adult</t>
        </is>
      </c>
      <c r="E370" s="3" t="inlineStr"/>
      <c r="F370" s="3" t="inlineStr">
        <is>
          <t>Add oral loading dose 400 mg q12h ×24 h (200 mg if &lt;40 kg) per UK/TW</t>
        </is>
      </c>
      <c r="G370" s="3" t="inlineStr">
        <is>
          <t>Aspergillosis: 200 mg twice daily (may increase to 300 mg per TDM); no loading dose stated</t>
        </is>
      </c>
      <c r="H370" s="3" t="inlineStr">
        <is>
          <t>UK and TW: start oral therapy with a 400 mg q12h loading dose for the first 24 h (200 mg q12h if &lt;40 kg). The US label uses IV loading for IA and keeps IV going for at least 7 days before switching.</t>
        </is>
      </c>
      <c r="I370" s="3" t="inlineStr">
        <is>
          <t>UK SmPC (tablet) §4.2 https://www.medicines.org.uk/emc/product/8408/smpc; Taiwan 仿單 §3.1; US §2.3</t>
        </is>
      </c>
      <c r="J370" s="3" t="inlineStr">
        <is>
          <t>Open</t>
        </is>
      </c>
      <c r="K370" s="3" t="inlineStr"/>
    </row>
    <row r="371">
      <c r="A371" s="3" t="n">
        <v>19</v>
      </c>
      <c r="B371" s="3" t="inlineStr">
        <is>
          <t>Vfend (Voriconazole) (VFE01, VFE02, VOR03)</t>
        </is>
      </c>
      <c r="C371" s="7" t="inlineStr">
        <is>
          <t>High</t>
        </is>
      </c>
      <c r="D371" s="3" t="inlineStr">
        <is>
          <t>Drug interaction</t>
        </is>
      </c>
      <c r="E371" s="3" t="inlineStr">
        <is>
          <t>Interaction list incomplete</t>
        </is>
      </c>
      <c r="F371" s="3" t="inlineStr">
        <is>
          <t>Add contraindicated: lurasidone, naloxegol, finerenone, eplerenone, voclosporin, venetoclax ramp-up, St John's wort; tolvaptan on VFE02</t>
        </is>
      </c>
      <c r="G371" s="3" t="inlineStr">
        <is>
          <t>Lists terfenadine, astemizole, cisapride, pimozide, quinidine, ivabradine, sirolimus, efavirenz, rifabutin, tolvaptan (VFE01 only) and ergot alkaloids</t>
        </is>
      </c>
      <c r="H371" s="3" t="inlineStr">
        <is>
          <t>Current US/UK/TW contraindications also include lurasidone, naloxegol, finerenone, eplerenone, voclosporin, and venetoclax (initiation/ramp-up), and St John's wort among the inducers. Tolvaptan is contraindicated in every label but is missing from the VFE02 list.</t>
        </is>
      </c>
      <c r="I371" s="3" t="inlineStr">
        <is>
          <t>US label 4; UK SmPC 4.3; TW insert 4 禁忌</t>
        </is>
      </c>
      <c r="J371" s="3" t="inlineStr">
        <is>
          <t>Open</t>
        </is>
      </c>
      <c r="K371" s="3" t="inlineStr"/>
    </row>
    <row r="372">
      <c r="A372" s="3" t="n">
        <v>28</v>
      </c>
      <c r="B372" s="3" t="inlineStr">
        <is>
          <t>Vfend (Voriconazole) (VFE01, VFE02, VOR03)</t>
        </is>
      </c>
      <c r="C372" s="7" t="inlineStr">
        <is>
          <t>High</t>
        </is>
      </c>
      <c r="D372" s="3" t="inlineStr">
        <is>
          <t>Drug interaction</t>
        </is>
      </c>
      <c r="E372" s="3" t="inlineStr">
        <is>
          <t>Interaction list incomplete</t>
        </is>
      </c>
      <c r="F372" s="3" t="inlineStr">
        <is>
          <t>Complete contraindicated drug list (St John's wort, lurasidone, naloxegol, etc.; tolvaptan on tablets); dose-qualify efavirenz/ritonavir</t>
        </is>
      </c>
      <c r="G372" s="3" t="inlineStr">
        <is>
          <t>Lists terfenadine, astemizole, cisapride, pimozide, quinidine, ivabradine; rifampin, carbamazepine, long-acting barbiturates, ritonavir, efavirenz, rifabutin; sirolimus, efavirenz, rifabutin, ergot alkaloids (tolvaptan appears only on VFE01).</t>
        </is>
      </c>
      <c r="H372" s="3" t="inlineStr">
        <is>
          <t>The list is missing St John's wort, lurasidone, naloxegol, eplerenone, finerenone, voclosporin and venetoclax (initiation/ramp-up), and tolvaptan on the tablet records. Efavirenz and ritonavir are contraindicated only at efavirenz ≥400 mg/day and ritonavir ≥400 mg q12h. Low-dose ritonavir should be avoided, and efavirenz 300 mg/day can be used with voriconazole 400 mg q12h. Rifabutin is contraindicated in the US and TW but only 'avoid' in the UK.</t>
        </is>
      </c>
      <c r="I372" s="3" t="inlineStr">
        <is>
          <t>US FDA label §4 and §7; UK SmPC §4.3; Taiwan 仿單 §4 https://mcp.fda.gov.tw/im_detail_1/%E8%A1%9B%E7%BD%B2%E8%97%A5%E8%BC%B8%E5%AD%97%E7%AC%AC023648%E8%99%9F</t>
        </is>
      </c>
      <c r="J372" s="3" t="inlineStr">
        <is>
          <t>Open</t>
        </is>
      </c>
      <c r="K372" s="3" t="inlineStr"/>
    </row>
    <row r="373">
      <c r="A373" s="3" t="n">
        <v>1382</v>
      </c>
      <c r="B373" s="3" t="inlineStr">
        <is>
          <t>Viread (Tenofovir disoproxil) (VIR04)</t>
        </is>
      </c>
      <c r="C373" s="7" t="inlineStr">
        <is>
          <t>High</t>
        </is>
      </c>
      <c r="D373" s="3" t="inlineStr">
        <is>
          <t>Contraindication/warning</t>
        </is>
      </c>
      <c r="E373" s="3" t="inlineStr">
        <is>
          <t>Missing boxed warning</t>
        </is>
      </c>
      <c r="F373" s="3" t="inlineStr">
        <is>
          <t>Add boxed warning: severe acute HBV exacerbation after stopping; monitor LFTs for several months.</t>
        </is>
      </c>
      <c r="G373" s="3" t="inlineStr">
        <is>
          <t>Only an NxP nephrotoxicity notice; no boxed warning</t>
        </is>
      </c>
      <c r="H373" s="3" t="inlineStr">
        <is>
          <t>Boxed warning in the US and TW labels: severe acute exacerbation of hepatitis B after stopping; monitor liver function for at least several months</t>
        </is>
      </c>
      <c r="I373" s="3" t="inlineStr">
        <is>
          <t>US label Boxed Warning https://dailymed.nlm.nih.gov/dailymed/drugInfo.cfm?setid=33fd6418-fbdc-42ca-a50d-ce2a476a5418; TW insert 警告 https://mcp.fda.gov.tw/insert/pdfcasefile/e379214d-0838-4728-9c89-c2356353a2a4</t>
        </is>
      </c>
      <c r="J373" s="3" t="inlineStr">
        <is>
          <t>Open</t>
        </is>
      </c>
      <c r="K373" s="3" t="inlineStr"/>
    </row>
    <row r="374">
      <c r="A374" s="3" t="n">
        <v>1392</v>
      </c>
      <c r="B374" s="3" t="inlineStr">
        <is>
          <t>Viread (Tenofovir disoproxil) (VIR04)</t>
        </is>
      </c>
      <c r="C374" s="7" t="inlineStr">
        <is>
          <t>High</t>
        </is>
      </c>
      <c r="D374" s="3" t="inlineStr">
        <is>
          <t>Contraindication/warning</t>
        </is>
      </c>
      <c r="E374" s="3" t="inlineStr">
        <is>
          <t>Missing boxed warning</t>
        </is>
      </c>
      <c r="F374" s="3" t="inlineStr">
        <is>
          <t>Add boxed warning on post-treatment HBV exacerbation with hepatic monitoring for months.</t>
        </is>
      </c>
      <c r="G374" s="3" t="inlineStr">
        <is>
          <t>(not shown anywhere on the P4 page; 注意事項 empty)</t>
        </is>
      </c>
      <c r="H374" s="3" t="inlineStr">
        <is>
          <t>Boxed warning: post-treatment severe acute exacerbation of hepatitis B. Monitor hepatic function for at least several months after stopping (US Boxed Warning, TW 警告 box, UK 4.4).</t>
        </is>
      </c>
      <c r="I374" s="3" t="inlineStr">
        <is>
          <t>US Boxed Warning / §5.1 https://dailymed.nlm.nih.gov/dailymed/drugInfo.cfm?setid=33fd6418-fbdc-42ca-a50d-ce2a476a5418 ; TW 仿單 警告</t>
        </is>
      </c>
      <c r="J374" s="3" t="inlineStr">
        <is>
          <t>Open</t>
        </is>
      </c>
      <c r="K374" s="3" t="inlineStr"/>
    </row>
    <row r="375">
      <c r="A375" s="3" t="n">
        <v>1383</v>
      </c>
      <c r="B375" s="3" t="inlineStr">
        <is>
          <t>Viread (Tenofovir disoproxil) (VIR04)</t>
        </is>
      </c>
      <c r="C375" s="7" t="inlineStr">
        <is>
          <t>High</t>
        </is>
      </c>
      <c r="D375" s="3" t="inlineStr">
        <is>
          <t>Dosing – pediatric</t>
        </is>
      </c>
      <c r="E375" s="3" t="inlineStr"/>
      <c r="F375" s="3" t="inlineStr">
        <is>
          <t>Limit stocked 300 mg tablet to ≥12 y and ≥35 kg; remove US ≥2 y/10 kg wording.</t>
        </is>
      </c>
      <c r="G375" s="3" t="inlineStr">
        <is>
          <t>HBV and HIV-1 in patients ≥2 y/o weighing ≥10 kg; 小兒調整劑量 field empty</t>
        </is>
      </c>
      <c r="H375" s="3" t="inlineStr">
        <is>
          <t>This is US wording, and the US regimen for that age range needs 150/200/250 mg tablets or oral powder (8 mg/kg), which are not stocked. The stocked 300 mg tablet is licensed in Taiwan only for ≥12 y and ≥35 kg (HIV only with NRTI resistance or toxicity). Safety and efficacy are not established below 12 y or 35 kg.</t>
        </is>
      </c>
      <c r="I375" s="3" t="inlineStr">
        <is>
          <t>TW insert §1.1/§1.2/§2.1 https://mcp.fda.gov.tw/insert/pdfcasefile/e379214d-0838-4728-9c89-c2356353a2a4; US label §2.2/§2.3 https://dailymed.nlm.nih.gov/dailymed/drugInfo.cfm?setid=33fd6418-fbdc-42ca-a50d-ce2a476a5418</t>
        </is>
      </c>
      <c r="J375" s="3" t="inlineStr">
        <is>
          <t>Open</t>
        </is>
      </c>
      <c r="K375" s="3" t="inlineStr"/>
    </row>
    <row r="376">
      <c r="A376" s="3" t="n">
        <v>1393</v>
      </c>
      <c r="B376" s="3" t="inlineStr">
        <is>
          <t>Viread (Tenofovir disoproxil) (VIR04)</t>
        </is>
      </c>
      <c r="C376" s="7" t="inlineStr">
        <is>
          <t>High</t>
        </is>
      </c>
      <c r="D376" s="3" t="inlineStr">
        <is>
          <t>Indication/coverage</t>
        </is>
      </c>
      <c r="E376" s="3" t="inlineStr"/>
      <c r="F376" s="3" t="inlineStr">
        <is>
          <t>Restrict indication for 300 mg tablet to ≥12 y/≥35 kg per TW insert; HIV adolescents only with NRTI resistance.</t>
        </is>
      </c>
      <c r="G376" s="3" t="inlineStr">
        <is>
          <t>HBV and HIV-1 'in patients ≥2 y/o weighing ≥10 kg'</t>
        </is>
      </c>
      <c r="H376" s="3" t="inlineStr">
        <is>
          <t>That is the US wording, and it covers the 150/200/250 mg tablets and oral powder, which are not registered or stocked. For the stocked 300 mg tablet, the TW insert says: HIV-1 in adults, and in 12–18 y only with NRTI resistance/toxicity; CHB in adults and ≥12 y; &lt;12 y or &lt;35 kg not established. US: the 300 mg tablet is for ≥35 kg.</t>
        </is>
      </c>
      <c r="I376" s="3" t="inlineStr">
        <is>
          <t>TW 仿單 §1.1, §1.2, §2.1 ; US §2.2 Table 1</t>
        </is>
      </c>
      <c r="J376" s="3" t="inlineStr">
        <is>
          <t>Open</t>
        </is>
      </c>
      <c r="K376" s="3" t="inlineStr"/>
    </row>
    <row r="377">
      <c r="A377" s="3" t="n">
        <v>1347</v>
      </c>
      <c r="B377" s="3" t="inlineStr">
        <is>
          <t>Vocabria + Rekambys (Cabotegravir + Rilpivirine LA) (VOC02, REK01)</t>
        </is>
      </c>
      <c r="C377" s="7" t="inlineStr">
        <is>
          <t>High</t>
        </is>
      </c>
      <c r="D377" s="3" t="inlineStr">
        <is>
          <t>Contraindication/warning</t>
        </is>
      </c>
      <c r="E377" s="3" t="inlineStr">
        <is>
          <t>Interaction list incomplete</t>
        </is>
      </c>
      <c r="F377" s="3" t="inlineStr">
        <is>
          <t>List full contraindications incl. oxcarbazepine, phenytoin, rifabutin, rifapentine, dexamethasone, St John's wort.</t>
        </is>
      </c>
      <c r="G377" s="3" t="inlineStr">
        <is>
          <t>CYP3A inducers 'such as' rifampin, carbamazepine, phenobarbital</t>
        </is>
      </c>
      <c r="H377" s="3" t="inlineStr">
        <is>
          <t>Full list: carbamazepine, oxcarbazepine, phenobarbital, phenytoin; rifabutin, rifampin (rifampicin), rifapentine; systemic dexamethasone except a single dose; St John's wort. PPIs are contraindicated only with ORAL rilpivirine (lead-in or bridging), not with the injection, and are not in the CABENUVA US label sections 4/7</t>
        </is>
      </c>
      <c r="I377" s="3" t="inlineStr">
        <is>
          <t>TW仿單 Rekambys 028217 §4 禁忌, §7; UK SmPC Rekambys §4.3, §4.5; US FDA CABENUVA §4</t>
        </is>
      </c>
      <c r="J377" s="3" t="inlineStr">
        <is>
          <t>Open</t>
        </is>
      </c>
      <c r="K377" s="3" t="inlineStr"/>
    </row>
    <row r="378">
      <c r="A378" s="3" t="n">
        <v>1354</v>
      </c>
      <c r="B378" s="3" t="inlineStr">
        <is>
          <t>Vocabria + Rekambys (Cabotegravir + Rilpivirine LA) (VOC02, REK01)</t>
        </is>
      </c>
      <c r="C378" s="7" t="inlineStr">
        <is>
          <t>High</t>
        </is>
      </c>
      <c r="D378" s="3" t="inlineStr">
        <is>
          <t>Contraindication/warning</t>
        </is>
      </c>
      <c r="E378" s="3" t="inlineStr">
        <is>
          <t>Interaction list incomplete</t>
        </is>
      </c>
      <c r="F378" s="3" t="inlineStr">
        <is>
          <t>Give full TW contraindication list; clarify PPIs contraindicated only with oral rilpivirine.</t>
        </is>
      </c>
      <c r="G378" s="3" t="inlineStr">
        <is>
          <t>'不得與CYP3A酵素誘導劑（如Rifampin、Carbamazepine、Phenobarbital等）合併使用'</t>
        </is>
      </c>
      <c r="H378" s="3" t="inlineStr">
        <is>
          <t>The full TW list is carbamazepine, oxcarbazepine, phenobarbital, phenytoin, rifabutin, rifampin, rifapentine, systemic dexamethasone (except a single dose) and St John's wort. PPIs are NOT a contraindication of the injection: they are contraindicated only with ORAL rilpivirine during lead-in or bridging (TW Rekambys §7; UK 4.5). The brief's statement that PPIs come from 'US label section 7' is incorrect; the CABENUVA label has no mention of PPIs.</t>
        </is>
      </c>
      <c r="I378" s="3" t="inlineStr">
        <is>
          <t>TW 仿單 Rekambys §4 and §7; UK SmPC REKAMBYS §4.3/4.5; US CABENUVA §4/§7</t>
        </is>
      </c>
      <c r="J378" s="3" t="inlineStr">
        <is>
          <t>Open</t>
        </is>
      </c>
      <c r="K378" s="3" t="inlineStr"/>
    </row>
    <row r="379">
      <c r="A379" s="3" t="n">
        <v>1344</v>
      </c>
      <c r="B379" s="3" t="inlineStr">
        <is>
          <t>Vocabria + Rekambys (Cabotegravir + Rilpivirine LA) (VOC02, REK01)</t>
        </is>
      </c>
      <c r="C379" s="7" t="inlineStr">
        <is>
          <t>High</t>
        </is>
      </c>
      <c r="D379" s="3" t="inlineStr">
        <is>
          <t>Dosing – adult</t>
        </is>
      </c>
      <c r="E379" s="3" t="inlineStr"/>
      <c r="F379" s="3" t="inlineStr">
        <is>
          <t>Fix CAB dosing: 600 mg single initiation, then 400 mg monthly or 600 mg Q2M after second dose; add lead-in, window.</t>
        </is>
      </c>
      <c r="G379" s="3" t="inlineStr">
        <is>
          <t>起始劑量：600 mg IM，每月一次; 後續：每月400 mg或每兩個月600 mg</t>
        </is>
      </c>
      <c r="H379" s="3" t="inlineStr">
        <is>
          <t>600 mg is a single initiation dose, not 'monthly'. Monthly schedule: 400 mg monthly from 1 month after initiation. Every-2-month schedule: second 600 mg dose 1 month after the first, then 600 mg every 2 months from month 4. Optional oral lead-in (CAB 30 mg + RPV 25 mg qd for ≥28 d). Always given with rilpivirine at separate gluteal sites at the same visit; ±7-day window; missed-dose rules</t>
        </is>
      </c>
      <c r="I379" s="3" t="inlineStr">
        <is>
          <t>US FDA CABENUVA §2.3–2.8; UK SmPC Vocabria §4.2 Tables 1–5; TW仿單 Vocabria §3.1 表1–5</t>
        </is>
      </c>
      <c r="J379" s="3" t="inlineStr">
        <is>
          <t>Open</t>
        </is>
      </c>
      <c r="K379" s="3" t="inlineStr"/>
    </row>
    <row r="380">
      <c r="A380" s="3" t="n">
        <v>1345</v>
      </c>
      <c r="B380" s="3" t="inlineStr">
        <is>
          <t>Vocabria + Rekambys (Cabotegravir + Rilpivirine LA) (VOC02, REK01)</t>
        </is>
      </c>
      <c r="C380" s="7" t="inlineStr">
        <is>
          <t>High</t>
        </is>
      </c>
      <c r="D380" s="3" t="inlineStr">
        <is>
          <t>Dosing – adult</t>
        </is>
      </c>
      <c r="E380" s="3" t="inlineStr"/>
      <c r="F380" s="3" t="inlineStr">
        <is>
          <t>Fix RPV dosing: 900 mg single initiation, 600 mg monthly or 900 mg Q2M; add lead-in, co-administration.</t>
        </is>
      </c>
      <c r="G380" s="3" t="inlineStr">
        <is>
          <t>起始劑量：每月一次肌肉注射900 mg; 維持：每月600 mg或每兩個月900 mg</t>
        </is>
      </c>
      <c r="H380" s="3" t="inlineStr">
        <is>
          <t>Same gaps as VOC02. 900 mg is a single initiation dose (repeated once at month 2 only in the every-2-month schedule). Monthly continuation is 600 mg. Oral lead-in and same-visit co-administration with cabotegravir at separate gluteal sites are not mentioned</t>
        </is>
      </c>
      <c r="I380" s="3" t="inlineStr">
        <is>
          <t>US FDA CABENUVA §2.4–2.5; UK SmPC Rekambys §4.2; TW仿單 Rekambys §3</t>
        </is>
      </c>
      <c r="J380" s="3" t="inlineStr">
        <is>
          <t>Open</t>
        </is>
      </c>
      <c r="K380" s="3" t="inlineStr"/>
    </row>
    <row r="381">
      <c r="A381" s="3" t="n">
        <v>1352</v>
      </c>
      <c r="B381" s="3" t="inlineStr">
        <is>
          <t>Vocabria + Rekambys (Cabotegravir + Rilpivirine LA) (VOC02, REK01)</t>
        </is>
      </c>
      <c r="C381" s="7" t="inlineStr">
        <is>
          <t>High</t>
        </is>
      </c>
      <c r="D381" s="3" t="inlineStr">
        <is>
          <t>Dosing – adult</t>
        </is>
      </c>
      <c r="E381" s="3" t="inlineStr"/>
      <c r="F381" s="3" t="inlineStr">
        <is>
          <t>Correct initiation as single dose, Q2M second initiation dose, ±7-day window, lead-in, missed-dose rules.</t>
        </is>
      </c>
      <c r="G381" s="3" t="inlineStr">
        <is>
          <t>'起始劑量 600 mg (REK01: 900 mg) IM 每月一次；後續 400 mg (600 mg) 每月 或 600 mg (900 mg) 每兩個月'</t>
        </is>
      </c>
      <c r="H381" s="3" t="inlineStr">
        <is>
          <t>The initiation dose is a SINGLE injection on the last day of prior ART, not 'monthly'. The Q2M schedule needs a SECOND 600/900 mg initiation dose 1 month later, then every 2 months from month 4. Both drugs are given at the same visit at separate gluteal sites. The hospital text also omits the ±7-day window, the optional oral lead-in and oral bridging, the missed-dose re-initiation rules, and the need to start alternative ART within 1–2 months after stopping.</t>
        </is>
      </c>
      <c r="I381" s="3" t="inlineStr">
        <is>
          <t>TW 仿單 Rekambys §3.1 Tables 1–5; TW Vocabria §3.1; US CABENUVA §2.3–2.8</t>
        </is>
      </c>
      <c r="J381" s="3" t="inlineStr">
        <is>
          <t>Open</t>
        </is>
      </c>
      <c r="K381" s="3" t="inlineStr"/>
    </row>
    <row r="382">
      <c r="A382" s="3" t="n">
        <v>973</v>
      </c>
      <c r="B382" s="3" t="inlineStr">
        <is>
          <t>Xofluza (Baloxavir) (XOF01)</t>
        </is>
      </c>
      <c r="C382" s="7" t="inlineStr">
        <is>
          <t>High</t>
        </is>
      </c>
      <c r="D382" s="3" t="inlineStr">
        <is>
          <t>Dosing – adult</t>
        </is>
      </c>
      <c r="E382" s="3" t="inlineStr"/>
      <c r="F382" s="3" t="inlineStr">
        <is>
          <t>Add 20–&lt;80 kg: 40 mg (2×20 mg) single dose; ≥80 kg: 80 mg (4×20 mg)</t>
        </is>
      </c>
      <c r="G382" s="3" t="inlineStr">
        <is>
          <t>Dosage item 1 is blank. Only '≥80 kg: 80 mg as a single dose' is listed.</t>
        </is>
      </c>
      <c r="H382" s="3" t="inlineStr">
        <is>
          <t>20–&lt;80 kg: 40 mg (2 × 20 mg tab) single dose; ≥80 kg: 80 mg (4 × 20 mg tab)</t>
        </is>
      </c>
      <c r="I382" s="3" t="inlineStr">
        <is>
          <t>Taiwan insert §3.1; DailyMed §2.2 Table 1</t>
        </is>
      </c>
      <c r="J382" s="3" t="inlineStr">
        <is>
          <t>Open</t>
        </is>
      </c>
      <c r="K382" s="3" t="inlineStr"/>
    </row>
    <row r="383">
      <c r="A383" s="3" t="n">
        <v>982</v>
      </c>
      <c r="B383" s="3" t="inlineStr">
        <is>
          <t>Xofluza (Baloxavir) (XOF01)</t>
        </is>
      </c>
      <c r="C383" s="7" t="inlineStr">
        <is>
          <t>High</t>
        </is>
      </c>
      <c r="D383" s="3" t="inlineStr">
        <is>
          <t>Dosing – adult</t>
        </is>
      </c>
      <c r="E383" s="3" t="inlineStr"/>
      <c r="F383" s="3" t="inlineStr">
        <is>
          <t>Fill item 1: 20–&lt;80 kg 40 mg (2×20 mg); ≥80 kg 80 mg (4×20 mg); within 48 h</t>
        </is>
      </c>
      <c r="G383" s="3" t="inlineStr">
        <is>
          <t>Item 1 is blank. Only '≥80 kg: 80 mg as a single dose' is listed, with no 20–&lt;80 kg dose and no tablet count for the 20 mg strength.</t>
        </is>
      </c>
      <c r="H383" s="3" t="inlineStr">
        <is>
          <t>20–&lt;80 kg: 40 mg = 2 × 20 mg tabs; ≥80 kg: 80 mg = 4 × 20 mg tabs; single dose within 48 h.</t>
        </is>
      </c>
      <c r="I383" s="3" t="inlineStr">
        <is>
          <t>Taiwan insert §3.1 https://mcp.fda.gov.tw/im_detail_1/%E8%A1%9B%E9%83%A8%E8%97%A5%E8%BC%B8%E5%AD%97%E7%AC%AC027693%E8%99%9F</t>
        </is>
      </c>
      <c r="J383" s="3" t="inlineStr">
        <is>
          <t>Open</t>
        </is>
      </c>
      <c r="K383" s="3" t="inlineStr"/>
    </row>
    <row r="384">
      <c r="A384" s="3" t="n">
        <v>972</v>
      </c>
      <c r="B384" s="3" t="inlineStr">
        <is>
          <t>Xofluza (Baloxavir) (XOF01)</t>
        </is>
      </c>
      <c r="C384" s="7" t="inlineStr">
        <is>
          <t>High</t>
        </is>
      </c>
      <c r="D384" s="3" t="inlineStr">
        <is>
          <t>Dosing – pediatric</t>
        </is>
      </c>
      <c r="E384" s="3" t="inlineStr"/>
      <c r="F384" s="3" t="inlineStr">
        <is>
          <t>Replace 1 mg/kg with ≥5 yr and ≥20 kg: 40 mg (20–&lt;80 kg), 80 mg (≥80 kg)</t>
        </is>
      </c>
      <c r="G384" s="3" t="inlineStr">
        <is>
          <t>For children over 5 years of age, the recommended dose is 1 mg/kg.</t>
        </is>
      </c>
      <c r="H384" s="3" t="inlineStr">
        <is>
          <t>No label gives 1 mg/kg. Taiwan: ≥5 y and ≥20 kg, 40 mg (2 × 20 mg) for 20–&lt;80 kg, 80 mg for ≥80 kg. US: 2 mg/kg (suspension) only for &lt;20 kg.</t>
        </is>
      </c>
      <c r="I384" s="3" t="inlineStr">
        <is>
          <t>Taiwan insert §3.1 https://mcp.fda.gov.tw/im_detail_1/%E8%A1%9B%E9%83%A8%E8%97%A5%E8%BC%B8%E5%AD%97%E7%AC%AC027693%E8%99%9F; DailyMed §2.2 Tables 1–3</t>
        </is>
      </c>
      <c r="J384" s="3" t="inlineStr">
        <is>
          <t>Open</t>
        </is>
      </c>
      <c r="K384" s="3" t="inlineStr"/>
    </row>
    <row r="385">
      <c r="A385" s="3" t="n">
        <v>981</v>
      </c>
      <c r="B385" s="3" t="inlineStr">
        <is>
          <t>Xofluza (Baloxavir) (XOF01)</t>
        </is>
      </c>
      <c r="C385" s="7" t="inlineStr">
        <is>
          <t>High</t>
        </is>
      </c>
      <c r="D385" s="3" t="inlineStr">
        <is>
          <t>Dosing – pediatric</t>
        </is>
      </c>
      <c r="E385" s="3" t="inlineStr"/>
      <c r="F385" s="3" t="inlineStr">
        <is>
          <t>Replace 1 mg/kg with weight-band tablets: 40 mg (20–&lt;80 kg), 80 mg (≥80 kg)</t>
        </is>
      </c>
      <c r="G385" s="3" t="inlineStr">
        <is>
          <t>For children over 5 years of age, the recommended dose is 1 mg/kg.</t>
        </is>
      </c>
      <c r="H385" s="3" t="inlineStr">
        <is>
          <t>No label gives 1 mg/kg. TW: ≥5 y and ≥20 kg get 40 mg (2 × 20 mg tabs) for 20–&lt;80 kg, or 80 mg for ≥80 kg. US: the same tablet bands, and 2 mg/kg only with the suspension for &lt;20 kg. 1 mg/kg would underdose by about half.</t>
        </is>
      </c>
      <c r="I385" s="3" t="inlineStr">
        <is>
          <t>Taiwan insert §3.1 https://mcp.fda.gov.tw/im_detail_1/%E8%A1%9B%E9%83%A8%E8%97%A5%E8%BC%B8%E5%AD%97%E7%AC%AC027693%E8%99%9F ; US label §2.2 Tables 1–3</t>
        </is>
      </c>
      <c r="J385" s="3" t="inlineStr">
        <is>
          <t>Open</t>
        </is>
      </c>
      <c r="K385" s="3" t="inlineStr"/>
    </row>
    <row r="386">
      <c r="A386" s="3" t="n">
        <v>70</v>
      </c>
      <c r="B386" s="3" t="inlineStr">
        <is>
          <t>Zavicefta (Ceftazidime-Avibactam) (ZAV04)</t>
        </is>
      </c>
      <c r="C386" s="7" t="inlineStr">
        <is>
          <t>High</t>
        </is>
      </c>
      <c r="D386" s="3" t="inlineStr">
        <is>
          <t>Contraindication/warning</t>
        </is>
      </c>
      <c r="E386" s="3" t="inlineStr"/>
      <c r="F386" s="3" t="inlineStr">
        <is>
          <t>Add contraindication: severe hypersensitivity to any other β-lactam (TW/UK)</t>
        </is>
      </c>
      <c r="G386" s="3" t="inlineStr">
        <is>
          <t>Known serious hypersensitivity to ceftazidime, avibactam, other cephalosporins, or any component</t>
        </is>
      </c>
      <c r="H386" s="3" t="inlineStr">
        <is>
          <t>The Taiwan/UK label also contraindicates use after severe hypersensitivity (anaphylaxis, severe skin reaction) to any other β-lactam (penicillins, monobactams, carbapenems).</t>
        </is>
      </c>
      <c r="I386" s="3" t="inlineStr">
        <is>
          <t>Taiwan 仿單 §4 禁忌; UK SmPC §4.3</t>
        </is>
      </c>
      <c r="J386" s="3" t="inlineStr">
        <is>
          <t>Open</t>
        </is>
      </c>
      <c r="K386" s="3" t="inlineStr"/>
    </row>
    <row r="387">
      <c r="A387" s="3" t="n">
        <v>55</v>
      </c>
      <c r="B387" s="3" t="inlineStr">
        <is>
          <t>Zavicefta (Ceftazidime-Avibactam) (ZAV04)</t>
        </is>
      </c>
      <c r="C387" s="7" t="inlineStr">
        <is>
          <t>High</t>
        </is>
      </c>
      <c r="D387" s="3" t="inlineStr">
        <is>
          <t>Dosing – renal/dialysis</t>
        </is>
      </c>
      <c r="E387" s="3" t="inlineStr">
        <is>
          <t>Renal table outdated</t>
        </is>
      </c>
      <c r="F387" s="3" t="inlineStr">
        <is>
          <t>Add CrCl ≤5/ESRD row: 0.94 g q48h, after HD</t>
        </is>
      </c>
      <c r="G387" s="3" t="inlineStr">
        <is>
          <t>Row cut off / missing</t>
        </is>
      </c>
      <c r="H387" s="3" t="inlineStr">
        <is>
          <t>0.94 g (0.75 g/0.1875 g) q48h; ESRD incl. HD q48h, dosed after HD (US Table 3; TW 表9; SmPC Table 4)</t>
        </is>
      </c>
      <c r="I387" s="3" t="inlineStr">
        <is>
          <t>US 2.3 Table 3; TW 表9 https://mcp.fda.gov.tw/im_detail_1/%E8%A1%9B%E9%83%A8%E8%97%A5%E8%BC%B8%E5%AD%97%E7%AC%AC027705%E8%99%9F</t>
        </is>
      </c>
      <c r="J387" s="3" t="inlineStr">
        <is>
          <t>Open</t>
        </is>
      </c>
      <c r="K387" s="3" t="inlineStr"/>
    </row>
    <row r="388">
      <c r="A388" s="3" t="n">
        <v>56</v>
      </c>
      <c r="B388" s="3" t="inlineStr">
        <is>
          <t>Zavicefta (Ceftazidime-Avibactam) (ZAV04)</t>
        </is>
      </c>
      <c r="C388" s="7" t="inlineStr">
        <is>
          <t>High</t>
        </is>
      </c>
      <c r="D388" s="3" t="inlineStr">
        <is>
          <t>Dosing – renal/dialysis</t>
        </is>
      </c>
      <c r="E388" s="3" t="inlineStr">
        <is>
          <t>Renal table outdated</t>
        </is>
      </c>
      <c r="F388" s="3" t="inlineStr">
        <is>
          <t>HD dosing: 0.94 g q48h after HD; remove q24h option</t>
        </is>
      </c>
      <c r="G388" s="3" t="inlineStr">
        <is>
          <t>0.94 g q24-48h after dialysis</t>
        </is>
      </c>
      <c r="H388" s="3" t="inlineStr">
        <is>
          <t>Stocked product (TW) and SmPC: ESRD including HD q48h, given after HD. In the US table, q24h applies only to CrCl 6-15.</t>
        </is>
      </c>
      <c r="I388" s="3" t="inlineStr">
        <is>
          <t>TW 表9 footnote 3; SmPC 4.2 Table 4 https://www.medicines.org.uk/emc/product/2465/smpc</t>
        </is>
      </c>
      <c r="J388" s="3" t="inlineStr">
        <is>
          <t>Open</t>
        </is>
      </c>
      <c r="K388" s="3" t="inlineStr"/>
    </row>
    <row r="389">
      <c r="A389" s="3" t="n">
        <v>64</v>
      </c>
      <c r="B389" s="3" t="inlineStr">
        <is>
          <t>Zavicefta (Ceftazidime-Avibactam) (ZAV04)</t>
        </is>
      </c>
      <c r="C389" s="7" t="inlineStr">
        <is>
          <t>High</t>
        </is>
      </c>
      <c r="D389" s="3" t="inlineStr">
        <is>
          <t>Dosing – renal/dialysis</t>
        </is>
      </c>
      <c r="E389" s="3" t="inlineStr">
        <is>
          <t>Renal table outdated</t>
        </is>
      </c>
      <c r="F389" s="3" t="inlineStr">
        <is>
          <t>Add CrCl ≤5/ESRD: 0.94 g q48h, given after HD</t>
        </is>
      </c>
      <c r="G389" s="3" t="inlineStr">
        <is>
          <t>List stops at CrCl 6–15 mL/min; no CrCl ≤5 row</t>
        </is>
      </c>
      <c r="H389" s="3" t="inlineStr">
        <is>
          <t>CrCl ≤5 (US) or ESRD (Taiwan/UK): 0.94 g (0.75/0.1875 g) q48h, given after HD on dialysis days</t>
        </is>
      </c>
      <c r="I389" s="3" t="inlineStr">
        <is>
          <t>US AVYCAZ §2.3 Table 3; Taiwan 仿單 §3.3 表9</t>
        </is>
      </c>
      <c r="J389" s="3" t="inlineStr">
        <is>
          <t>Open</t>
        </is>
      </c>
      <c r="K389" s="3" t="inlineStr"/>
    </row>
    <row r="390">
      <c r="A390" s="3" t="n">
        <v>65</v>
      </c>
      <c r="B390" s="3" t="inlineStr">
        <is>
          <t>Zavicefta (Ceftazidime-Avibactam) (ZAV04)</t>
        </is>
      </c>
      <c r="C390" s="7" t="inlineStr">
        <is>
          <t>High</t>
        </is>
      </c>
      <c r="D390" s="3" t="inlineStr">
        <is>
          <t>Dosing – renal/dialysis</t>
        </is>
      </c>
      <c r="E390" s="3" t="inlineStr">
        <is>
          <t>Renal table outdated</t>
        </is>
      </c>
      <c r="F390" s="3" t="inlineStr">
        <is>
          <t>HD: 0.94 g q48h after dialysis; delete q24h</t>
        </is>
      </c>
      <c r="G390" s="3" t="inlineStr">
        <is>
          <t>0.94 g every 24 to 48 hours depending on residual kidney function, after HD</t>
        </is>
      </c>
      <c r="H390" s="3" t="inlineStr">
        <is>
          <t>ESRD including haemodialysis: q48h, dosed after HD (no q24h option)</t>
        </is>
      </c>
      <c r="I390" s="3" t="inlineStr">
        <is>
          <t>Taiwan 仿單 §3.3 表9 footnote 3; UK SmPC §4.2 Table 4</t>
        </is>
      </c>
      <c r="J390" s="3" t="inlineStr">
        <is>
          <t>Open</t>
        </is>
      </c>
      <c r="K390" s="3" t="inlineStr"/>
    </row>
    <row r="391">
      <c r="A391" s="3" t="n">
        <v>159</v>
      </c>
      <c r="B391" s="3" t="inlineStr">
        <is>
          <t>Zerbaxa (Ceftolozane-tazobactam) (ZER01)</t>
        </is>
      </c>
      <c r="C391" s="7" t="inlineStr">
        <is>
          <t>High</t>
        </is>
      </c>
      <c r="D391" s="3" t="inlineStr">
        <is>
          <t>Dosing – adult</t>
        </is>
      </c>
      <c r="E391" s="3" t="inlineStr"/>
      <c r="F391" s="3" t="inlineStr">
        <is>
          <t>cIAI: 1.5 g q8h with metronidazole for 4–14 days; remove 3 g dose and 4–5 day limit</t>
        </is>
      </c>
      <c r="G391" s="3" t="inlineStr">
        <is>
          <t>1.5–3 g q8h for 4–5 days</t>
        </is>
      </c>
      <c r="H391" s="3" t="inlineStr">
        <is>
          <t>1.5 g q8h over 1 h with metronidazole 500 mg q8h, for 4–14 days</t>
        </is>
      </c>
      <c r="I391" s="3" t="inlineStr">
        <is>
          <t>US label §2.1 Table 1; Taiwan insert 表1 – https://mcp.fda.gov.tw/insert/pdfcasefile/i_455030c1-46d0-4eb4-8b58-92493c5ed054</t>
        </is>
      </c>
      <c r="J391" s="3" t="inlineStr">
        <is>
          <t>Open</t>
        </is>
      </c>
      <c r="K391" s="3" t="inlineStr"/>
    </row>
    <row r="392">
      <c r="A392" s="3" t="n">
        <v>169</v>
      </c>
      <c r="B392" s="3" t="inlineStr">
        <is>
          <t>Zerbaxa (Ceftolozane-tazobactam) (ZER01)</t>
        </is>
      </c>
      <c r="C392" s="7" t="inlineStr">
        <is>
          <t>High</t>
        </is>
      </c>
      <c r="D392" s="3" t="inlineStr">
        <is>
          <t>Dosing – adult</t>
        </is>
      </c>
      <c r="E392" s="3" t="inlineStr"/>
      <c r="F392" s="3" t="inlineStr">
        <is>
          <t>cIAI: 1.5 g q8h with metronidazole for 4–14 days; no 3 g dose</t>
        </is>
      </c>
      <c r="G392" s="3" t="inlineStr">
        <is>
          <t>1.5 to 3 g q8h with metronidazole for 4 to 5 days</t>
        </is>
      </c>
      <c r="H392" s="3" t="inlineStr">
        <is>
          <t>1.5 g q8h with metronidazole for 4–14 days. No label gives 3 g for cIAI.</t>
        </is>
      </c>
      <c r="I392" s="3" t="inlineStr">
        <is>
          <t>Taiwan insert §2.1 表1; US §2.1 Table 1; UK §4.2 Table 1</t>
        </is>
      </c>
      <c r="J392" s="3" t="inlineStr">
        <is>
          <t>Open</t>
        </is>
      </c>
      <c r="K392" s="3" t="inlineStr"/>
    </row>
    <row r="393">
      <c r="A393" s="3" t="n">
        <v>163</v>
      </c>
      <c r="B393" s="3" t="inlineStr">
        <is>
          <t>Zerbaxa (Ceftolozane-tazobactam) (ZER01)</t>
        </is>
      </c>
      <c r="C393" s="7" t="inlineStr">
        <is>
          <t>High</t>
        </is>
      </c>
      <c r="D393" s="3" t="inlineStr">
        <is>
          <t>Dosing – renal/dialysis</t>
        </is>
      </c>
      <c r="E393" s="3" t="inlineStr">
        <is>
          <t>Renal table outdated</t>
        </is>
      </c>
      <c r="F393" s="3" t="inlineStr">
        <is>
          <t>Replace fractions with fixed doses by band and indication; add HD LD + maintenance after dialysis</t>
        </is>
      </c>
      <c r="G393" s="3" t="inlineStr">
        <is>
          <t>'Half' or '1/4 of usual dose' by CrCl band; for CrCl &lt;15 'no adjustment provided'</t>
        </is>
      </c>
      <c r="H393" s="3" t="inlineStr">
        <is>
          <t>Fixed doses: CrCl 30–50 → 750 mg (HAP 1.5 g); CrCl 15–29 → 375 mg (HAP 750 mg); on HD → LD 750 mg then 150 mg q8h (HAP: LD 2.25 g then 450 mg q8h), given after dialysis. CrCl &lt;15 without HD: dose not established. The '1/4' reading of 15–29 does match 375 mg for cIAI/cUTI, but the site gives no HD dosing.</t>
        </is>
      </c>
      <c r="I393" s="3" t="inlineStr">
        <is>
          <t>US label §2.3 Table 3; Taiwan insert §2.2 表2; UK SmPC §4.2 Table 3</t>
        </is>
      </c>
      <c r="J393" s="3" t="inlineStr">
        <is>
          <t>Open</t>
        </is>
      </c>
      <c r="K393" s="3" t="inlineStr"/>
    </row>
    <row r="394">
      <c r="A394" s="3" t="n">
        <v>173</v>
      </c>
      <c r="B394" s="3" t="inlineStr">
        <is>
          <t>Zerbaxa (Ceftolozane-tazobactam) (ZER01)</t>
        </is>
      </c>
      <c r="C394" s="7" t="inlineStr">
        <is>
          <t>High</t>
        </is>
      </c>
      <c r="D394" s="3" t="inlineStr">
        <is>
          <t>Dosing – renal/dialysis</t>
        </is>
      </c>
      <c r="E394" s="3" t="inlineStr">
        <is>
          <t>Renal table outdated</t>
        </is>
      </c>
      <c r="F394" s="3" t="inlineStr">
        <is>
          <t>Add HD dosing: LD 750 mg then 150 mg q8h (HAP: 2.25 g then 450 mg q8h) after dialysis</t>
        </is>
      </c>
      <c r="G394" s="3" t="inlineStr">
        <is>
          <t>CrCl &lt;15: 'There are no dosage adjustments provided in the manufacturer's labeling.'</t>
        </is>
      </c>
      <c r="H394" s="3" t="inlineStr">
        <is>
          <t>For ESRD on haemodialysis the labels give a 750 mg loading dose then 150 mg q8h (cIAI/cUTI), or 2.25 g then 450 mg q8h (HAP/VAP), dosed after HD. Without HD the dose is not established (US). The CrCl 30–50 and 15–29 'half' / '1/4' statements are numerically correct.</t>
        </is>
      </c>
      <c r="I394" s="3" t="inlineStr">
        <is>
          <t>Taiwan insert §2.2 表2; US §2.3 Table 3; UK §4.2 Table 3</t>
        </is>
      </c>
      <c r="J394" s="3" t="inlineStr">
        <is>
          <t>Open</t>
        </is>
      </c>
      <c r="K394" s="3" t="inlineStr"/>
    </row>
    <row r="395">
      <c r="A395" s="3" t="n">
        <v>93</v>
      </c>
      <c r="B395" s="3" t="inlineStr">
        <is>
          <t>Zinforo (Ceftaroline) (ZIN04)</t>
        </is>
      </c>
      <c r="C395" s="7" t="inlineStr">
        <is>
          <t>High</t>
        </is>
      </c>
      <c r="D395" s="3" t="inlineStr">
        <is>
          <t>Dosing – pediatric</t>
        </is>
      </c>
      <c r="E395" s="3" t="inlineStr"/>
      <c r="F395" s="3" t="inlineStr">
        <is>
          <t>Add maximum 400 mg per dose for 12 mg/kg q8h standard pediatric dose</t>
        </is>
      </c>
      <c r="G395" s="3" t="inlineStr">
        <is>
          <t>2-12 years of old: 12 mg/kg Q8H (no maximum)</t>
        </is>
      </c>
      <c r="H395" s="3" t="inlineStr">
        <is>
          <t>12 mg/kg q8h to a maximum of 400 mg (standard dose) for ≥2 to &lt;12 y and for 12 to &lt;18 y weighing &lt;33 kg</t>
        </is>
      </c>
      <c r="I395" s="3" t="inlineStr">
        <is>
          <t>Taiwan insert 3.1 表1 — https://mcp.fda.gov.tw/im_detail_1/%E8%A1%9B%E9%83%A8%E8%97%A5%E8%BC%B8%E5%AD%97%E7%AC%AC026611%E8%99%9F</t>
        </is>
      </c>
      <c r="J395" s="3" t="inlineStr">
        <is>
          <t>Open</t>
        </is>
      </c>
      <c r="K395" s="3" t="inlineStr"/>
    </row>
    <row r="396">
      <c r="A396" s="3" t="n">
        <v>94</v>
      </c>
      <c r="B396" s="3" t="inlineStr">
        <is>
          <t>Zinforo (Ceftaroline) (ZIN04)</t>
        </is>
      </c>
      <c r="C396" s="7" t="inlineStr">
        <is>
          <t>High</t>
        </is>
      </c>
      <c r="D396" s="3" t="inlineStr">
        <is>
          <t>Dosing – pediatric</t>
        </is>
      </c>
      <c r="E396" s="3" t="inlineStr"/>
      <c r="F396" s="3" t="inlineStr">
        <is>
          <t>Fix truncated rows: 12–&lt;18 y ≥33 kg 600 mg q12h, &lt;33 kg 12 mg/kg max 400 mg; ESRD 200 mg q12h</t>
        </is>
      </c>
      <c r="G396" s="3" t="inlineStr">
        <is>
          <t>'12-18 years of old, weight' (cut off); renal table header '12-18 years old (weight' and the 'CrCl' row for &lt;15 cut off</t>
        </is>
      </c>
      <c r="H396" s="3" t="inlineStr">
        <is>
          <t>12 to &lt;18 y and ≥33 kg: 600 mg q12h; 12 to &lt;18 y and &lt;33 kg: 12 mg/kg (max 400 mg) q8h; renal ESRD 200 mg q12h for adults and adolescents ≥12 y and ≥33 kg only</t>
        </is>
      </c>
      <c r="I396" s="3" t="inlineStr">
        <is>
          <t>Taiwan insert 3.1 表1, 3.3 表2 — https://mcp.fda.gov.tw/im_detail_1/%E8%A1%9B%E9%83%A8%E8%97%A5%E8%BC%B8%E5%AD%97%E7%AC%AC026611%E8%99%9F</t>
        </is>
      </c>
      <c r="J396" s="3" t="inlineStr">
        <is>
          <t>Open</t>
        </is>
      </c>
      <c r="K396" s="3" t="inlineStr"/>
    </row>
    <row r="397">
      <c r="A397" s="3" t="n">
        <v>108</v>
      </c>
      <c r="B397" s="3" t="inlineStr">
        <is>
          <t>Zinforo (Ceftaroline) (ZIN04)</t>
        </is>
      </c>
      <c r="C397" s="7" t="inlineStr">
        <is>
          <t>High</t>
        </is>
      </c>
      <c r="D397" s="3" t="inlineStr">
        <is>
          <t>Dosing – pediatric</t>
        </is>
      </c>
      <c r="E397" s="3" t="inlineStr"/>
      <c r="F397" s="3" t="inlineStr">
        <is>
          <t>Fix rendering loss of '&lt;': restore &lt;33 kg, CrCl &lt;15/ESRD, and 600 mg q12h rows</t>
        </is>
      </c>
      <c r="G397" s="3" t="inlineStr">
        <is>
          <t>'12-18 years of old, weight 2-12 years of old: 12 mg/kg' and 'CrCl 200mg Q12H': text after '&lt;' is lost, so the &lt;33 kg and CrCl &lt;15/ESRD labels disappear, and the 12–&lt;18 y ≥33 kg 600 mg q12h row is unreadable</t>
        </is>
      </c>
      <c r="H397" s="3" t="inlineStr">
        <is>
          <t>12–&lt;18y ≥33 kg: 600 mg q12h; 12–&lt;18y &lt;33 kg and 2–&lt;12y: 12 mg/kg (max 400 mg) q8h; ESRD incl. HD: 200 mg q12h</t>
        </is>
      </c>
      <c r="I397" s="3" t="inlineStr">
        <is>
          <t>Taiwan insert 表1, 表2</t>
        </is>
      </c>
      <c r="J397" s="3" t="inlineStr">
        <is>
          <t>Open</t>
        </is>
      </c>
      <c r="K397" s="3" t="inlineStr"/>
    </row>
    <row r="398">
      <c r="A398" s="3" t="n">
        <v>109</v>
      </c>
      <c r="B398" s="3" t="inlineStr">
        <is>
          <t>Zinforo (Ceftaroline) (ZIN04)</t>
        </is>
      </c>
      <c r="C398" s="7" t="inlineStr">
        <is>
          <t>High</t>
        </is>
      </c>
      <c r="D398" s="3" t="inlineStr">
        <is>
          <t>Dosing – pediatric</t>
        </is>
      </c>
      <c r="E398" s="3" t="inlineStr"/>
      <c r="F398" s="3" t="inlineStr">
        <is>
          <t>Add max 400 mg per dose to 12 mg/kg q8h pediatric regimen</t>
        </is>
      </c>
      <c r="G398" s="3" t="inlineStr">
        <is>
          <t>2-12 years: 12 mg/kg Q8H (no maximum)</t>
        </is>
      </c>
      <c r="H398" s="3" t="inlineStr">
        <is>
          <t>12 mg/kg to a maximum of 400 mg q8h (standard dose)</t>
        </is>
      </c>
      <c r="I398" s="3" t="inlineStr">
        <is>
          <t>Taiwan insert 表1; UK SmPC Table 2</t>
        </is>
      </c>
      <c r="J398" s="3" t="inlineStr">
        <is>
          <t>Open</t>
        </is>
      </c>
      <c r="K398" s="3" t="inlineStr"/>
    </row>
    <row r="399">
      <c r="A399" s="3" t="n">
        <v>698</v>
      </c>
      <c r="B399" s="3" t="inlineStr">
        <is>
          <t>Zirocin (Azithromycin) (ZIR01, AZI01)</t>
        </is>
      </c>
      <c r="C399" s="7" t="inlineStr">
        <is>
          <t>High</t>
        </is>
      </c>
      <c r="D399" s="3" t="inlineStr">
        <is>
          <t>Adverse effects</t>
        </is>
      </c>
      <c r="E399" s="3" t="inlineStr">
        <is>
          <t>Missing SCAR (SJS/TEN/DRESS)</t>
        </is>
      </c>
      <c r="F399" s="3" t="inlineStr">
        <is>
          <t>Add QT/torsades, hepatotoxicity, SJS/TEN/DRESS/AGEP, CDAD, hearing loss, myasthenia; GI effects occur at standard doses</t>
        </is>
      </c>
      <c r="G399" s="3" t="inlineStr">
        <is>
          <t>Only GI effects: abdominal pain, diarrhea and nausea, "occur in high dose"</t>
        </is>
      </c>
      <c r="H399" s="3" t="inlineStr">
        <is>
          <t>GI effects occur at standard doses (US FDA 6.1: diarrhoea 4–5% and nausea 3% with multiple-dose regimens). Serious reactions the page leaves out: QT prolongation/torsades and CV death, hepatotoxicity incl. fatal hepatic failure, AGEP/SJS/TEN/DRESS, CDAD, hearing loss, myasthenia exacerbation (Zirocin 仿單 §5.1/§8.3; US FDA 5.1–5.7). The AZI01 page covers most of them.</t>
        </is>
      </c>
      <c r="I399" s="3" t="inlineStr">
        <is>
          <t>US FDA 5, 6: https://dailymed.nlm.nih.gov/dailymed/drugInfo.cfm?setid=db52b91e-79f7-4cc1-9564-f2eee8e31c45 ; Zirocin TW 仿單 §5.1, §8.3</t>
        </is>
      </c>
      <c r="J399" s="3" t="inlineStr">
        <is>
          <t>Open</t>
        </is>
      </c>
      <c r="K399" s="3" t="inlineStr"/>
    </row>
    <row r="400">
      <c r="A400" s="3" t="n">
        <v>709</v>
      </c>
      <c r="B400" s="3" t="inlineStr">
        <is>
          <t>Zirocin (Azithromycin) (ZIR01, AZI01)</t>
        </is>
      </c>
      <c r="C400" s="7" t="inlineStr">
        <is>
          <t>High</t>
        </is>
      </c>
      <c r="D400" s="3" t="inlineStr">
        <is>
          <t>Adverse effects</t>
        </is>
      </c>
      <c r="E400" s="3" t="inlineStr">
        <is>
          <t>Missing SCAR (SJS/TEN/DRESS)</t>
        </is>
      </c>
      <c r="F400" s="3" t="inlineStr">
        <is>
          <t>Add QT, hepatotoxicity, CDAD, AGEP/SJS/TEN/DRESS, anaphylaxis, hearing loss; GI at usual doses</t>
        </is>
      </c>
      <c r="G400" s="3" t="inlineStr">
        <is>
          <t>Abdominal pain, diarrhea, and nausea occur in high dose (GI only)</t>
        </is>
      </c>
      <c r="H400" s="3" t="inlineStr">
        <is>
          <t>Zirocin 仿單 §5.1/§8 and US 5–6 also list QT prolongation/torsades, hepatotoxicity (hepatic necrosis, failure, deaths), CDAD/pseudomembranous colitis, AGEP/SJS/TEN/DRESS, anaphylaxis, myasthenia exacerbation and hearing loss/tinnitus. GI effects also occur at usual doses: US 6 says diarrhea 5–14%, nausea 3–18%.</t>
        </is>
      </c>
      <c r="I400" s="3" t="inlineStr">
        <is>
          <t>Zirocin 仿單 §5.1, §8.1, §8.3: https://mcp.fda.gov.tw/im_detail_1/%E8%A1%9B%E7%BD%B2%E8%97%A5%E8%A3%BD%E5%AD%97%E7%AC%AC057842%E8%99%9F; US FDA ZITHROMAX 5, 6: https://dailymed.nlm.nih.gov/dailymed/drugInfo.cfm?setid=db52b91e-79f7-4cc1-9564-f2eee8e31c45</t>
        </is>
      </c>
      <c r="J400" s="3" t="inlineStr">
        <is>
          <t>Open</t>
        </is>
      </c>
      <c r="K400" s="3" t="inlineStr"/>
    </row>
    <row r="401">
      <c r="A401" s="3" t="n">
        <v>697</v>
      </c>
      <c r="B401" s="3" t="inlineStr">
        <is>
          <t>Zirocin (Azithromycin) (ZIR01, AZI01)</t>
        </is>
      </c>
      <c r="C401" s="7" t="inlineStr">
        <is>
          <t>High</t>
        </is>
      </c>
      <c r="D401" s="3" t="inlineStr">
        <is>
          <t>Contraindication/warning</t>
        </is>
      </c>
      <c r="E401" s="3" t="inlineStr"/>
      <c r="F401" s="3" t="inlineStr">
        <is>
          <t>Move liver impairment to precautions; add contraindication: prior azithromycin cholestatic jaundice/hepatic dysfunction</t>
        </is>
      </c>
      <c r="G401" s="3" t="inlineStr">
        <is>
          <t>1. Hypersensitivity to azithromycin or other macrolides; 2. Caution in patients with impaired liver function</t>
        </is>
      </c>
      <c r="H401" s="3" t="inlineStr">
        <is>
          <t>Liver impairment is a precaution, not a contraindication (Zirocin 仿單 §6.6: caution in severe liver disease; UK SmPC 4.2: no adjustment in Child-Pugh A/B). Contraindications are hypersensitivity to azithromycin, erythromycin, any macrolide or ketolide, or excipients (Zirocin 仿單 §4; UK SmPC 4.3). US FDA 4.2 adds a history of cholestatic jaundice/hepatic dysfunction with prior azithromycin, which the ZIR01 page leaves out; the AZI01 page includes it.</t>
        </is>
      </c>
      <c r="I401" s="3" t="inlineStr">
        <is>
          <t>Zirocin TW 仿單 §4/§6.6: https://mcp.fda.gov.tw/im_detail_1/%E8%A1%9B%E7%BD%B2%E8%97%A5%E8%A3%BD%E5%AD%97%E7%AC%AC057842%E8%99%9F ; US FDA 4.2</t>
        </is>
      </c>
      <c r="J401" s="3" t="inlineStr">
        <is>
          <t>Open</t>
        </is>
      </c>
      <c r="K401" s="3" t="inlineStr"/>
    </row>
    <row r="402">
      <c r="A402" s="3" t="n">
        <v>708</v>
      </c>
      <c r="B402" s="3" t="inlineStr">
        <is>
          <t>Zirocin (Azithromycin) (ZIR01, AZI01)</t>
        </is>
      </c>
      <c r="C402" s="7" t="inlineStr">
        <is>
          <t>High</t>
        </is>
      </c>
      <c r="D402" s="3" t="inlineStr">
        <is>
          <t>Contraindication/warning</t>
        </is>
      </c>
      <c r="E402" s="3" t="inlineStr"/>
      <c r="F402" s="3" t="inlineStr">
        <is>
          <t>Move liver caution to precautions; add prior cholestatic jaundice contraindication (US 4.2)</t>
        </is>
      </c>
      <c r="G402" s="3" t="inlineStr">
        <is>
          <t>2. Caution in patients with impaired liver function (listed as a contraindication)</t>
        </is>
      </c>
      <c r="H402" s="3" t="inlineStr">
        <is>
          <t>This is a precaution, not a contraindication. Zirocin 仿單 §4 lists only hypersensitivity to azithromycin, erythromycin, ketolides or other macrolides, or excipients. §6.6 says 嚴重肝病者應謹慎. The US label 4.2 adds a contraindication for a history of cholestatic jaundice or hepatic dysfunction with prior azithromycin; the ZIR01 page omits it (AZI01 page has it).</t>
        </is>
      </c>
      <c r="I402" s="3" t="inlineStr">
        <is>
          <t>Zirocin 仿單 §4, §6.6: https://mcp.fda.gov.tw/im_detail_1/%E8%A1%9B%E7%BD%B2%E8%97%A5%E8%A3%BD%E5%AD%97%E7%AC%AC057842%E8%99%9F; US FDA ZITHROMAX 4: https://dailymed.nlm.nih.gov/dailymed/drugInfo.cfm?setid=db52b91e-79f7-4cc1-9564-f2eee8e31c45</t>
        </is>
      </c>
      <c r="J402" s="3" t="inlineStr">
        <is>
          <t>Open</t>
        </is>
      </c>
      <c r="K402" s="3" t="inlineStr"/>
    </row>
    <row r="403">
      <c r="A403" s="3" t="n">
        <v>113</v>
      </c>
      <c r="B403" s="3" t="inlineStr">
        <is>
          <t>Zovirax (Acyclovir) (ZOV01, ACY01)</t>
        </is>
      </c>
      <c r="C403" s="7" t="inlineStr">
        <is>
          <t>High</t>
        </is>
      </c>
      <c r="D403" s="3" t="inlineStr">
        <is>
          <t>Dosing – adult</t>
        </is>
      </c>
      <c r="E403" s="3" t="inlineStr"/>
      <c r="F403" s="3" t="inlineStr">
        <is>
          <t>Adult varicella: 800 mg 4 times daily for 5 days (FDA)</t>
        </is>
      </c>
      <c r="G403" s="3" t="inlineStr">
        <is>
          <t>Varicella (chickenpox): 800 mg 5 times daily for &gt;5 to 7 days</t>
        </is>
      </c>
      <c r="H403" s="3" t="inlineStr">
        <is>
          <t>FDA tablet label: adults and children &gt;40 kg 800 mg 4 times daily for 5 days (Acylete insert gives no adult varicella regimen)</t>
        </is>
      </c>
      <c r="I403" s="3" t="inlineStr">
        <is>
          <t>https://dailymed.nlm.nih.gov/dailymed/drugInfo.cfm?setid=05f42300-2a06-45f1-a9b9-6e5c84ae58ec</t>
        </is>
      </c>
      <c r="J403" s="3" t="inlineStr">
        <is>
          <t>Open</t>
        </is>
      </c>
      <c r="K403" s="3" t="inlineStr"/>
    </row>
    <row r="404">
      <c r="A404" s="3" t="n">
        <v>125</v>
      </c>
      <c r="B404" s="3" t="inlineStr">
        <is>
          <t>Zovirax (Acyclovir) (ZOV01, ACY01)</t>
        </is>
      </c>
      <c r="C404" s="7" t="inlineStr">
        <is>
          <t>High</t>
        </is>
      </c>
      <c r="D404" s="3" t="inlineStr">
        <is>
          <t>Dosing – adult</t>
        </is>
      </c>
      <c r="E404" s="3" t="inlineStr"/>
      <c r="F404" s="3" t="inlineStr">
        <is>
          <t>VZV in immunocompetent: 5 mg/kg q8h; restrict 10 mg/kg q8h to immunocompromised VZV and HSE</t>
        </is>
      </c>
      <c r="G404" s="3" t="inlineStr">
        <is>
          <t>Herpes zoster: 10 mg/kg q8h; Varicella: 10 mg/kg q8h for 7 to 10 days (no immune-status qualifier)</t>
        </is>
      </c>
      <c r="H404" s="3" t="inlineStr">
        <is>
          <t>SmPC and TW 仿單: VZV in patients who are not immunocompromised is 5 mg/kg q8h; 10 mg/kg q8h is for immunocompromised patients with VZV, and for HSE.</t>
        </is>
      </c>
      <c r="I404" s="3" t="inlineStr">
        <is>
          <t>https://www.medicines.org.uk/emc/product/5472/smpc ; https://mcp.fda.gov.tw/insert/pdfcasefile/i_43ee63d3-02bb-4b8b-956a-0d7296e71d7e</t>
        </is>
      </c>
      <c r="J404" s="3" t="inlineStr">
        <is>
          <t>Open</t>
        </is>
      </c>
      <c r="K404" s="3" t="inlineStr"/>
    </row>
    <row r="405">
      <c r="A405" s="3" t="n">
        <v>121</v>
      </c>
      <c r="B405" s="3" t="inlineStr">
        <is>
          <t>Zovirax (Acyclovir) (ZOV01, ACY01)</t>
        </is>
      </c>
      <c r="C405" s="7" t="inlineStr">
        <is>
          <t>High</t>
        </is>
      </c>
      <c r="D405" s="3" t="inlineStr">
        <is>
          <t>Dosing – pediatric</t>
        </is>
      </c>
      <c r="E405" s="3" t="inlineStr"/>
      <c r="F405" s="3" t="inlineStr">
        <is>
          <t>Remove zoster 800 mg 5×/day from pediatric section; oral pediatric dosing only chickenpox 20 mg/kg QID ≥2 y</t>
        </is>
      </c>
      <c r="G405" s="3" t="inlineStr">
        <is>
          <t>Herpes zoster (shingles): 800 mg every 4 hours (5 doses per day) for 5 to 7 days (listed under pediatric dosing)</t>
        </is>
      </c>
      <c r="H405" s="3" t="inlineStr">
        <is>
          <t>Acylete 仿單: 對免疫功能健全的兒童…治療帶狀疱疹感染，尚無資料可查. The FDA tablet label gives oral paediatric dosing only for chickenpox (≥2 y, 20 mg/kg QID × 5 d).</t>
        </is>
      </c>
      <c r="I405" s="3" t="inlineStr">
        <is>
          <t>https://mcp.fda.gov.tw/insert/pdfcasefile/i_846aed79-8984-4d2b-8863-39852b6a0175 ; https://dailymed.nlm.nih.gov/dailymed/drugInfo.cfm?setid=05f42300-2a06-45f1-a9b9-6e5c84ae58ec</t>
        </is>
      </c>
      <c r="J405" s="3" t="inlineStr">
        <is>
          <t>Open</t>
        </is>
      </c>
      <c r="K405" s="3" t="inlineStr"/>
    </row>
    <row r="406">
      <c r="A406" s="3" t="n">
        <v>110</v>
      </c>
      <c r="B406" s="3" t="inlineStr">
        <is>
          <t>Zovirax (Acyclovir) (ZOV01, ACY01)</t>
        </is>
      </c>
      <c r="C406" s="7" t="inlineStr">
        <is>
          <t>High</t>
        </is>
      </c>
      <c r="D406" s="3" t="inlineStr">
        <is>
          <t>Dosing – renal/dialysis</t>
        </is>
      </c>
      <c r="E406" s="3" t="inlineStr">
        <is>
          <t>Renal table outdated</t>
        </is>
      </c>
      <c r="F406" s="3" t="inlineStr">
        <is>
          <t>ACY01 CrCl &lt;10 (usual 800 mg 5×/day): 800 mg q12h, not 200–400 mg</t>
        </is>
      </c>
      <c r="G406" s="3" t="inlineStr">
        <is>
          <t>CrCl&lt;10: 200 mg every 12 hours or 400 mg every 12 hours</t>
        </is>
      </c>
      <c r="H406" s="3" t="inlineStr">
        <is>
          <t>800 mg every 12 hours (FDA tablet label Table 3; Acylete TW insert: CrCl &lt;10 每日 2 次，每次 800mg)</t>
        </is>
      </c>
      <c r="I406" s="3" t="inlineStr">
        <is>
          <t>https://dailymed.nlm.nih.gov/dailymed/drugInfo.cfm?setid=05f42300-2a06-45f1-a9b9-6e5c84ae58ec ; https://mcp.fda.gov.tw/insert/pdfcasefile/i_846aed79-8984-4d2b-8863-39852b6a0175</t>
        </is>
      </c>
      <c r="J406" s="3" t="inlineStr">
        <is>
          <t>Open</t>
        </is>
      </c>
      <c r="K406" s="3" t="inlineStr"/>
    </row>
    <row r="407">
      <c r="A407" s="3" t="n">
        <v>111</v>
      </c>
      <c r="B407" s="3" t="inlineStr">
        <is>
          <t>Zovirax (Acyclovir) (ZOV01, ACY01)</t>
        </is>
      </c>
      <c r="C407" s="7" t="inlineStr">
        <is>
          <t>High</t>
        </is>
      </c>
      <c r="D407" s="3" t="inlineStr">
        <is>
          <t>Dosing – renal/dialysis</t>
        </is>
      </c>
      <c r="E407" s="3" t="inlineStr">
        <is>
          <t>Renal table outdated</t>
        </is>
      </c>
      <c r="F407" s="3" t="inlineStr">
        <is>
          <t>No adjustment at CrCl 10–25; reduce to 200 mg q12h only at CrCl &lt;10</t>
        </is>
      </c>
      <c r="G407" s="3" t="inlineStr">
        <is>
          <t>CrCl 10-25: No dosage adjustment necessary or reduce to 200 mg Q12H</t>
        </is>
      </c>
      <c r="H407" s="3" t="inlineStr">
        <is>
          <t>No adjustment at CrCl &gt;10; reduce to 200 mg q12h only at CrCl 0–10 (FDA tablet label Table 3; Acylete insert: adjust only when CrCl &lt;10)</t>
        </is>
      </c>
      <c r="I407" s="3" t="inlineStr">
        <is>
          <t>https://dailymed.nlm.nih.gov/dailymed/drugInfo.cfm?setid=05f42300-2a06-45f1-a9b9-6e5c84ae58ec ; https://mcp.fda.gov.tw/insert/pdfcasefile/i_846aed79-8984-4d2b-8863-39852b6a0175</t>
        </is>
      </c>
      <c r="J407" s="3" t="inlineStr">
        <is>
          <t>Open</t>
        </is>
      </c>
      <c r="K407" s="3" t="inlineStr"/>
    </row>
    <row r="408">
      <c r="A408" s="3" t="n">
        <v>114</v>
      </c>
      <c r="B408" s="3" t="inlineStr">
        <is>
          <t>Zovirax (Acyclovir) (ZOV01, ACY01)</t>
        </is>
      </c>
      <c r="C408" s="7" t="inlineStr">
        <is>
          <t>High</t>
        </is>
      </c>
      <c r="D408" s="3" t="inlineStr">
        <is>
          <t>Dosing – renal/dialysis</t>
        </is>
      </c>
      <c r="E408" s="3" t="inlineStr">
        <is>
          <t>Renal table outdated</t>
        </is>
      </c>
      <c r="F408" s="3" t="inlineStr">
        <is>
          <t>Apply renal steps to 10 mg/kg regimen too; add HD half dose q24h after dialysis</t>
        </is>
      </c>
      <c r="G408" s="3" t="inlineStr">
        <is>
          <t>ClCr 25–50: 5 mg/kg Q12H; 10–25: 5 mg/kg Q24H; &lt;10: 2.5 mg/kg Q24H (5 mg/kg regimen only; no HD instruction)</t>
        </is>
      </c>
      <c r="H408" s="3" t="inlineStr">
        <is>
          <t>TW insert 表1, UK SmPC and FDA all apply the steps to both the 5 and the 10 mg/kg regimens: 10 mg/kg q12h, then 10 mg/kg q24h, then 5 mg/kg q24h for HSE or immunocompromised VZV. HD: half dose q24h, given after dialysis. Following the hospital text for HSE would underdose by 50%.</t>
        </is>
      </c>
      <c r="I408" s="3" t="inlineStr">
        <is>
          <t>https://mcp.fda.gov.tw/insert/pdfcasefile/i_43ee63d3-02bb-4b8b-956a-0d7296e71d7e ; https://www.medicines.org.uk/emc/product/5472/smpc</t>
        </is>
      </c>
      <c r="J408" s="3" t="inlineStr">
        <is>
          <t>Open</t>
        </is>
      </c>
      <c r="K408" s="3" t="inlineStr"/>
    </row>
    <row r="409">
      <c r="A409" s="3" t="n">
        <v>118</v>
      </c>
      <c r="B409" s="3" t="inlineStr">
        <is>
          <t>Zovirax (Acyclovir) (ZOV01, ACY01)</t>
        </is>
      </c>
      <c r="C409" s="7" t="inlineStr">
        <is>
          <t>High</t>
        </is>
      </c>
      <c r="D409" s="3" t="inlineStr">
        <is>
          <t>Dosing – renal/dialysis</t>
        </is>
      </c>
      <c r="E409" s="3" t="inlineStr">
        <is>
          <t>Renal table outdated</t>
        </is>
      </c>
      <c r="F409" s="3" t="inlineStr">
        <is>
          <t>ACY01 800 mg regimen CrCl &lt;10: change to 800 mg q12h (FDA/TW insert); current text underdoses</t>
        </is>
      </c>
      <c r="G409" s="3" t="inlineStr">
        <is>
          <t>CrCl&lt;10: 200 mg every 12 hours or 400 mg every 12 hours</t>
        </is>
      </c>
      <c r="H409" s="3" t="inlineStr">
        <is>
          <t>800 mg every 12 hours (FDA tablet Table 3; Acylete 仿單: 嚴重腎衰竭 &lt;10 mL/min → 每日2次每次800mg). The hospital's text under-doses zoster four- to twofold.</t>
        </is>
      </c>
      <c r="I409" s="3" t="inlineStr">
        <is>
          <t>https://dailymed.nlm.nih.gov/dailymed/drugInfo.cfm?setid=05f42300-2a06-45f1-a9b9-6e5c84ae58ec ; https://mcp.fda.gov.tw/insert/pdfcasefile/i_846aed79-8984-4d2b-8863-39852b6a0175</t>
        </is>
      </c>
      <c r="J409" s="3" t="inlineStr">
        <is>
          <t>Open</t>
        </is>
      </c>
      <c r="K409" s="3" t="inlineStr"/>
    </row>
    <row r="410">
      <c r="A410" s="3" t="n">
        <v>119</v>
      </c>
      <c r="B410" s="3" t="inlineStr">
        <is>
          <t>Zovirax (Acyclovir) (ZOV01, ACY01)</t>
        </is>
      </c>
      <c r="C410" s="7" t="inlineStr">
        <is>
          <t>High</t>
        </is>
      </c>
      <c r="D410" s="3" t="inlineStr">
        <is>
          <t>Dosing – renal/dialysis</t>
        </is>
      </c>
      <c r="E410" s="3" t="inlineStr">
        <is>
          <t>Renal table outdated</t>
        </is>
      </c>
      <c r="F410" s="3" t="inlineStr">
        <is>
          <t>CrCl 10–25 HSV regimens: no adjustment; reduce to 200 mg q12h only at CrCl &lt;10</t>
        </is>
      </c>
      <c r="G410" s="3" t="inlineStr">
        <is>
          <t>CrCl 10-25: No dosage adjustment necessary or reduce to 200 mg Q12H</t>
        </is>
      </c>
      <c r="H410" s="3" t="inlineStr">
        <is>
          <t>No change for CrCl &gt;10; reduce to 200 mg q12h only at CrCl 0–10 (FDA tablet Table 3). Acylete 仿單 also reduces HSV dosing only at &lt;10 mL/min.</t>
        </is>
      </c>
      <c r="I410" s="3" t="inlineStr">
        <is>
          <t>https://dailymed.nlm.nih.gov/dailymed/drugInfo.cfm?setid=05f42300-2a06-45f1-a9b9-6e5c84ae58ec</t>
        </is>
      </c>
      <c r="J410" s="3" t="inlineStr">
        <is>
          <t>Open</t>
        </is>
      </c>
      <c r="K410" s="3" t="inlineStr"/>
    </row>
    <row r="411">
      <c r="A411" s="3" t="n">
        <v>123</v>
      </c>
      <c r="B411" s="3" t="inlineStr">
        <is>
          <t>Zovirax (Acyclovir) (ZOV01, ACY01)</t>
        </is>
      </c>
      <c r="C411" s="7" t="inlineStr">
        <is>
          <t>High</t>
        </is>
      </c>
      <c r="D411" s="3" t="inlineStr">
        <is>
          <t>Dosing – renal/dialysis</t>
        </is>
      </c>
      <c r="E411" s="3" t="inlineStr">
        <is>
          <t>Renal table outdated</t>
        </is>
      </c>
      <c r="F411" s="3" t="inlineStr">
        <is>
          <t>Add 10 mg/kg regimen renal bands, HD dosing (half dose q24h post-HD) and pediatric renal table</t>
        </is>
      </c>
      <c r="G411" s="3" t="inlineStr">
        <is>
          <t>ClCr 25–50: 5 mg/kg Q12H; 10–25: 5 mg/kg Q24H; &lt;10: 2.5 mg/kg Q24H (5 mg/kg regimen only; no HD guidance)</t>
        </is>
      </c>
      <c r="H411" s="3" t="inlineStr">
        <is>
          <t>Correct for the 5 mg/kg regimen. The page omits the 10 mg/kg regimen (HSE, or VZV in immunocompromised patients), which is 10 mg/kg q12h / 10 mg/kg q24h / 5 mg/kg q24h, even though its own dosing section uses 10 mg/kg. It also omits haemodialysis: half dose q24h after dialysis. Paediatric renal Table 2 (20 → 20 q12h → 10 q12h → 5 mg/kg q12h) is absent and the 小兒調整劑量 field is empty.</t>
        </is>
      </c>
      <c r="I411" s="3" t="inlineStr">
        <is>
          <t>https://mcp.fda.gov.tw/insert/pdfcasefile/i_43ee63d3-02bb-4b8b-956a-0d7296e71d7e ; https://www.medicines.org.uk/emc/product/5472/smpc</t>
        </is>
      </c>
      <c r="J411" s="3" t="inlineStr">
        <is>
          <t>Open</t>
        </is>
      </c>
      <c r="K411" s="3" t="inlineStr"/>
    </row>
    <row r="412">
      <c r="A412" s="3" t="n">
        <v>449</v>
      </c>
      <c r="B412" s="3" t="inlineStr">
        <is>
          <t>Zyvox (Linezolid) (ZYV01, ZYV02)</t>
        </is>
      </c>
      <c r="C412" s="7" t="inlineStr">
        <is>
          <t>High</t>
        </is>
      </c>
      <c r="D412" s="3" t="inlineStr">
        <is>
          <t>Contraindication/warning</t>
        </is>
      </c>
      <c r="E412" s="3" t="inlineStr"/>
      <c r="F412" s="3" t="inlineStr">
        <is>
          <t>Add contraindication: MAO-A/B inhibitors or within 2 weeks; fill ZYV02 field</t>
        </is>
      </c>
      <c r="G412" s="3" t="inlineStr">
        <is>
          <t>ZYV01: hypersensitivity only; ZYV02: blank</t>
        </is>
      </c>
      <c r="H412" s="3" t="inlineStr">
        <is>
          <t>US label §4 / Taiwan insert §4: (4.1) hypersensitivity to linezolid or product components; (4.2) patients taking any MAO-A/B inhibitor (e.g., phenelzine, isocarboxazid) or within two weeks of taking one. UK SmPC 4.3 adds conditional contraindications: uncontrolled hypertension, pheochromocytoma, carcinoid, thyrotoxicosis, and serotonergic/adrenergic co-medication unless close monitoring is available.</t>
        </is>
      </c>
      <c r="I412" s="3" t="inlineStr">
        <is>
          <t>US FDA label §4; Taiwan insert §4 禁忌 - https://mcp.fda.gov.tw/im_detail_1/%E8%A1%9B%E7%BD%B2%E8%97%A5%E8%BC%B8%E5%AD%97%E7%AC%AC023181%E8%99%9F; UK SmPC §4.3 - https://www.medicines.org.uk/emc/product/1688/smpc</t>
        </is>
      </c>
      <c r="J412" s="3" t="inlineStr">
        <is>
          <t>Open</t>
        </is>
      </c>
      <c r="K412" s="3" t="inlineStr"/>
    </row>
    <row r="413">
      <c r="A413" s="3" t="n">
        <v>451</v>
      </c>
      <c r="B413" s="3" t="inlineStr">
        <is>
          <t>Zyvox (Linezolid) (ZYV01, ZYV02)</t>
        </is>
      </c>
      <c r="C413" s="7" t="inlineStr">
        <is>
          <t>High</t>
        </is>
      </c>
      <c r="D413" s="3" t="inlineStr">
        <is>
          <t>Contraindication/warning</t>
        </is>
      </c>
      <c r="E413" s="3" t="inlineStr"/>
      <c r="F413" s="3" t="inlineStr">
        <is>
          <t>Add weekly CBC monitoring, visual monitoring ≥3 months, sodium, BP with adrenergics</t>
        </is>
      </c>
      <c r="G413" s="3" t="inlineStr">
        <is>
          <t>No CBC monitoring recommendation (ZYV02 notes only that myelosuppression is more common beyond 2 weeks)</t>
        </is>
      </c>
      <c r="H413" s="3" t="inlineStr">
        <is>
          <t>Monitor complete blood counts weekly in all patients, particularly with therapy &gt;2 weeks, pre-existing myelosuppression, severe renal or moderate–severe hepatic impairment, or myelosuppressive co-medication. Also: visual function with therapy ≥3 months, serum sodium in at-risk patients, and blood pressure with adrenergic agents.</t>
        </is>
      </c>
      <c r="I413" s="3" t="inlineStr">
        <is>
          <t>US FDA label §5.1, §5.2, §5.6, §5.11; Taiwan insert 5.1.1 (應每週監測全血球計數)</t>
        </is>
      </c>
      <c r="J413" s="3" t="inlineStr">
        <is>
          <t>Open</t>
        </is>
      </c>
      <c r="K413" s="3" t="inlineStr"/>
    </row>
    <row r="414">
      <c r="A414" s="3" t="n">
        <v>456</v>
      </c>
      <c r="B414" s="3" t="inlineStr">
        <is>
          <t>Zyvox (Linezolid) (ZYV01, ZYV02)</t>
        </is>
      </c>
      <c r="C414" s="7" t="inlineStr">
        <is>
          <t>High</t>
        </is>
      </c>
      <c r="D414" s="3" t="inlineStr">
        <is>
          <t>Contraindication/warning</t>
        </is>
      </c>
      <c r="E414" s="3" t="inlineStr"/>
      <c r="F414" s="3" t="inlineStr">
        <is>
          <t>Add MAOI contraindication (within 2 weeks); UK conditional contraindications</t>
        </is>
      </c>
      <c r="G414" s="3" t="inlineStr">
        <is>
          <t>ZYV01 lists only hypersensitivity; ZYV02 lists nothing</t>
        </is>
      </c>
      <c r="H414" s="3" t="inlineStr">
        <is>
          <t>Also contraindicated in patients taking any MAO-A/B inhibitor (e.g., phenelzine, isocarboxazid) or within 2 weeks of taking one. The UK SmPC also contraindicates use, unless blood pressure and the patient can be closely monitored, with uncontrolled hypertension, pheochromocytoma, carcinoid, thyrotoxicosis, or concomitant SSRIs/TCAs/triptans/sympathomimetics/vasopressors/dopaminergics/pethidine/buspirone.</t>
        </is>
      </c>
      <c r="I414" s="3" t="inlineStr">
        <is>
          <t>US label §4.2; Taiwan 仿單 §4.2; UK SmPC 4.3</t>
        </is>
      </c>
      <c r="J414" s="3" t="inlineStr">
        <is>
          <t>Open</t>
        </is>
      </c>
      <c r="K414" s="3" t="inlineStr"/>
    </row>
    <row r="415">
      <c r="A415" s="3" t="n">
        <v>458</v>
      </c>
      <c r="B415" s="3" t="inlineStr">
        <is>
          <t>Zyvox (Linezolid) (ZYV01, ZYV02)</t>
        </is>
      </c>
      <c r="C415" s="7" t="inlineStr">
        <is>
          <t>High</t>
        </is>
      </c>
      <c r="D415" s="3" t="inlineStr">
        <is>
          <t>Contraindication/warning</t>
        </is>
      </c>
      <c r="E415" s="3" t="inlineStr"/>
      <c r="F415" s="3" t="inlineStr">
        <is>
          <t>Add weekly CBC monitoring and related monitoring warnings</t>
        </is>
      </c>
      <c r="G415" s="3" t="inlineStr">
        <is>
          <t>No mention of weekly CBC monitoring</t>
        </is>
      </c>
      <c r="H415" s="3" t="inlineStr">
        <is>
          <t>Monitor CBC weekly in all patients, particularly with therapy &gt;2 weeks, pre-existing myelosuppression, severe renal or moderate–severe hepatic impairment, or concomitant myelosuppressive drugs. Also: visual function with therapy ≥3 months, serum sodium in at-risk patients, and blood pressure with adrenergic agents.</t>
        </is>
      </c>
      <c r="I415" s="3" t="inlineStr">
        <is>
          <t>US label §5.1, §5.2, §5.6, §5.11; Taiwan 仿單 §5.1.1; UK SmPC 4.4</t>
        </is>
      </c>
      <c r="J415" s="3" t="inlineStr">
        <is>
          <t>Open</t>
        </is>
      </c>
      <c r="K415" s="3" t="inlineStr"/>
    </row>
    <row r="416">
      <c r="A416" s="3" t="n">
        <v>450</v>
      </c>
      <c r="B416" s="3" t="inlineStr">
        <is>
          <t>Zyvox (Linezolid) (ZYV01, ZYV02)</t>
        </is>
      </c>
      <c r="C416" s="7" t="inlineStr">
        <is>
          <t>High</t>
        </is>
      </c>
      <c r="D416" s="3" t="inlineStr">
        <is>
          <t>Dosing – pediatric</t>
        </is>
      </c>
      <c r="E416" s="3" t="inlineStr"/>
      <c r="F416" s="3" t="inlineStr">
        <is>
          <t>Fix neonatal dosing: 10 mg/kg q8h birth–11 y; preterm &lt;7 days start q12h</t>
        </is>
      </c>
      <c r="G416" s="3" t="inlineStr">
        <is>
          <t>ZYV01: 'Neonates 10 mg/kg Q12H'; ZYV02: 'neonates 7 days of age: 10 mg/kg Q8H' (garbled)</t>
        </is>
      </c>
      <c r="H416" s="3" t="inlineStr">
        <is>
          <t>Birth–11 y: 10 mg/kg IV/PO q8h. Preterm neonates (GA &lt;34 wk) &lt;7 days: start 10 mg/kg q12h, consider q8h if response is suboptimal; all neonates should be on 10 mg/kg q8h by 7 days of life. uSSSI: &lt;5 y 10 mg/kg PO q8h, 5–11 y 10 mg/kg PO q12h. ≥12 y: 600 mg q12h.</t>
        </is>
      </c>
      <c r="I416" s="3" t="inlineStr">
        <is>
          <t>US FDA label §2.1 Table 1, §8.4; Taiwan insert §3.1 表一 footnote †</t>
        </is>
      </c>
      <c r="J416" s="3" t="inlineStr">
        <is>
          <t>Open</t>
        </is>
      </c>
      <c r="K416" s="3" t="inlineStr"/>
    </row>
    <row r="417">
      <c r="A417" s="3" t="n">
        <v>457</v>
      </c>
      <c r="B417" s="3" t="inlineStr">
        <is>
          <t>Zyvox (Linezolid) (ZYV01, ZYV02)</t>
        </is>
      </c>
      <c r="C417" s="7" t="inlineStr">
        <is>
          <t>High</t>
        </is>
      </c>
      <c r="D417" s="3" t="inlineStr">
        <is>
          <t>Dosing – pediatric</t>
        </is>
      </c>
      <c r="E417" s="3" t="inlineStr"/>
      <c r="F417" s="3" t="inlineStr">
        <is>
          <t>Fix neonatal dosing per label: q8h by day 7; birth–11 y 10 mg/kg q8h</t>
        </is>
      </c>
      <c r="G417" s="3" t="inlineStr">
        <is>
          <t>ZYV01: 'Neonates 10 mg/kg Q12H'; ZYV02: 'neonates 7 days of age: 10 mg/kg Q8H'</t>
        </is>
      </c>
      <c r="H417" s="3" t="inlineStr">
        <is>
          <t>Preterm neonates (&lt;34 wk GA) under 7 days old start at 10 mg/kg q12h and may move to q8h if response is poor; all neonates should be on 10 mg/kg q8h by day 7 of life. Birth to 11 years: 10 mg/kg q8h. For uSSSI: under 5 y 10 mg/kg PO q8h; 5–11 y 10 mg/kg PO q12h. ≥12 y: 600 mg q12h.</t>
        </is>
      </c>
      <c r="I417" s="3" t="inlineStr">
        <is>
          <t>US label §2.1 Table 1, §8.4; Taiwan 仿單 §3.1 表一 footnote †</t>
        </is>
      </c>
      <c r="J417" s="3" t="inlineStr">
        <is>
          <t>Open</t>
        </is>
      </c>
      <c r="K417" s="3" t="inlineStr"/>
    </row>
    <row r="418">
      <c r="A418" s="3" t="n">
        <v>1202</v>
      </c>
      <c r="B418" s="3" t="inlineStr">
        <is>
          <t>Akurit-4 / Akurit-3 (TB fixed-dose combinations) (AKU02, AKU01)</t>
        </is>
      </c>
      <c r="C418" s="8" t="inlineStr">
        <is>
          <t>Medium</t>
        </is>
      </c>
      <c r="D418" s="3" t="inlineStr">
        <is>
          <t>Breastfeeding</t>
        </is>
      </c>
      <c r="E418" s="3" t="inlineStr">
        <is>
          <t>LactMed outdated</t>
        </is>
      </c>
      <c r="F418" s="3" t="inlineStr">
        <is>
          <t>Replace 'Avoided' with LactMed/CDC: compatible, infant monitoring, maternal pyridoxine with INH.</t>
        </is>
      </c>
      <c r="G418" s="3" t="inlineStr">
        <is>
          <t>Avoided</t>
        </is>
      </c>
      <c r="H418" s="3" t="inlineStr">
        <is>
          <t>LactMed says all four components are compatible: CDC says breastfeeding should not be discouraged. Monitor the infant for jaundice (INH), and for jaundice, hepatitis and arthralgia (PZA). Mothers on INH take pyridoxine 25 mg/day. The US INH label also says breastfeeding should not be discouraged.</t>
        </is>
      </c>
      <c r="I418" s="3" t="inlineStr">
        <is>
          <t>LactMed NBK501348, NBK501336, NBK501347, NBK501335 — https://www.ncbi.nlm.nih.gov/books/NBK501347/; US isoniazid label Nursing Mothers</t>
        </is>
      </c>
      <c r="J418" s="3" t="inlineStr">
        <is>
          <t>Open</t>
        </is>
      </c>
      <c r="K418" s="3" t="inlineStr"/>
    </row>
    <row r="419">
      <c r="A419" s="3" t="n">
        <v>1210</v>
      </c>
      <c r="B419" s="3" t="inlineStr">
        <is>
          <t>Akurit-4 / Akurit-3 (TB fixed-dose combinations) (AKU02, AKU01)</t>
        </is>
      </c>
      <c r="C419" s="8" t="inlineStr">
        <is>
          <t>Medium</t>
        </is>
      </c>
      <c r="D419" s="3" t="inlineStr">
        <is>
          <t>Breastfeeding</t>
        </is>
      </c>
      <c r="E419" s="3" t="inlineStr">
        <is>
          <t>LactMed outdated</t>
        </is>
      </c>
      <c r="F419" s="3" t="inlineStr">
        <is>
          <t>Replace 'Avoided' with LactMed/CDC position; for AKU02 note UK PZA breastfeeding contraindication.</t>
        </is>
      </c>
      <c r="G419" s="3" t="inlineStr">
        <is>
          <t>Avoided</t>
        </is>
      </c>
      <c r="H419" s="3" t="inlineStr">
        <is>
          <t>LactMed says all four are acceptable; the CDC says breastfeeding should not be discouraged, with infant monitoring. The US INH label says breastfeeding should not be discouraged, and ATS 2016 says breastfeeding is encouraged if the mother is non-infectious. For AKU01 (no PZA), 'Avoided' is not supported by any source I found. For AKU02 there is a real label conflict: the UK PZA SmPC contraindicates breastfeeding and UK Rifater advises against it unless the benefit outweighs the risk. A single-word 'Avoided' misrepresents this.</t>
        </is>
      </c>
      <c r="I419" s="3" t="inlineStr">
        <is>
          <t>LactMed NBK501348/NBK501336/NBK501347/NBK501335 https://www.ncbi.nlm.nih.gov/books/NBK501347/ ; UK Pyrazinamide SmPC §4.6 https://www.medicines.org.uk/emc/product/101051/smpc</t>
        </is>
      </c>
      <c r="J419" s="3" t="inlineStr">
        <is>
          <t>Open</t>
        </is>
      </c>
      <c r="K419" s="3" t="inlineStr"/>
    </row>
    <row r="420">
      <c r="A420" s="3" t="n">
        <v>227</v>
      </c>
      <c r="B420" s="3" t="inlineStr">
        <is>
          <t>Amikacin (AMI12)</t>
        </is>
      </c>
      <c r="C420" s="8" t="inlineStr">
        <is>
          <t>Medium</t>
        </is>
      </c>
      <c r="D420" s="3" t="inlineStr">
        <is>
          <t>Contraindication/warning</t>
        </is>
      </c>
      <c r="E420" s="3" t="inlineStr"/>
      <c r="F420" s="3" t="inlineStr">
        <is>
          <t>Add myasthenia gravis contraindication/caution per UK SmPC</t>
        </is>
      </c>
      <c r="G420" s="3" t="inlineStr">
        <is>
          <t>Hypersensitivity to amikacin, other aminoglycosides, or any component</t>
        </is>
      </c>
      <c r="H420" s="3" t="inlineStr">
        <is>
          <t>Consistent with the US label. The UK SmPC 4.3 also lists myasthenia gravis, which the hospital page omits. The Taiwan insert says '目前尚無資訊'.</t>
        </is>
      </c>
      <c r="I420" s="3" t="inlineStr">
        <is>
          <t>US CONTRAINDICATIONS; UK SmPC 4.3; Taiwan insert 4</t>
        </is>
      </c>
      <c r="J420" s="3" t="inlineStr">
        <is>
          <t>Open</t>
        </is>
      </c>
      <c r="K420" s="3" t="inlineStr"/>
    </row>
    <row r="421">
      <c r="A421" s="3" t="n">
        <v>225</v>
      </c>
      <c r="B421" s="3" t="inlineStr">
        <is>
          <t>Amikacin (AMI12)</t>
        </is>
      </c>
      <c r="C421" s="8" t="inlineStr">
        <is>
          <t>Medium</t>
        </is>
      </c>
      <c r="D421" s="3" t="inlineStr">
        <is>
          <t>Dosing – adult</t>
        </is>
      </c>
      <c r="E421" s="3" t="inlineStr"/>
      <c r="F421" s="3" t="inlineStr">
        <is>
          <t>Add duration ≤10 days and cumulative ≤15 g limit (TW insert)</t>
        </is>
      </c>
      <c r="G421" s="3" t="inlineStr">
        <is>
          <t>Not mentioned</t>
        </is>
      </c>
      <c r="H421" s="3" t="inlineStr">
        <is>
          <t>TW insert (stocked product): life-threatening/Pseudomonas infections 500 mg q8h, ≤1.5 g/day, ≤10 days, total ≤15 g. US/UK: usual 7–10 days; safety &gt;14 days not established.</t>
        </is>
      </c>
      <c r="I421" s="3" t="inlineStr">
        <is>
          <t>Taiwan insert 3.1; US WARNINGS box; UK SmPC 4.2/4.4</t>
        </is>
      </c>
      <c r="J421" s="3" t="inlineStr">
        <is>
          <t>Open</t>
        </is>
      </c>
      <c r="K421" s="3" t="inlineStr"/>
    </row>
    <row r="422">
      <c r="A422" s="3" t="n">
        <v>234</v>
      </c>
      <c r="B422" s="3" t="inlineStr">
        <is>
          <t>Amikacin (AMI12)</t>
        </is>
      </c>
      <c r="C422" s="8" t="inlineStr">
        <is>
          <t>Medium</t>
        </is>
      </c>
      <c r="D422" s="3" t="inlineStr">
        <is>
          <t>Indication/coverage</t>
        </is>
      </c>
      <c r="E422" s="3" t="inlineStr"/>
      <c r="F422" s="3" t="inlineStr">
        <is>
          <t>Note aminoglycoside main use is serious Gram-negative infection; streptococci/pneumococci need added beta-lactam</t>
        </is>
      </c>
      <c r="G422" s="3" t="inlineStr">
        <is>
          <t>葡萄球菌，鏈球菌，肺炎雙球菌，腦膜炎球菌及其他具有感受性細菌引起之感染症 (copied from the TW insert)</t>
        </is>
      </c>
      <c r="H422" s="3" t="inlineStr">
        <is>
          <t>This matches the TW insert. The US label, however, says aminoglycosides have low activity against Gram-positives other than staphylococci, and recommends adding a penicillin-type drug for streptococci and pneumococci. The main labelled use (US and UK) is serious Gram-negative infections, including Pseudomonas. Not an error against the TW insert, but the hospital text should not be used to justify streptococcal coverage.</t>
        </is>
      </c>
      <c r="I422" s="3" t="inlineStr">
        <is>
          <t>US label INDICATIONS AND USAGE and Mechanism of Resistance; UK SmPC 4.1</t>
        </is>
      </c>
      <c r="J422" s="3" t="inlineStr">
        <is>
          <t>Open</t>
        </is>
      </c>
      <c r="K422" s="3" t="inlineStr"/>
    </row>
    <row r="423">
      <c r="A423" s="3" t="n">
        <v>244</v>
      </c>
      <c r="B423" s="3" t="inlineStr">
        <is>
          <t>AmoClav (Amoxicillin/clavulanate) (AMO04, AMO08)</t>
        </is>
      </c>
      <c r="C423" s="8" t="inlineStr">
        <is>
          <t>Medium</t>
        </is>
      </c>
      <c r="D423" s="3" t="inlineStr">
        <is>
          <t>Administration/compatibility</t>
        </is>
      </c>
      <c r="E423" s="3" t="inlineStr"/>
      <c r="F423" s="3" t="inlineStr">
        <is>
          <t>Verify stability against TW insert; UK SmPC: reconstituted 15 min, infusion within 60 min at 25°C</t>
        </is>
      </c>
      <c r="G423" s="3" t="inlineStr">
        <is>
          <t>25°C in SWFI/NS/sodium lactate: 4 h; Ringer's/LR/Hartmann's/KCl-NS: 3 h; 5°C SWFI/NS: 8 h; IVD diluted in 100 mL</t>
        </is>
      </c>
      <c r="H423" s="3" t="inlineStr">
        <is>
          <t>UK Sandoz SmPC: reconstituted injection stable 15 min and infusion 60 min at 25°C; infusions should be given in full within 60 min. The Taiwan product's insert (not found) may differ, so this needs checking against the actual 仿單.</t>
        </is>
      </c>
      <c r="I423" s="3" t="inlineStr">
        <is>
          <t>UK SmPC 6.3/6.6 — https://www.medicines.org.uk/emc/product/7211/smpc</t>
        </is>
      </c>
      <c r="J423" s="3" t="inlineStr">
        <is>
          <t>Open</t>
        </is>
      </c>
      <c r="K423" s="3" t="inlineStr"/>
    </row>
    <row r="424">
      <c r="A424" s="3" t="n">
        <v>253</v>
      </c>
      <c r="B424" s="3" t="inlineStr">
        <is>
          <t>AmoClav (Amoxicillin/clavulanate) (AMO04, AMO08)</t>
        </is>
      </c>
      <c r="C424" s="8" t="inlineStr">
        <is>
          <t>Medium</t>
        </is>
      </c>
      <c r="D424" s="3" t="inlineStr">
        <is>
          <t>Adverse effects</t>
        </is>
      </c>
      <c r="E424" s="3" t="inlineStr">
        <is>
          <t>Missing SCAR (SJS/TEN/DRESS)</t>
        </is>
      </c>
      <c r="F424" s="3" t="inlineStr">
        <is>
          <t>Add hepatitis/cholestatic jaundice, C. difficile, SJS/TEN/DRESS/AGEP, DIES, Kounis, convulsions, crystalluria</t>
        </is>
      </c>
      <c r="G424" s="3" t="inlineStr">
        <is>
          <t>Diarrhea, diaper rash, skin rash, urticaria, abdominal distress, loose stools, nausea, vomiting, vaginitis, candidiasis, vaginal mycosis</t>
        </is>
      </c>
      <c r="H424" s="3" t="inlineStr">
        <is>
          <t>Also missing the key serious reactions: hepatitis/cholestatic jaundice, C. difficile colitis, SCAR (SJS/TEN/DRESS/AGEP), DIES, Kounis syndrome, convulsions, injection-site thrombophlebitis, crystalluria</t>
        </is>
      </c>
      <c r="I424" s="3" t="inlineStr">
        <is>
          <t>UK SmPC §4.4, §4.8, https://www.medicines.org.uk/emc/product/7211/smpc</t>
        </is>
      </c>
      <c r="J424" s="3" t="inlineStr">
        <is>
          <t>Open</t>
        </is>
      </c>
      <c r="K424" s="3" t="inlineStr"/>
    </row>
    <row r="425">
      <c r="A425" s="3" t="n">
        <v>254</v>
      </c>
      <c r="B425" s="3" t="inlineStr">
        <is>
          <t>AmoClav (Amoxicillin/clavulanate) (AMO04, AMO08)</t>
        </is>
      </c>
      <c r="C425" s="8" t="inlineStr">
        <is>
          <t>Medium</t>
        </is>
      </c>
      <c r="D425" s="3" t="inlineStr">
        <is>
          <t>Dosing – hepatic</t>
        </is>
      </c>
      <c r="E425" s="3" t="inlineStr"/>
      <c r="F425" s="3" t="inlineStr">
        <is>
          <t>Add: dose with caution and monitor hepatic function regularly</t>
        </is>
      </c>
      <c r="G425" s="3" t="inlineStr">
        <is>
          <t>No dosage adjustments in manufacturer's labeling; use with caution</t>
        </is>
      </c>
      <c r="H425" s="3" t="inlineStr">
        <is>
          <t>Dose with caution and monitor hepatic function at regular intervals</t>
        </is>
      </c>
      <c r="I425" s="3" t="inlineStr">
        <is>
          <t>UK SmPC §4.2, https://www.medicines.org.uk/emc/product/7211/smpc</t>
        </is>
      </c>
      <c r="J425" s="3" t="inlineStr">
        <is>
          <t>Open</t>
        </is>
      </c>
      <c r="K425" s="3" t="inlineStr"/>
    </row>
    <row r="426">
      <c r="A426" s="3" t="n">
        <v>245</v>
      </c>
      <c r="B426" s="3" t="inlineStr">
        <is>
          <t>AmoClav (Amoxicillin/clavulanate) (AMO04, AMO08)</t>
        </is>
      </c>
      <c r="C426" s="8" t="inlineStr">
        <is>
          <t>Medium</t>
        </is>
      </c>
      <c r="D426" s="3" t="inlineStr">
        <is>
          <t>Pharmacokinetics/other</t>
        </is>
      </c>
      <c r="E426" s="3" t="inlineStr"/>
      <c r="F426" s="3" t="inlineStr">
        <is>
          <t>Complete AMO08 clinical fields to match corrected AMO04 and attach package insert</t>
        </is>
      </c>
      <c r="G426" s="3" t="inlineStr">
        <is>
          <t>Every clinical field empty except the drug-bag text (stomach upset, diarrhoea, nausea, vomiting, headache); 仿單 field empty</t>
        </is>
      </c>
      <c r="H426" s="3" t="inlineStr">
        <is>
          <t>Same active ingredients and strength as AMO04, so the same SmPC dosing and warnings apply. The record should be completed and its package insert attached.</t>
        </is>
      </c>
      <c r="I426" s="3" t="inlineStr">
        <is>
          <t>UK SmPC — https://www.medicines.org.uk/emc/product/7211/smpc</t>
        </is>
      </c>
      <c r="J426" s="3" t="inlineStr">
        <is>
          <t>Open</t>
        </is>
      </c>
      <c r="K426" s="3" t="inlineStr"/>
    </row>
    <row r="427">
      <c r="A427" s="3" t="n">
        <v>257</v>
      </c>
      <c r="B427" s="3" t="inlineStr">
        <is>
          <t>AmoClav (Amoxicillin/clavulanate) (AMO04, AMO08)</t>
        </is>
      </c>
      <c r="C427" s="8" t="inlineStr">
        <is>
          <t>Medium</t>
        </is>
      </c>
      <c r="D427" s="3" t="inlineStr">
        <is>
          <t>Pharmacokinetics/other</t>
        </is>
      </c>
      <c r="E427" s="3" t="inlineStr"/>
      <c r="F427" s="3" t="inlineStr">
        <is>
          <t>Fill AMO08 fields from corrected AMO04 content</t>
        </is>
      </c>
      <c r="G427" s="3" t="inlineStr">
        <is>
          <t>Indications, pharmacology, contraindications, pregnancy, lactation, side effects, dosing, renal and hepatic fields are all empty; only the drug-bag text is filled</t>
        </is>
      </c>
      <c r="H427" s="3" t="inlineStr">
        <is>
          <t>This is the same 1000/200 mg IV product, so these fields should be filled to match AMO04 after AMO04 is corrected against the label</t>
        </is>
      </c>
      <c r="I427" s="3" t="inlineStr">
        <is>
          <t>UK SmPC §4.1–4.8, https://www.medicines.org.uk/emc/product/7211/smpc</t>
        </is>
      </c>
      <c r="J427" s="3" t="inlineStr">
        <is>
          <t>Open</t>
        </is>
      </c>
      <c r="K427" s="3" t="inlineStr"/>
    </row>
    <row r="428">
      <c r="A428" s="3" t="n">
        <v>241</v>
      </c>
      <c r="B428" s="3" t="inlineStr">
        <is>
          <t>AmoClav (Amoxicillin/clavulanate) (AMO04, AMO08)</t>
        </is>
      </c>
      <c r="C428" s="8" t="inlineStr">
        <is>
          <t>Medium</t>
        </is>
      </c>
      <c r="D428" s="3" t="inlineStr">
        <is>
          <t>Pregnancy</t>
        </is>
      </c>
      <c r="E428" s="3" t="inlineStr"/>
      <c r="F428" s="3" t="inlineStr">
        <is>
          <t>Add: avoid unless essential; PPROM prophylaxis linked to neonatal necrotising enterocolitis</t>
        </is>
      </c>
      <c r="G428" s="3" t="inlineStr">
        <is>
          <t>Both amoxicillin and clavulanic acid cross the placenta; use with caution</t>
        </is>
      </c>
      <c r="H428" s="3" t="inlineStr">
        <is>
          <t>No established risk of major birth defects (US 8.1). PPROM prophylaxis is associated with increased neonatal necrotising enterocolitis. UK SmPC: avoid in pregnancy unless considered essential. The hospital entry omits the PPROM/NEC warning.</t>
        </is>
      </c>
      <c r="I428" s="3" t="inlineStr">
        <is>
          <t>US label 8.1 — https://dailymed.nlm.nih.gov/dailymed/drugInfo.cfm?setid=80bef3fd-4f6f-4190-8865-9ac46c8947a3; UK SmPC 4.6 — https://www.medicines.org.uk/emc/product/7211/smpc</t>
        </is>
      </c>
      <c r="J428" s="3" t="inlineStr">
        <is>
          <t>Open</t>
        </is>
      </c>
      <c r="K428" s="3" t="inlineStr"/>
    </row>
    <row r="429">
      <c r="A429" s="3" t="n">
        <v>252</v>
      </c>
      <c r="B429" s="3" t="inlineStr">
        <is>
          <t>AmoClav (Amoxicillin/clavulanate) (AMO04, AMO08)</t>
        </is>
      </c>
      <c r="C429" s="8" t="inlineStr">
        <is>
          <t>Medium</t>
        </is>
      </c>
      <c r="D429" s="3" t="inlineStr">
        <is>
          <t>Pregnancy</t>
        </is>
      </c>
      <c r="E429" s="3" t="inlineStr"/>
      <c r="F429" s="3" t="inlineStr">
        <is>
          <t>Add: avoid unless essential; PPROM prophylaxis associated with neonatal NEC</t>
        </is>
      </c>
      <c r="G429" s="3" t="inlineStr">
        <is>
          <t>Both amoxicillin and clavulanic acid cross the placenta; use with caution</t>
        </is>
      </c>
      <c r="H429" s="3" t="inlineStr">
        <is>
          <t>Avoid in pregnancy unless considered essential. Prophylactic use in PPROM is associated with ↑ neonatal necrotising enterocolitis.</t>
        </is>
      </c>
      <c r="I429" s="3" t="inlineStr">
        <is>
          <t>UK SmPC §4.6, https://www.medicines.org.uk/emc/product/7211/smpc; US label §8.1</t>
        </is>
      </c>
      <c r="J429" s="3" t="inlineStr">
        <is>
          <t>Open</t>
        </is>
      </c>
      <c r="K429" s="3" t="inlineStr"/>
    </row>
    <row r="430">
      <c r="A430" s="3" t="n">
        <v>586</v>
      </c>
      <c r="B430" s="3" t="inlineStr">
        <is>
          <t>Amoxicillin (AMO02)</t>
        </is>
      </c>
      <c r="C430" s="8" t="inlineStr">
        <is>
          <t>Medium</t>
        </is>
      </c>
      <c r="D430" s="3" t="inlineStr">
        <is>
          <t>Dosing – pediatric</t>
        </is>
      </c>
      <c r="E430" s="3" t="inlineStr"/>
      <c r="F430" s="3" t="inlineStr">
        <is>
          <t>Add pediatric dosing: 20-45 mg/kg/day ÷q8-12h; &lt;3 mo max 30 mg/kg/day ÷q12h (US)</t>
        </is>
      </c>
      <c r="G430" s="3" t="inlineStr">
        <is>
          <t>(empty)</t>
        </is>
      </c>
      <c r="H430" s="3" t="inlineStr">
        <is>
          <t>US: ≥3 months and &lt;40 kg, 20–45 mg/kg/day ÷q8–12h; &lt;3 months, max 30 mg/kg/day ÷q12h. UK: 20–90 mg/kg/day. TW insert: 20–40 mg/kg/day ÷q8h. The source brief did not mention that this field is empty.</t>
        </is>
      </c>
      <c r="I430" s="3" t="inlineStr">
        <is>
          <t>US FDA label §2.2/2.3 — https://dailymed.nlm.nih.gov/dailymed/drugInfo.cfm?setid=9b3ab9ea-caee-4186-9068-43ca527c098d; TW 仿單 — https://mcp.fda.gov.tw/im_detail_pdf/%E8%A1%9B%E7%BD%B2%E8%97%A5%E8%A3%BD%E5%AD%97%E7%AC%AC012051%E8%99%9F</t>
        </is>
      </c>
      <c r="J430" s="3" t="inlineStr">
        <is>
          <t>Open</t>
        </is>
      </c>
      <c r="K430" s="3" t="inlineStr"/>
    </row>
    <row r="431">
      <c r="A431" s="3" t="n">
        <v>599</v>
      </c>
      <c r="B431" s="3" t="inlineStr">
        <is>
          <t>Amoxicillin (AMO02)</t>
        </is>
      </c>
      <c r="C431" s="8" t="inlineStr">
        <is>
          <t>Medium</t>
        </is>
      </c>
      <c r="D431" s="3" t="inlineStr">
        <is>
          <t>Dosing – pediatric</t>
        </is>
      </c>
      <c r="E431" s="3" t="inlineStr"/>
      <c r="F431" s="3" t="inlineStr">
        <is>
          <t>Add pediatric dosing (US 20-45 mg/kg/day; ≤3 mo max 30 mg/kg/day; TW 20-40 mg/kg/day)</t>
        </is>
      </c>
      <c r="G431" s="3" t="inlineStr">
        <is>
          <t>(empty)</t>
        </is>
      </c>
      <c r="H431" s="3" t="inlineStr">
        <is>
          <t>US: ≥3 mo &lt;40 kg 20–45 mg/kg/day; ≤3 mo max 30 mg/kg/day ÷q12h. TW insert: 20–40 mg/kg/day ÷q8h; adult dose ≥20 kg</t>
        </is>
      </c>
      <c r="I431" s="3" t="inlineStr">
        <is>
          <t>US label §2.2–2.3; TW 仿單 效能與用法</t>
        </is>
      </c>
      <c r="J431" s="3" t="inlineStr">
        <is>
          <t>Open</t>
        </is>
      </c>
      <c r="K431" s="3" t="inlineStr"/>
    </row>
    <row r="432">
      <c r="A432" s="3" t="n">
        <v>601</v>
      </c>
      <c r="B432" s="3" t="inlineStr">
        <is>
          <t>Amoxicillin (AMO02)</t>
        </is>
      </c>
      <c r="C432" s="8" t="inlineStr">
        <is>
          <t>Medium</t>
        </is>
      </c>
      <c r="D432" s="3" t="inlineStr">
        <is>
          <t>Indication/coverage</t>
        </is>
      </c>
      <c r="E432" s="3" t="inlineStr"/>
      <c r="F432" s="3" t="inlineStr">
        <is>
          <t>Add TW/UK indications (gonorrhea, osteomyelitis, endocarditis, typhoid, Lyme, etc.)</t>
        </is>
      </c>
      <c r="G432" s="3" t="inlineStr">
        <is>
          <t>US-style indications only (ENT, H. pylori, LRTI/ABRS, SSSI, UTI)</t>
        </is>
      </c>
      <c r="H432" s="3" t="inlineStr">
        <is>
          <t>The TW insert for the stocked product also lists gonorrhea and SSTI-row items (osteomyelitis, endocarditis, cholecystitis); the UK SmPC adds typhoid, Lyme, prosthetic joint infection, endocarditis prophylaxis. Minor: incomplete, not wrong.</t>
        </is>
      </c>
      <c r="I432" s="3" t="inlineStr">
        <is>
          <t>TW 仿單 適應症/效能與用法; UK SmPC §4.1</t>
        </is>
      </c>
      <c r="J432" s="3" t="inlineStr">
        <is>
          <t>Open</t>
        </is>
      </c>
      <c r="K432" s="3" t="inlineStr"/>
    </row>
    <row r="433">
      <c r="A433" s="3" t="n">
        <v>572</v>
      </c>
      <c r="B433" s="3" t="inlineStr">
        <is>
          <t>Ampolin (Ampicillin) (AMP01)</t>
        </is>
      </c>
      <c r="C433" s="8" t="inlineStr">
        <is>
          <t>Medium</t>
        </is>
      </c>
      <c r="D433" s="3" t="inlineStr">
        <is>
          <t>Administration/compatibility</t>
        </is>
      </c>
      <c r="E433" s="3" t="inlineStr"/>
      <c r="F433" s="3" t="inlineStr">
        <is>
          <t>State IV push 3-5 min for ≤500 mg, ≥10-15 min for 1-2 g; add seizure warning for rapid injection</t>
        </is>
      </c>
      <c r="G433" s="3" t="inlineStr">
        <is>
          <t>IV (靜脈注射)：10-15分鐘 (Handbook)</t>
        </is>
      </c>
      <c r="H433" s="3" t="inlineStr">
        <is>
          <t>The US vial label gives 3-5 min for the 125/250/500 mg vials and at least 10-15 min for 1-2 g; the UK SmPC gives 3-4 min. 10-15 min is not unsafe for the 500 mg vial, but it is the label rate for 1-2 g, not for the stocked 500 mg vial. The label's warning that faster injection can cause seizures is missing.</t>
        </is>
      </c>
      <c r="I433" s="3" t="inlineStr">
        <is>
          <t>DailyMed Sandoz ampicillin for injection, For Direct Intravenous Use https://dailymed.nlm.nih.gov/dailymed/drugInfo.cfm?setid=64a04e8c-8f78-46b3-8f45-56ef225a4f74; UK SmPC 4.2 Method of administration https://www.medicines.org.uk/emc/product/12892/smpc</t>
        </is>
      </c>
      <c r="J433" s="3" t="inlineStr">
        <is>
          <t>Open</t>
        </is>
      </c>
      <c r="K433" s="3" t="inlineStr"/>
    </row>
    <row r="434">
      <c r="A434" s="3" t="n">
        <v>578</v>
      </c>
      <c r="B434" s="3" t="inlineStr">
        <is>
          <t>Ampolin (Ampicillin) (AMP01)</t>
        </is>
      </c>
      <c r="C434" s="8" t="inlineStr">
        <is>
          <t>Medium</t>
        </is>
      </c>
      <c r="D434" s="3" t="inlineStr">
        <is>
          <t>Administration/compatibility</t>
        </is>
      </c>
      <c r="E434" s="3" t="inlineStr"/>
      <c r="F434" s="3" t="inlineStr">
        <is>
          <t>Specify IV push rate by dose (3-5 min for 500 mg vial); cite label not Handbook; add seizure caution</t>
        </is>
      </c>
      <c r="G434" s="3" t="inlineStr">
        <is>
          <t>IV (靜脈注射)：10-15分鐘 (Handbook)</t>
        </is>
      </c>
      <c r="H434" s="3" t="inlineStr">
        <is>
          <t>For the stocked 500 mg vial, the US vial label gives a direct IV push over 3–5 min and the SmPC gives 3–4 min. The ≥10–15 min rate applies to 1–2 g doses, with the caution that faster administration may cause convulsive seizures. The hospital line is safe for 2 g doses but should state which dose it covers and cite the label rather than a 'Handbook'.</t>
        </is>
      </c>
      <c r="I434" s="3" t="inlineStr">
        <is>
          <t>DailyMed Sandoz ampicillin vials – For Direct Intravenous Use https://dailymed.nlm.nih.gov/dailymed/drugInfo.cfm?setid=64a04e8c-8f78-46b3-8f45-56ef225a4f74; UK SmPC 4.2 Method of administration https://www.medicines.org.uk/emc/product/12892/smpc</t>
        </is>
      </c>
      <c r="J434" s="3" t="inlineStr">
        <is>
          <t>Open</t>
        </is>
      </c>
      <c r="K434" s="3" t="inlineStr"/>
    </row>
    <row r="435">
      <c r="A435" s="3" t="n">
        <v>579</v>
      </c>
      <c r="B435" s="3" t="inlineStr">
        <is>
          <t>Ampolin (Ampicillin) (AMP01)</t>
        </is>
      </c>
      <c r="C435" s="8" t="inlineStr">
        <is>
          <t>Medium</t>
        </is>
      </c>
      <c r="D435" s="3" t="inlineStr">
        <is>
          <t>Contraindication/warning</t>
        </is>
      </c>
      <c r="E435" s="3" t="inlineStr"/>
      <c r="F435" s="3" t="inlineStr">
        <is>
          <t>Add β-lactam/cephalosporin cross-hypersensitivity caution (UK SmPC, US WARNINGS)</t>
        </is>
      </c>
      <c r="G435" s="3" t="inlineStr">
        <is>
          <t>Not to be used in patients sensitive to penicillins.</t>
        </is>
      </c>
      <c r="H435" s="3" t="inlineStr">
        <is>
          <t>Matches the US label and TW insert. The UK SmPC is broader: do not give to patients with a history of hypersensitivity to any β-lactam (penicillins, cephalosporins). The US WARNINGS also describes penicillin–cephalosporin cross-reactivity. Consider adding this.</t>
        </is>
      </c>
      <c r="I435" s="3" t="inlineStr">
        <is>
          <t>UK SmPC 4.3 https://www.medicines.org.uk/emc/product/12892/smpc; DailyMed WARNINGS https://dailymed.nlm.nih.gov/dailymed/drugInfo.cfm?setid=3b683547-48ac-48ca-8fd4-6866fd17be34</t>
        </is>
      </c>
      <c r="J435" s="3" t="inlineStr">
        <is>
          <t>Open</t>
        </is>
      </c>
      <c r="K435" s="3" t="inlineStr"/>
    </row>
    <row r="436">
      <c r="A436" s="3" t="n">
        <v>567</v>
      </c>
      <c r="B436" s="3" t="inlineStr">
        <is>
          <t>Ampolin (Ampicillin) (AMP01)</t>
        </is>
      </c>
      <c r="C436" s="8" t="inlineStr">
        <is>
          <t>Medium</t>
        </is>
      </c>
      <c r="D436" s="3" t="inlineStr">
        <is>
          <t>Dosing – adult</t>
        </is>
      </c>
      <c r="E436" s="3" t="inlineStr"/>
      <c r="F436" s="3" t="inlineStr">
        <is>
          <t>Add label adult doses (TW/US); mark 2 g q4h regimens as guideline/off-label with citation</t>
        </is>
      </c>
      <c r="G436" s="3" t="inlineStr">
        <is>
          <t>Only guideline-style high doses: 2 g q4h for enterococcal/Listeria bacteremia, IE and meningitis; 1-2 g q4-6h for enterococcal cUTI (off-label). No label doses and no citations.</t>
        </is>
      </c>
      <c r="H436" s="3" t="inlineStr">
        <is>
          <t>The stocked product's TW insert gives 250-500 mg IM 2-4×/day; 250-500 mg q6h for RTI/SSTI/GU; 500 mg q12h for gonococcal urethritis; meningitis 8-14 g/day IV drip. US label: 250-500 mg q6h; meningitis/septicemia 150-200 mg/kg/day ÷ q3-4h. The page should give the label doses and mark the 2 g q4h regimens as guideline/off-label with a citation.</t>
        </is>
      </c>
      <c r="I436" s="3" t="inlineStr">
        <is>
          <t>Taiwan insert 用法用量 https://mcp.fda.gov.tw/insert/pdfcasefile/i_f87fe441-fe10-4930-90d7-250bb0fcbf57; DailyMed ampicillin DOSAGE AND ADMINISTRATION https://dailymed.nlm.nih.gov/dailymed/drugInfo.cfm?setid=3b683547-48ac-48ca-8fd4-6866fd17be34</t>
        </is>
      </c>
      <c r="J436" s="3" t="inlineStr">
        <is>
          <t>Open</t>
        </is>
      </c>
      <c r="K436" s="3" t="inlineStr"/>
    </row>
    <row r="437">
      <c r="A437" s="3" t="n">
        <v>566</v>
      </c>
      <c r="B437" s="3" t="inlineStr">
        <is>
          <t>Ampolin (Ampicillin) (AMP01)</t>
        </is>
      </c>
      <c r="C437" s="8" t="inlineStr">
        <is>
          <t>Medium</t>
        </is>
      </c>
      <c r="D437" s="3" t="inlineStr">
        <is>
          <t>Indication/coverage</t>
        </is>
      </c>
      <c r="E437" s="3" t="inlineStr"/>
      <c r="F437" s="3" t="inlineStr">
        <is>
          <t>Add Listeria monocytogenes to ampicillin meningitis pathogens (US label)</t>
        </is>
      </c>
      <c r="G437" s="3" t="inlineStr">
        <is>
          <t>Meningitis, bacterial: caused by E. coli, group B streptococci, and other gram-negative bacteria (Neisseria meningitidis)</t>
        </is>
      </c>
      <c r="H437" s="3" t="inlineStr">
        <is>
          <t>'...and other Gram-negative bacteria (Listeria monocytogenes, N. meningitidis)'. The hospital entry leaves out Listeria monocytogenes, a key ampicillin-specific meningitis pathogen. Note that the label groups Listeria with the Gram-negatives, but Listeria is Gram-positive.</t>
        </is>
      </c>
      <c r="I437" s="3" t="inlineStr">
        <is>
          <t>DailyMed ampicillin INDICATIONS AND USAGE https://dailymed.nlm.nih.gov/dailymed/drugInfo.cfm?setid=3b683547-48ac-48ca-8fd4-6866fd17be34</t>
        </is>
      </c>
      <c r="J437" s="3" t="inlineStr">
        <is>
          <t>Open</t>
        </is>
      </c>
      <c r="K437" s="3" t="inlineStr"/>
    </row>
    <row r="438">
      <c r="A438" s="3" t="n">
        <v>574</v>
      </c>
      <c r="B438" s="3" t="inlineStr">
        <is>
          <t>Ampolin (Ampicillin) (AMP01)</t>
        </is>
      </c>
      <c r="C438" s="8" t="inlineStr">
        <is>
          <t>Medium</t>
        </is>
      </c>
      <c r="D438" s="3" t="inlineStr">
        <is>
          <t>Indication/coverage</t>
        </is>
      </c>
      <c r="E438" s="3" t="inlineStr"/>
      <c r="F438" s="3" t="inlineStr">
        <is>
          <t>Add Listeria monocytogenes to meningitis indication (US label)</t>
        </is>
      </c>
      <c r="G438" s="3" t="inlineStr">
        <is>
          <t>caused by E. coli, group B streptococci, and other gram-negative bacteria (Neisseria meningitidis)</t>
        </is>
      </c>
      <c r="H438" s="3" t="inlineStr">
        <is>
          <t>US label: 'E. coli, Group B streptococci, and other Gram-negative bacteria (Listeria monocytogenes, N. meningitidis)'. The hospital site omits Listeria monocytogenes, which is the key reason to use ampicillin in meningitis. (The label's grouping of Listeria as Gram-negative is itself a label error; Listeria is Gram-positive.)</t>
        </is>
      </c>
      <c r="I438" s="3" t="inlineStr">
        <is>
          <t>DailyMed ampicillin INDICATIONS AND USAGE https://dailymed.nlm.nih.gov/dailymed/drugInfo.cfm?setid=3b683547-48ac-48ca-8fd4-6866fd17be34</t>
        </is>
      </c>
      <c r="J438" s="3" t="inlineStr">
        <is>
          <t>Open</t>
        </is>
      </c>
      <c r="K438" s="3" t="inlineStr"/>
    </row>
    <row r="439">
      <c r="A439" s="3" t="n">
        <v>268</v>
      </c>
      <c r="B439" s="3" t="inlineStr">
        <is>
          <t>Antifect (Cefepime) (ANT10)</t>
        </is>
      </c>
      <c r="C439" s="8" t="inlineStr">
        <is>
          <t>Medium</t>
        </is>
      </c>
      <c r="D439" s="3" t="inlineStr">
        <is>
          <t>Administration/compatibility</t>
        </is>
      </c>
      <c r="E439" s="3" t="inlineStr"/>
      <c r="F439" s="3" t="inlineStr">
        <is>
          <t>1 g vial IV reconstitution: 10 mL (≈100 mg/mL), not 5 mL; IM 1 g + 2.4 mL</t>
        </is>
      </c>
      <c r="G439" s="3" t="inlineStr">
        <is>
          <t>再生溶液5mL (cited to 仿單/Handbook/Micromedex) for the stocked 1 g vial</t>
        </is>
      </c>
      <c r="H439" s="3" t="inlineStr">
        <is>
          <t>Antifect 表6: IV 0.5 g vial + 5 mL; 1 g vial + 10 mL (≈100 mg/mL); IM 1 g + 2.4 mL (≈280 mg/mL). For a 1 g vial, 5 mL is the wrong IV volume. FDA Table 3: 1 g IV + 10 mL.</t>
        </is>
      </c>
      <c r="I439" s="3" t="inlineStr">
        <is>
          <t>Taiwan Antifect insert §3.2 表6 — https://mcp.fda.gov.tw/im_detail_1/%E8%A1%9B%E7%BD%B2%E8%97%A5%E8%A3%BD%E5%AD%97%E7%AC%AC047983%E8%99%9F ; US FDA label §2.4 Table 3</t>
        </is>
      </c>
      <c r="J439" s="3" t="inlineStr">
        <is>
          <t>Open</t>
        </is>
      </c>
      <c r="K439" s="3" t="inlineStr"/>
    </row>
    <row r="440">
      <c r="A440" s="3" t="n">
        <v>263</v>
      </c>
      <c r="B440" s="3" t="inlineStr">
        <is>
          <t>Antifect (Cefepime) (ANT10)</t>
        </is>
      </c>
      <c r="C440" s="8" t="inlineStr">
        <is>
          <t>Medium</t>
        </is>
      </c>
      <c r="D440" s="3" t="inlineStr">
        <is>
          <t>Indication/coverage</t>
        </is>
      </c>
      <c r="E440" s="3" t="inlineStr"/>
      <c r="F440" s="3" t="inlineStr">
        <is>
          <t>Add TW-insert indications: septicaemia, gynaecological, IAI/biliary, bronchitis, pediatric meningitis</t>
        </is>
      </c>
      <c r="G440" s="3" t="inlineStr">
        <is>
          <t>Indications follow the US label: pneumonia, FN, UTI, uncomplicated SSSI, cIAI with metronidazole.</t>
        </is>
      </c>
      <c r="H440" s="3" t="inlineStr">
        <is>
          <t>The stocked product's Taiwan insert also includes septicaemia (敗血症), gynaecological infections (婦科感染), IAI including peritonitis and biliary infections, bronchitis, and bacterial meningitis in children. The UK SmPC agrees.</t>
        </is>
      </c>
      <c r="I440" s="3" t="inlineStr">
        <is>
          <t>Taiwan Antifect insert 2 適應症 — https://mcp.fda.gov.tw/im_detail_1/%E8%A1%9B%E7%BD%B2%E8%97%A5%E8%A3%BD%E5%AD%97%E7%AC%AC047983%E8%99%9F; UK SmPC 4.1 — https://www.medicines.org.uk/emc/product/9671/smpc</t>
        </is>
      </c>
      <c r="J440" s="3" t="inlineStr">
        <is>
          <t>Open</t>
        </is>
      </c>
      <c r="K440" s="3" t="inlineStr"/>
    </row>
    <row r="441">
      <c r="A441" s="3" t="n">
        <v>267</v>
      </c>
      <c r="B441" s="3" t="inlineStr">
        <is>
          <t>Antifect (Cefepime) (ANT10)</t>
        </is>
      </c>
      <c r="C441" s="8" t="inlineStr">
        <is>
          <t>Medium</t>
        </is>
      </c>
      <c r="D441" s="3" t="inlineStr">
        <is>
          <t>Indication/coverage</t>
        </is>
      </c>
      <c r="E441" s="3" t="inlineStr"/>
      <c r="F441" s="3" t="inlineStr">
        <is>
          <t>Add TW indications: LRTI/bronchitis, peritonitis/biliary, gynaecological, septicaemia, pediatric meningitis</t>
        </is>
      </c>
      <c r="G441" s="3" t="inlineStr">
        <is>
          <t>US-label list: pneumonia, febrile neutropenia, UTI, uncomplicated skin, complicated intra-abdominal (with metronidazole).</t>
        </is>
      </c>
      <c r="H441" s="3" t="inlineStr">
        <is>
          <t>The stocked Antifect insert also approves LRTI including bronchitis, intra-abdominal infection including peritonitis and biliary infection, gynaecological infections, septicaemia, and (paediatric) bacterial meningitis.</t>
        </is>
      </c>
      <c r="I441" s="3" t="inlineStr">
        <is>
          <t>Taiwan Antifect insert §2 適應症 — https://mcp.fda.gov.tw/im_detail_1/%E8%A1%9B%E7%BD%B2%E8%97%A5%E8%A3%BD%E5%AD%97%E7%AC%AC047983%E8%99%9F</t>
        </is>
      </c>
      <c r="J441" s="3" t="inlineStr">
        <is>
          <t>Open</t>
        </is>
      </c>
      <c r="K441" s="3" t="inlineStr"/>
    </row>
    <row r="442">
      <c r="A442" s="3" t="n">
        <v>1359</v>
      </c>
      <c r="B442" s="3" t="inlineStr">
        <is>
          <t>Baraclude / Envir (Entecavir) (BAR03, ENV01, ENV02)</t>
        </is>
      </c>
      <c r="C442" s="8" t="inlineStr">
        <is>
          <t>Medium</t>
        </is>
      </c>
      <c r="D442" s="3" t="inlineStr">
        <is>
          <t>Breastfeeding</t>
        </is>
      </c>
      <c r="E442" s="3" t="inlineStr"/>
      <c r="F442" s="3" t="inlineStr">
        <is>
          <t>Harmonise three entecavir breastfeeding statements and cite source label.</t>
        </is>
      </c>
      <c r="G442" s="3" t="inlineStr">
        <is>
          <t>BAR03: 'decision to breastfeed should consider the risk and benefits'; ENV01: 'Infant risk cannot be ruled out'; ENV02: 'Avoided'. The same drug has three different statements.</t>
        </is>
      </c>
      <c r="H442" s="3" t="inlineStr">
        <is>
          <t>US §8.2 and TW Baraclude: weigh breastfeeding benefits against the mother's need and possible infant effects. UK §4.6: discontinue breastfeeding. TW Envir: stop nursing or stop the drug. LactMed: not studied; an alternate may be preferred, especially for newborn/preterm infants. The three pages should be harmonised and should name the source they follow.</t>
        </is>
      </c>
      <c r="I442" s="3" t="inlineStr">
        <is>
          <t>US §8.2; UK SmPC §4.6; LactMed NBK501744 https://www.ncbi.nlm.nih.gov/books/NBK501744/</t>
        </is>
      </c>
      <c r="J442" s="3" t="inlineStr">
        <is>
          <t>Open</t>
        </is>
      </c>
      <c r="K442" s="3" t="inlineStr"/>
    </row>
    <row r="443">
      <c r="A443" s="3" t="n">
        <v>1369</v>
      </c>
      <c r="B443" s="3" t="inlineStr">
        <is>
          <t>Baraclude / Envir (Entecavir) (BAR03, ENV01, ENV02)</t>
        </is>
      </c>
      <c r="C443" s="8" t="inlineStr">
        <is>
          <t>Medium</t>
        </is>
      </c>
      <c r="D443" s="3" t="inlineStr">
        <is>
          <t>Breastfeeding</t>
        </is>
      </c>
      <c r="E443" s="3" t="inlineStr"/>
      <c r="F443" s="3" t="inlineStr">
        <is>
          <t>Harmonise breastfeeding statements across BAR03/ENV01/ENV02.</t>
        </is>
      </c>
      <c r="G443" s="3" t="inlineStr">
        <is>
          <t>BAR03: 'decision to breastfeed should consider the risk and benefits'; ENV01: 'Infant risk cannot be ruled out'; ENV02: 'Avoided'. These are three different statements for the same molecule.</t>
        </is>
      </c>
      <c r="H443" s="3" t="inlineStr">
        <is>
          <t>US 8.2 / TW Baraclude 6.2: weigh breastfeeding benefits against maternal need and infant risk. UK 4.6: discontinue breastfeeding. LactMed: not studied; an alternative may be preferred for a newborn or preterm infant. The pages should be harmonised.</t>
        </is>
      </c>
      <c r="I443" s="3" t="inlineStr">
        <is>
          <t>LactMed NBK501744 https://www.ncbi.nlm.nih.gov/books/NBK501744/ ; UK SmPC §4.6 https://www.medicines.org.uk/emc/product/213/smpc</t>
        </is>
      </c>
      <c r="J443" s="3" t="inlineStr">
        <is>
          <t>Open</t>
        </is>
      </c>
      <c r="K443" s="3" t="inlineStr"/>
    </row>
    <row r="444">
      <c r="A444" s="3" t="n">
        <v>1372</v>
      </c>
      <c r="B444" s="3" t="inlineStr">
        <is>
          <t>Baraclude / Envir (Entecavir) (BAR03, ENV01, ENV02)</t>
        </is>
      </c>
      <c r="C444" s="8" t="inlineStr">
        <is>
          <t>Medium</t>
        </is>
      </c>
      <c r="D444" s="3" t="inlineStr">
        <is>
          <t>Dosing – pediatric</t>
        </is>
      </c>
      <c r="E444" s="3" t="inlineStr"/>
      <c r="F444" s="3" t="inlineStr">
        <is>
          <t>Add approved pediatric dosing ≥2 y and ≥10 kg; fill Envir pediatric fields.</t>
        </is>
      </c>
      <c r="G444" s="3" t="inlineStr">
        <is>
          <t>BAR03: 'Limited data available; the decision to pediatric use should consider the risk and benefits'. The Envir pages leave the field blank.</t>
        </is>
      </c>
      <c r="H444" s="3" t="inlineStr">
        <is>
          <t>Approved for children ≥2 y and ≥10 kg with weight-based dosing (oral solution ≤30 kg; 0.5 mg tablet QD &gt;30 kg). Only lamivudine-experienced children have limited data.</t>
        </is>
      </c>
      <c r="I444" s="3" t="inlineStr">
        <is>
          <t>TW Baraclude insert §2, §3.1.3 ; US FDA label §2.3, §8.4</t>
        </is>
      </c>
      <c r="J444" s="3" t="inlineStr">
        <is>
          <t>Open</t>
        </is>
      </c>
      <c r="K444" s="3" t="inlineStr"/>
    </row>
    <row r="445">
      <c r="A445" s="3" t="n">
        <v>1360</v>
      </c>
      <c r="B445" s="3" t="inlineStr">
        <is>
          <t>Baraclude / Envir (Entecavir) (BAR03, ENV01, ENV02)</t>
        </is>
      </c>
      <c r="C445" s="8" t="inlineStr">
        <is>
          <t>Medium</t>
        </is>
      </c>
      <c r="D445" s="3" t="inlineStr">
        <is>
          <t>Dosing – renal/dialysis</t>
        </is>
      </c>
      <c r="E445" s="3" t="inlineStr">
        <is>
          <t>Renal table outdated</t>
        </is>
      </c>
      <c r="F445" s="3" t="inlineStr">
        <is>
          <t>Add ≥50 row and preferred reduced once-daily doses; keep interval extension as alternative.</t>
        </is>
      </c>
      <c r="G445" s="3" t="inlineStr">
        <is>
          <t>Interval extension only ('ClCr 30-49: the normal dose every 48 hrs; 10-29: every 72 hrs; &lt;10 (including dialysis): every 7 days; administer after hemodialysis'). No ≥50 row and no reduced-daily-dose alternatives.</t>
        </is>
      </c>
      <c r="H445" s="3" t="inlineStr">
        <is>
          <t>US Table 2 / TW Table 2 list the reduced once-daily doses (0.25/0.15/0.05 mg; 1 mg column 0.5/0.3/0.1 mg) as the preferred regimens, with interval extension as the alternative. The interval-only text is practical for the tablet-only formulary but incomplete, and it is inconsistent with ENV01, which lists both options.</t>
        </is>
      </c>
      <c r="I445" s="3" t="inlineStr">
        <is>
          <t>US FDA label §2.4 Table 2; TW Baraclude insert §3.1.4 https://mcp.fda.gov.tw/im_detail_1/%E8%A1%9B%E7%BD%B2%E8%97%A5%E8%BC%B8%E5%AD%97%E7%AC%AC024469%E8%99%9F</t>
        </is>
      </c>
      <c r="J445" s="3" t="inlineStr">
        <is>
          <t>Open</t>
        </is>
      </c>
      <c r="K445" s="3" t="inlineStr"/>
    </row>
    <row r="446">
      <c r="A446" s="3" t="n">
        <v>1370</v>
      </c>
      <c r="B446" s="3" t="inlineStr">
        <is>
          <t>Baraclude / Envir (Entecavir) (BAR03, ENV01, ENV02)</t>
        </is>
      </c>
      <c r="C446" s="8" t="inlineStr">
        <is>
          <t>Medium</t>
        </is>
      </c>
      <c r="D446" s="3" t="inlineStr">
        <is>
          <t>Dosing – renal/dialysis</t>
        </is>
      </c>
      <c r="E446" s="3" t="inlineStr">
        <is>
          <t>Renal table outdated</t>
        </is>
      </c>
      <c r="F446" s="3" t="inlineStr">
        <is>
          <t>Add preferred reduced once-daily doses for 0.5 mg and 1 mg columns.</t>
        </is>
      </c>
      <c r="G446" s="3" t="inlineStr">
        <is>
          <t>Only 'the normal dose every 48 hrs / 72 hrs / 7 days' for ClCr 30-49 / 10-29 / &lt;10. No reduced once-daily options, no separate 1 mg column, and no statement that once-daily dosing is preferred.</t>
        </is>
      </c>
      <c r="H446" s="3" t="inlineStr">
        <is>
          <t>TW insert 表2 / US Table 2 give reduced once-daily doses (preferred) or interval extension for both the 0.5 mg and 1 mg columns. For the 1 mg column at CrCl 30–&lt;50, 0.5 mg QD is a tablet-feasible once-daily option.</t>
        </is>
      </c>
      <c r="I446" s="3" t="inlineStr">
        <is>
          <t>TW Baraclude insert §3.1.4 表2 https://mcp.fda.gov.tw/im_detail_1/%E8%A1%9B%E7%BD%B2%E8%97%A5%E8%BC%B8%E5%AD%97%E7%AC%AC024469%E8%99%9F ; US FDA label §2.4</t>
        </is>
      </c>
      <c r="J446" s="3" t="inlineStr">
        <is>
          <t>Open</t>
        </is>
      </c>
      <c r="K446" s="3" t="inlineStr"/>
    </row>
    <row r="447">
      <c r="A447" s="3" t="n">
        <v>621</v>
      </c>
      <c r="B447" s="3" t="inlineStr">
        <is>
          <t>Bicillin (Penicillin G benzathine) (PEN11, BIC02)</t>
        </is>
      </c>
      <c r="C447" s="8" t="inlineStr">
        <is>
          <t>Medium</t>
        </is>
      </c>
      <c r="D447" s="3" t="inlineStr">
        <is>
          <t>Administration/compatibility</t>
        </is>
      </c>
      <c r="E447" s="3" t="inlineStr"/>
      <c r="F447" s="3" t="inlineStr">
        <is>
          <t>Correct presentation to 4 mL prefilled syringe (2.4 MU); do not split</t>
        </is>
      </c>
      <c r="G447" s="3" t="inlineStr">
        <is>
          <t>2.4MU/vial</t>
        </is>
      </c>
      <c r="H447" s="3" t="inlineStr">
        <is>
          <t>The Taiwan-licensed Bicillin L-A is a prefilled disposable syringe: 4 mL = 2.4 MU (1 mL = 0.6 MU, 2 mL = 1.2 MU). It is not a vial, and the insert says 本品不建議分抽.</t>
        </is>
      </c>
      <c r="I447" s="3" t="inlineStr">
        <is>
          <t>TW 仿單 包裝 and §13.1 – https://mcp.fda.gov.tw/im_detail_1/%E8%A1%9B%E9%83%A8%E8%97%A5%E8%BC%B8%E5%AD%97%E7%AC%AC026966%E8%99%9F</t>
        </is>
      </c>
      <c r="J447" s="3" t="inlineStr">
        <is>
          <t>Open</t>
        </is>
      </c>
      <c r="K447" s="3" t="inlineStr"/>
    </row>
    <row r="448">
      <c r="A448" s="3" t="n">
        <v>629</v>
      </c>
      <c r="B448" s="3" t="inlineStr">
        <is>
          <t>Bicillin (Penicillin G benzathine) (PEN11, BIC02)</t>
        </is>
      </c>
      <c r="C448" s="8" t="inlineStr">
        <is>
          <t>Medium</t>
        </is>
      </c>
      <c r="D448" s="3" t="inlineStr">
        <is>
          <t>Administration/compatibility</t>
        </is>
      </c>
      <c r="E448" s="3" t="inlineStr"/>
      <c r="F448" s="3" t="inlineStr">
        <is>
          <t>Change '2.4MU/vial' to 4 mL prefilled syringe</t>
        </is>
      </c>
      <c r="G448" s="3" t="inlineStr">
        <is>
          <t>'2.4MU/vial'</t>
        </is>
      </c>
      <c r="H448" s="3" t="inlineStr">
        <is>
          <t>Disposable prefilled syringe. The 4 mL size holds 2,400,000 U (the insert also lists 1 mL/600,000 U and 2 mL/1.2 MU). It is not a vial.</t>
        </is>
      </c>
      <c r="I448" s="3" t="inlineStr">
        <is>
          <t>Taiwan insert 包裝 / 13.1 https://mcp.fda.gov.tw/im_detail_1/%E8%A1%9B%E9%83%A8%E8%97%A5%E8%BC%B8%E5%AD%97%E7%AC%AC026966%E8%99%9F</t>
        </is>
      </c>
      <c r="J448" s="3" t="inlineStr">
        <is>
          <t>Open</t>
        </is>
      </c>
      <c r="K448" s="3" t="inlineStr"/>
    </row>
    <row r="449">
      <c r="A449" s="3" t="n">
        <v>636</v>
      </c>
      <c r="B449" s="3" t="inlineStr">
        <is>
          <t>Bicillin (Penicillin G benzathine) (PEN11, BIC02)</t>
        </is>
      </c>
      <c r="C449" s="8" t="inlineStr">
        <is>
          <t>Medium</t>
        </is>
      </c>
      <c r="D449" s="3" t="inlineStr">
        <is>
          <t>Adverse effects</t>
        </is>
      </c>
      <c r="E449" s="3" t="inlineStr">
        <is>
          <t>Missing SCAR (SJS/TEN/DRESS)</t>
        </is>
      </c>
      <c r="F449" s="3" t="inlineStr">
        <is>
          <t>List specific ADRs: anaphylaxis, SJS/TEN/DRESS/AGEP, CDAD, Jarisch-Herxheimer, Nicolau</t>
        </is>
      </c>
      <c r="G449" s="3" t="inlineStr">
        <is>
          <t>Only organ-system names ('cardiovascular, dermatologic, gastrointestinal, …') with no specific reactions</t>
        </is>
      </c>
      <c r="H449" s="3" t="inlineStr">
        <is>
          <t>The labels name specific reactions: anaphylaxis, SCAR (SJS/TEN/DRESS/AGEP), CDAD, Jarisch-Herxheimer, Nicolau syndrome, and neurovascular injury from intravascular injection. The field is uninformative.</t>
        </is>
      </c>
      <c r="I449" s="3" t="inlineStr">
        <is>
          <t>DailyMed WARNINGS/ADVERSE REACTIONS; UK SmPC 4.8</t>
        </is>
      </c>
      <c r="J449" s="3" t="inlineStr">
        <is>
          <t>Open</t>
        </is>
      </c>
      <c r="K449" s="3" t="inlineStr"/>
    </row>
    <row r="450">
      <c r="A450" s="3" t="n">
        <v>625</v>
      </c>
      <c r="B450" s="3" t="inlineStr">
        <is>
          <t>Bicillin (Penicillin G benzathine) (PEN11, BIC02)</t>
        </is>
      </c>
      <c r="C450" s="8" t="inlineStr">
        <is>
          <t>Medium</t>
        </is>
      </c>
      <c r="D450" s="3" t="inlineStr">
        <is>
          <t>Dosing – adult</t>
        </is>
      </c>
      <c r="E450" s="3" t="inlineStr"/>
      <c r="F450" s="3" t="inlineStr">
        <is>
          <t>Add multi-dose regimens (late syphilis weekly ×3, RF prophylaxis q3-4w) and pediatric doses</t>
        </is>
      </c>
      <c r="G450" s="3" t="inlineStr">
        <is>
          <t>IM 1.2 to 2.4 million units as a single dose; pediatric field empty</t>
        </is>
      </c>
      <c r="H450" s="3" t="inlineStr">
        <is>
          <t>Several labelled regimens are not single doses. Late latent or tertiary syphilis: 2.4 MU weekly × 3. Rheumatic fever prophylaxis: 1.2 MU q3–4w. Pediatric doses: 0.6 MU for ≤27 kg; 50,000 U/kg for syphilis. The page is incomplete.</t>
        </is>
      </c>
      <c r="I450" s="3" t="inlineStr">
        <is>
          <t>TW 仿單 §3.1; US label DOSAGE AND ADMINISTRATION; UK SmPC §4.2</t>
        </is>
      </c>
      <c r="J450" s="3" t="inlineStr">
        <is>
          <t>Open</t>
        </is>
      </c>
      <c r="K450" s="3" t="inlineStr"/>
    </row>
    <row r="451">
      <c r="A451" s="3" t="n">
        <v>635</v>
      </c>
      <c r="B451" s="3" t="inlineStr">
        <is>
          <t>Bicillin (Penicillin G benzathine) (PEN11, BIC02)</t>
        </is>
      </c>
      <c r="C451" s="8" t="inlineStr">
        <is>
          <t>Medium</t>
        </is>
      </c>
      <c r="D451" s="3" t="inlineStr">
        <is>
          <t>Dosing – adult</t>
        </is>
      </c>
      <c r="E451" s="3" t="inlineStr"/>
      <c r="F451" s="3" t="inlineStr">
        <is>
          <t>Add late syphilis weekly ×3, RF/GN prophylaxis q3-4w, and pediatric doses</t>
        </is>
      </c>
      <c r="G451" s="3" t="inlineStr">
        <is>
          <t>Only 'IM: 1.2 to 2.4 million units as a single dose'; pediatric field empty</t>
        </is>
      </c>
      <c r="H451" s="3" t="inlineStr">
        <is>
          <t>Several labeled regimens are not single doses: late syphilis 2.4 MU weekly ×3, and RF/GN prophylaxis 1.2 MU every 3–4 weeks. Pediatric doses exist (≤27 kg 0.6 MU; 50,000 U/kg for syphilis).</t>
        </is>
      </c>
      <c r="I451" s="3" t="inlineStr">
        <is>
          <t>Taiwan insert 3.1; UK SmPC 4.2; DailyMed DOSAGE AND ADMINISTRATION</t>
        </is>
      </c>
      <c r="J451" s="3" t="inlineStr">
        <is>
          <t>Open</t>
        </is>
      </c>
      <c r="K451" s="3" t="inlineStr"/>
    </row>
    <row r="452">
      <c r="A452" s="3" t="n">
        <v>630</v>
      </c>
      <c r="B452" s="3" t="inlineStr">
        <is>
          <t>Bicillin (Penicillin G benzathine) (PEN11, BIC02)</t>
        </is>
      </c>
      <c r="C452" s="8" t="inlineStr">
        <is>
          <t>Medium</t>
        </is>
      </c>
      <c r="D452" s="3" t="inlineStr">
        <is>
          <t>Indication/coverage</t>
        </is>
      </c>
      <c r="E452" s="3" t="inlineStr"/>
      <c r="F452" s="3" t="inlineStr">
        <is>
          <t>Restrict to mild-moderate streptococcal URTI; not for severe pneumonia/empyema</t>
        </is>
      </c>
      <c r="G452" s="3" t="inlineStr">
        <is>
          <t>'Respiratory tract infections' (unqualified)</t>
        </is>
      </c>
      <c r="H452" s="3" t="inlineStr">
        <is>
          <t>Only mild-to-moderate upper respiratory tract infections due to susceptible streptococci (由感受性鏈球菌引起的輕至中度上呼吸道感染). The UK SmPC warns against using it for severe pneumonia or empyema.</t>
        </is>
      </c>
      <c r="I452" s="3" t="inlineStr">
        <is>
          <t>Taiwan insert 2 適應症; UK SmPC 4.4 https://www.medicines.org.uk/emc/product/11043/smpc</t>
        </is>
      </c>
      <c r="J452" s="3" t="inlineStr">
        <is>
          <t>Open</t>
        </is>
      </c>
      <c r="K452" s="3" t="inlineStr"/>
    </row>
    <row r="453">
      <c r="A453" s="3" t="n">
        <v>624</v>
      </c>
      <c r="B453" s="3" t="inlineStr">
        <is>
          <t>Bicillin (Penicillin G benzathine) (PEN11, BIC02)</t>
        </is>
      </c>
      <c r="C453" s="8" t="inlineStr">
        <is>
          <t>Medium</t>
        </is>
      </c>
      <c r="D453" s="3" t="inlineStr">
        <is>
          <t>Pharmacokinetics/other</t>
        </is>
      </c>
      <c r="E453" s="3" t="inlineStr"/>
      <c r="F453" s="3" t="inlineStr">
        <is>
          <t>Record PEN11 manufacturer, licence, leaflet; add reconstitution/split-site guidance</t>
        </is>
      </c>
      <c r="G453" s="3" t="inlineStr">
        <is>
          <t>Penicillin G 長效懸浮針 2.4MU/Vial; 規格 blank; NHI X000359219; no 許可證 or 仿單; storage ≤25°C</t>
        </is>
      </c>
      <c r="H453" s="3" t="inlineStr">
        <is>
          <t>No Taiwan licence or insert can be found for this product; the X-code suggests a 專案進口 product. Its labelling is not known, which matters because a powder vial such as the UK product needs reconstitution and splitting of the ~7 mL 2.4 MU dose across two sites. The pharmacy should record the manufacturer, licence and leaflet. Its storage (≤25°C) differs from BIC02 (2–8°C), which fits a different formulation; storage is not to be copied into Notion.</t>
        </is>
      </c>
      <c r="I453" s="3" t="inlineStr">
        <is>
          <t>UK SmPC §4.2 and §6.6 (2.4 MIU reconstituted ≈7 mL, divided across two sites) – https://www.medicines.org.uk/emc/product/11043/smpc</t>
        </is>
      </c>
      <c r="J453" s="3" t="inlineStr">
        <is>
          <t>Open</t>
        </is>
      </c>
      <c r="K453" s="3" t="inlineStr"/>
    </row>
    <row r="454">
      <c r="A454" s="3" t="n">
        <v>634</v>
      </c>
      <c r="B454" s="3" t="inlineStr">
        <is>
          <t>Bicillin (Penicillin G benzathine) (PEN11, BIC02)</t>
        </is>
      </c>
      <c r="C454" s="8" t="inlineStr">
        <is>
          <t>Medium</t>
        </is>
      </c>
      <c r="D454" s="3" t="inlineStr">
        <is>
          <t>Pharmacokinetics/other</t>
        </is>
      </c>
      <c r="E454" s="3" t="inlineStr"/>
      <c r="F454" s="3" t="inlineStr">
        <is>
          <t>Record PEN11 manufacturer/strength/form and attach import leaflet</t>
        </is>
      </c>
      <c r="G454" s="3" t="inlineStr">
        <is>
          <t>規格 blank; NHI X000359219; no licence number; no 仿單 link</t>
        </is>
      </c>
      <c r="H454" s="3" t="inlineStr">
        <is>
          <t>No TFDA licence or Taiwan insert can be found for this code; the X-prefix suggests a special-import (專案進口) product. The pharmacy should record the manufacturer, strength and form (likely a powder for reconstitution, given the ≤25 °C storage) and attach the import leaflet. Reconstitution volume and the number of injection sites depend on the product; for example, the UK powder product splits 2.4 MU over two sites.</t>
        </is>
      </c>
      <c r="I454" s="3" t="inlineStr">
        <is>
          <t>UK SmPC 4.2 Method of administration (2.4 MU reconstituted ~7 mL 'should be divided and administered across two injection sites') https://www.medicines.org.uk/emc/product/11043/smpc</t>
        </is>
      </c>
      <c r="J454" s="3" t="inlineStr">
        <is>
          <t>Open</t>
        </is>
      </c>
      <c r="K454" s="3" t="inlineStr"/>
    </row>
    <row r="455">
      <c r="A455" s="3" t="n">
        <v>1217</v>
      </c>
      <c r="B455" s="3" t="inlineStr">
        <is>
          <t>Biktarvy (Bictegravir/Emtricitabine/TAF) (BIK01, BIK02)</t>
        </is>
      </c>
      <c r="C455" s="8" t="inlineStr">
        <is>
          <t>Medium</t>
        </is>
      </c>
      <c r="D455" s="3" t="inlineStr">
        <is>
          <t>Breastfeeding</t>
        </is>
      </c>
      <c r="E455" s="3" t="inlineStr">
        <is>
          <t>LactMed outdated</t>
        </is>
      </c>
      <c r="F455" s="3" t="inlineStr">
        <is>
          <t>Update: BIC, FTC, TAF present in milk; add LactMed data (RID ~0.68%) and breastfeeding guidance.</t>
        </is>
      </c>
      <c r="G455" s="3" t="inlineStr">
        <is>
          <t>Emtricitabine is present in breast milk; excretion of bictegravir and tenofovir alafenamide are unknown.</t>
        </is>
      </c>
      <c r="H455" s="3" t="inlineStr">
        <is>
          <t>The Taiwan insert §6.2 and US label §8.2 say BIC, FTC, TAF and tenofovir are all present in human milk. LactMed (2026) gives BIC milk levels (RID ~0.68%) and supports breastfeeding when viral load is sustained undetectable.</t>
        </is>
      </c>
      <c r="I455" s="3" t="inlineStr">
        <is>
          <t>Taiwan insert §6.2 https://mcp.fda.gov.tw/im_detail_1/%E8%A1%9B%E9%83%A8%E8%97%A5%E8%BC%B8%E5%AD%97%E7%AC%AC027570%E8%99%9F; US FDA label §8.2; LactMed NBK525506 https://www.ncbi.nlm.nih.gov/books/NBK525506/</t>
        </is>
      </c>
      <c r="J455" s="3" t="inlineStr">
        <is>
          <t>Open</t>
        </is>
      </c>
      <c r="K455" s="3" t="inlineStr"/>
    </row>
    <row r="456">
      <c r="A456" s="3" t="n">
        <v>1225</v>
      </c>
      <c r="B456" s="3" t="inlineStr">
        <is>
          <t>Biktarvy (Bictegravir/Emtricitabine/TAF) (BIK01, BIK02)</t>
        </is>
      </c>
      <c r="C456" s="8" t="inlineStr">
        <is>
          <t>Medium</t>
        </is>
      </c>
      <c r="D456" s="3" t="inlineStr">
        <is>
          <t>Breastfeeding</t>
        </is>
      </c>
      <c r="E456" s="3" t="inlineStr">
        <is>
          <t>LactMed outdated</t>
        </is>
      </c>
      <c r="F456" s="3" t="inlineStr">
        <is>
          <t>Update: all components present in milk; add LactMed low BIC levels.</t>
        </is>
      </c>
      <c r="G456" s="3" t="inlineStr">
        <is>
          <t>Emtricitabine is present in breast milk; excretion of bictegravir and tenofovir alafenamide are unknown.</t>
        </is>
      </c>
      <c r="H456" s="3" t="inlineStr">
        <is>
          <t>BIC, FTC, TAF and tenofovir are present in human milk (Taiwan and US). LactMed reports low BIC milk levels (RID 0.68%). Even the more conservative UK SmPC says TAF is excreted at low levels; only BIC is listed there as 'not known'.</t>
        </is>
      </c>
      <c r="I456" s="3" t="inlineStr">
        <is>
          <t>Taiwan 仿單 v4 §6.2; US label §8.2; LactMed NBK525506 https://www.ncbi.nlm.nih.gov/books/NBK525506/ ; UK SmPC 4.6</t>
        </is>
      </c>
      <c r="J456" s="3" t="inlineStr">
        <is>
          <t>Open</t>
        </is>
      </c>
      <c r="K456" s="3" t="inlineStr"/>
    </row>
    <row r="457">
      <c r="A457" s="3" t="n">
        <v>1215</v>
      </c>
      <c r="B457" s="3" t="inlineStr">
        <is>
          <t>Biktarvy (Bictegravir/Emtricitabine/TAF) (BIK01, BIK02)</t>
        </is>
      </c>
      <c r="C457" s="8" t="inlineStr">
        <is>
          <t>Medium</t>
        </is>
      </c>
      <c r="D457" s="3" t="inlineStr">
        <is>
          <t>Dosing – renal/dialysis</t>
        </is>
      </c>
      <c r="E457" s="3" t="inlineStr">
        <is>
          <t>Renal table outdated</t>
        </is>
      </c>
      <c r="F457" s="3" t="inlineStr">
        <is>
          <t>Add ESRD on chronic HD provision: no dose change, dose after HD, generally avoid unless benefit outweighs risk.</t>
        </is>
      </c>
      <c r="G457" s="3" t="inlineStr">
        <is>
          <t>CrCl &lt;30 mL/min: not recommended; CrCl ≥30 mL/min: no dosage adjustment</t>
        </is>
      </c>
      <c r="H457" s="3" t="inlineStr">
        <is>
          <t>Taiwan and UK: adults with ESRD (CrCl &lt;15) on chronic HD need no dose change but should generally avoid the drug unless benefit outweighs risk; on dialysis days give it after HD. Avoid at CrCl 15–&lt;30 or &lt;15 without HD. US: the HD dose is for virologically suppressed adults only and is not recommended if ART-naive. The hospital's blanket '&lt;30 not recommended' leaves out the HD provision.</t>
        </is>
      </c>
      <c r="I457" s="3" t="inlineStr">
        <is>
          <t>Taiwan insert §3.3.2 / §6.7 https://mcp.fda.gov.tw/im_detail_1/%E8%A1%9B%E9%83%A8%E8%97%A5%E8%BC%B8%E5%AD%97%E7%AC%AC027570%E8%99%9F; US FDA label §2.2, §8.6; UK SmPC §4.2 https://www.medicines.org.uk/emc/product/9313/smpc</t>
        </is>
      </c>
      <c r="J457" s="3" t="inlineStr">
        <is>
          <t>Open</t>
        </is>
      </c>
      <c r="K457" s="3" t="inlineStr"/>
    </row>
    <row r="458">
      <c r="A458" s="3" t="n">
        <v>1223</v>
      </c>
      <c r="B458" s="3" t="inlineStr">
        <is>
          <t>Biktarvy (Bictegravir/Emtricitabine/TAF) (BIK01, BIK02)</t>
        </is>
      </c>
      <c r="C458" s="8" t="inlineStr">
        <is>
          <t>Medium</t>
        </is>
      </c>
      <c r="D458" s="3" t="inlineStr">
        <is>
          <t>Dosing – renal/dialysis</t>
        </is>
      </c>
      <c r="E458" s="3" t="inlineStr">
        <is>
          <t>Renal table outdated</t>
        </is>
      </c>
      <c r="F458" s="3" t="inlineStr">
        <is>
          <t>Add ESRD on chronic HD provision (dose after HD; suppressed adults only per US).</t>
        </is>
      </c>
      <c r="G458" s="3" t="inlineStr">
        <is>
          <t>CrCl &lt;30 not recommended; CrCl ≥30 mL/minute: no dosage adjustment necessary (no ESRD/HD provision)</t>
        </is>
      </c>
      <c r="H458" s="3" t="inlineStr">
        <is>
          <t>Adults with ESRD (CrCl &lt;15) on chronic HD: no dose adjustment, give after HD on dialysis days. Taiwan and UK: generally avoid unless benefit &gt; risk. US: only for virologically-suppressed adults, and not for ART-naive patients. Avoid at 15–&lt;30, or &lt;15 without chronic HD.</t>
        </is>
      </c>
      <c r="I458" s="3" t="inlineStr">
        <is>
          <t>Taiwan 仿單 v4 §3.3.2/§6.7; US label §2.2/§2.5/§8.6; UK SmPC 4.2: https://dailymed.nlm.nih.gov/dailymed/drugInfo.cfm?setid=664cb8f0-1f65-441b-b0d9-ba3d798be309</t>
        </is>
      </c>
      <c r="J458" s="3" t="inlineStr">
        <is>
          <t>Open</t>
        </is>
      </c>
      <c r="K458" s="3" t="inlineStr"/>
    </row>
    <row r="459">
      <c r="A459" s="3" t="n">
        <v>1216</v>
      </c>
      <c r="B459" s="3" t="inlineStr">
        <is>
          <t>Biktarvy (Bictegravir/Emtricitabine/TAF) (BIK01, BIK02)</t>
        </is>
      </c>
      <c r="C459" s="8" t="inlineStr">
        <is>
          <t>Medium</t>
        </is>
      </c>
      <c r="D459" s="3" t="inlineStr">
        <is>
          <t>Pregnancy</t>
        </is>
      </c>
      <c r="E459" s="3" t="inlineStr"/>
      <c r="F459" s="3" t="inlineStr">
        <is>
          <t>Update: 1 tablet daily recommended in suppressed pregnant patients on stable ART; monitor viral load.</t>
        </is>
      </c>
      <c r="G459" s="3" t="inlineStr">
        <is>
          <t>Data are insufficient to recommend this combination for pregnant females living with HIV</t>
        </is>
      </c>
      <c r="H459" s="3" t="inlineStr">
        <is>
          <t>The current Taiwan insert (§3.3.1) and US label (§2.4) recommend 1 tablet daily in pregnant people who are virologically suppressed on stable ART with no resistance to the components, and say to monitor viral load closely because exposure is lower.</t>
        </is>
      </c>
      <c r="I459" s="3" t="inlineStr">
        <is>
          <t>Taiwan insert §3.3.1 孕婦建議劑量 https://mcp.fda.gov.tw/im_detail_1/%E8%A1%9B%E9%83%A8%E8%97%A5%E8%BC%B8%E5%AD%97%E7%AC%AC027570%E8%99%9F; US FDA label §2.4, §8.1 https://dailymed.nlm.nih.gov/dailymed/drugInfo.cfm?setid=664cb8f0-1f65-441b-b0d9-ba3d798be309</t>
        </is>
      </c>
      <c r="J459" s="3" t="inlineStr">
        <is>
          <t>Open</t>
        </is>
      </c>
      <c r="K459" s="3" t="inlineStr"/>
    </row>
    <row r="460">
      <c r="A460" s="3" t="n">
        <v>1224</v>
      </c>
      <c r="B460" s="3" t="inlineStr">
        <is>
          <t>Biktarvy (Bictegravir/Emtricitabine/TAF) (BIK01, BIK02)</t>
        </is>
      </c>
      <c r="C460" s="8" t="inlineStr">
        <is>
          <t>Medium</t>
        </is>
      </c>
      <c r="D460" s="3" t="inlineStr">
        <is>
          <t>Pregnancy</t>
        </is>
      </c>
      <c r="E460" s="3" t="inlineStr"/>
      <c r="F460" s="3" t="inlineStr">
        <is>
          <t>Replace 'insufficient data' with label dose for suppressed pregnant patients; monitor viral load closely.</t>
        </is>
      </c>
      <c r="G460" s="3" t="inlineStr">
        <is>
          <t>Data are insufficient to recommend this combination for pregnant females living with HIV</t>
        </is>
      </c>
      <c r="H460" s="3" t="inlineStr">
        <is>
          <t>Recommended dose in virologically-suppressed pregnant patients on stable ART with no resistance to any component is 1 tab (50/200/25 mg) QD; exposures are lower in pregnancy, so monitor VL closely.</t>
        </is>
      </c>
      <c r="I460" s="3" t="inlineStr">
        <is>
          <t>Taiwan 仿單 v4 §3.3.1/§6.1; US label §2.4/§8.1: https://mcp.fda.gov.tw/im_detail_1/%E8%A1%9B%E9%83%A8%E8%97%A5%E8%BC%B8%E5%AD%97%E7%AC%AC027570%E8%99%9F</t>
        </is>
      </c>
      <c r="J460" s="3" t="inlineStr">
        <is>
          <t>Open</t>
        </is>
      </c>
      <c r="K460" s="3" t="inlineStr"/>
    </row>
    <row r="461">
      <c r="A461" s="3" t="n">
        <v>663</v>
      </c>
      <c r="B461" s="3" t="inlineStr">
        <is>
          <t>Bobimixyn (Polymyxin B) (BOB01)</t>
        </is>
      </c>
      <c r="C461" s="8" t="inlineStr">
        <is>
          <t>Medium</t>
        </is>
      </c>
      <c r="D461" s="3" t="inlineStr">
        <is>
          <t>Adverse effects</t>
        </is>
      </c>
      <c r="E461" s="3" t="inlineStr">
        <is>
          <t>Missing C. difficile warning</t>
        </is>
      </c>
      <c r="F461" s="3" t="inlineStr">
        <is>
          <t>Replace unsupported ADRs with label ADRs: nephro/neurotoxicity, NM blockade, CDAD, thrombophlebitis</t>
        </is>
      </c>
      <c r="G461" s="3" t="inlineStr">
        <is>
          <t>Lists rhabdomyolysis, desquamation and skin hyperpigmentation</t>
        </is>
      </c>
      <c r="H461" s="3" t="inlineStr">
        <is>
          <t>None of these appear in the US label or the Taiwan insert. The labels list nephrotoxicity, neurotoxicity and neuromuscular blockade, pseudo-Bartter syndrome, drug fever, urticaria, IV-site thrombophlebitis, IM-site pain, meningism with intrathecal use, and CDAD.</t>
        </is>
      </c>
      <c r="I461" s="3" t="inlineStr">
        <is>
          <t>US label ADVERSE REACTIONS; TW insert 8.1</t>
        </is>
      </c>
      <c r="J461" s="3" t="inlineStr">
        <is>
          <t>Open</t>
        </is>
      </c>
      <c r="K461" s="3" t="inlineStr"/>
    </row>
    <row r="462">
      <c r="A462" s="3" t="n">
        <v>657</v>
      </c>
      <c r="B462" s="3" t="inlineStr">
        <is>
          <t>Bobimixyn (Polymyxin B) (BOB01)</t>
        </is>
      </c>
      <c r="C462" s="8" t="inlineStr">
        <is>
          <t>Medium</t>
        </is>
      </c>
      <c r="D462" s="3" t="inlineStr">
        <is>
          <t>Dosing – renal/dialysis</t>
        </is>
      </c>
      <c r="E462" s="3" t="inlineStr"/>
      <c r="F462" s="3" t="inlineStr">
        <is>
          <t>Mark post-HD dose timing as unsourced; note increased AUC in HD (TW PK)</t>
        </is>
      </c>
      <c r="G462" s="3" t="inlineStr">
        <is>
          <t>Administer one of the twice-daily doses after dialysis on dialysis days</t>
        </is>
      </c>
      <c r="H462" s="3" t="inlineStr">
        <is>
          <t>Neither label has an HD dosing instruction. The Taiwan PK study in HD patients found AUC +58% and t½ 15.2 h vs 5.4 h in healthy subjects. The consensus (R18) says no adjustment for RRT. The post-HD timing has no label source.</t>
        </is>
      </c>
      <c r="I462" s="3" t="inlineStr">
        <is>
          <t>TW insert 11.1 — https://mcp.fda.gov.tw/im_detail_1/%E8%A1%9B%E9%83%A8%E8%97%A5%E8%A3%BD%E5%AD%97%E7%AC%AC061557%E8%99%9F</t>
        </is>
      </c>
      <c r="J462" s="3" t="inlineStr">
        <is>
          <t>Open</t>
        </is>
      </c>
      <c r="K462" s="3" t="inlineStr"/>
    </row>
    <row r="463">
      <c r="A463" s="3" t="n">
        <v>669</v>
      </c>
      <c r="B463" s="3" t="inlineStr">
        <is>
          <t>Bobimixyn (Polymyxin B) (BOB01)</t>
        </is>
      </c>
      <c r="C463" s="8" t="inlineStr">
        <is>
          <t>Medium</t>
        </is>
      </c>
      <c r="D463" s="3" t="inlineStr">
        <is>
          <t>Dosing – renal/dialysis</t>
        </is>
      </c>
      <c r="E463" s="3" t="inlineStr"/>
      <c r="F463" s="3" t="inlineStr">
        <is>
          <t>Mark post-HD timing as unsourced or remove</t>
        </is>
      </c>
      <c r="G463" s="3" t="inlineStr">
        <is>
          <t>Administer one of the twice-daily doses after dialysis on dialysis days</t>
        </is>
      </c>
      <c r="H463" s="3" t="inlineStr">
        <is>
          <t>Not in either label. Consensus R18 says no adjustment for RRT and gives no timing advice. The TW PK study shows AUC up 58% in HD patients. This statement has no source.</t>
        </is>
      </c>
      <c r="I463" s="3" t="inlineStr">
        <is>
          <t>Taiwan insert §11.1; Tsuji 2019 R18 https://pubmed.ncbi.nlm.nih.gov/30710469/</t>
        </is>
      </c>
      <c r="J463" s="3" t="inlineStr">
        <is>
          <t>Open</t>
        </is>
      </c>
      <c r="K463" s="3" t="inlineStr"/>
    </row>
    <row r="464">
      <c r="A464" s="3" t="n">
        <v>672</v>
      </c>
      <c r="B464" s="3" t="inlineStr">
        <is>
          <t>Bobimixyn (Polymyxin B) (BOB01)</t>
        </is>
      </c>
      <c r="C464" s="8" t="inlineStr">
        <is>
          <t>Medium</t>
        </is>
      </c>
      <c r="D464" s="3" t="inlineStr">
        <is>
          <t>Indication/coverage</t>
        </is>
      </c>
      <c r="E464" s="3" t="inlineStr"/>
      <c r="F464" s="3" t="inlineStr">
        <is>
          <t>State adults-only and TW label exclusion: not for urinary tract infection</t>
        </is>
      </c>
      <c r="G464" s="3" t="inlineStr">
        <is>
          <t>XDR Gram-negative infections (A. baumannii, DTR P. aeruginosa) when other agents cannot be used; does not state an age restriction</t>
        </is>
      </c>
      <c r="H464" s="3" t="inlineStr">
        <is>
          <t>TW §2: adults only (成人病人), MDR Gram-negative bacteria, and explicitly 不適合用於治療泌尿道感染. The hospital says colistimethate is 'preferred' for UTI rather than stating the label exclusion.</t>
        </is>
      </c>
      <c r="I464" s="3" t="inlineStr">
        <is>
          <t>Taiwan insert §2 適應症</t>
        </is>
      </c>
      <c r="J464" s="3" t="inlineStr">
        <is>
          <t>Open</t>
        </is>
      </c>
      <c r="K464" s="3" t="inlineStr"/>
    </row>
    <row r="465">
      <c r="A465" s="3" t="n">
        <v>273</v>
      </c>
      <c r="B465" s="3" t="inlineStr">
        <is>
          <t>Brosym (cefoperazone-sulbactam) (BRO04, BUR01)</t>
        </is>
      </c>
      <c r="C465" s="8" t="inlineStr">
        <is>
          <t>Medium</t>
        </is>
      </c>
      <c r="D465" s="3" t="inlineStr">
        <is>
          <t>Breastfeeding</t>
        </is>
      </c>
      <c r="E465" s="3" t="inlineStr">
        <is>
          <t>LactMed outdated</t>
        </is>
      </c>
      <c r="F465" s="3" t="inlineStr">
        <is>
          <t>Cite LactMed 'acceptable' alongside TW insert advice to stop breastfeeding</t>
        </is>
      </c>
      <c r="G465" s="3" t="inlineStr">
        <is>
          <t>Infant risk cannot be ruled out (MDX)</t>
        </is>
      </c>
      <c r="H465" s="3" t="inlineStr">
        <is>
          <t>LactMed: 'Cefoperazone is acceptable in nursing mothers'. The Taiwan insert says to stop breastfeeding during treatment (BUR01 reproduces this insert text).</t>
        </is>
      </c>
      <c r="I465" s="3" t="inlineStr">
        <is>
          <t>LactMed NBK501355 — https://www.ncbi.nlm.nih.gov/books/NBK501355/; Brosym TW insert §6.2</t>
        </is>
      </c>
      <c r="J465" s="3" t="inlineStr">
        <is>
          <t>Open</t>
        </is>
      </c>
      <c r="K465" s="3" t="inlineStr"/>
    </row>
    <row r="466">
      <c r="A466" s="3" t="n">
        <v>280</v>
      </c>
      <c r="B466" s="3" t="inlineStr">
        <is>
          <t>Brosym (cefoperazone-sulbactam) (BRO04, BUR01)</t>
        </is>
      </c>
      <c r="C466" s="8" t="inlineStr">
        <is>
          <t>Medium</t>
        </is>
      </c>
      <c r="D466" s="3" t="inlineStr">
        <is>
          <t>Breastfeeding</t>
        </is>
      </c>
      <c r="E466" s="3" t="inlineStr">
        <is>
          <t>LactMed outdated</t>
        </is>
      </c>
      <c r="F466" s="3" t="inlineStr">
        <is>
          <t>Replace MDX text with LactMed 'acceptable' plus TW insert advice</t>
        </is>
      </c>
      <c r="G466" s="3" t="inlineStr">
        <is>
          <t>Infant risk cannot be ruled out (MDX)</t>
        </is>
      </c>
      <c r="H466" s="3" t="inlineStr">
        <is>
          <t>TW 仿單 §6.2: stop breastfeeding during treatment. LactMed: 'acceptable in nursing mothers'. BUR01 correctly quotes the insert.</t>
        </is>
      </c>
      <c r="I466" s="3" t="inlineStr">
        <is>
          <t>TFDA insert Brosym §6.2; LactMed NBK501355 https://www.ncbi.nlm.nih.gov/books/NBK501355/</t>
        </is>
      </c>
      <c r="J466" s="3" t="inlineStr">
        <is>
          <t>Open</t>
        </is>
      </c>
      <c r="K466" s="3" t="inlineStr"/>
    </row>
    <row r="467">
      <c r="A467" s="3" t="n">
        <v>274</v>
      </c>
      <c r="B467" s="3" t="inlineStr">
        <is>
          <t>Brosym (cefoperazone-sulbactam) (BRO04, BUR01)</t>
        </is>
      </c>
      <c r="C467" s="8" t="inlineStr">
        <is>
          <t>Medium</t>
        </is>
      </c>
      <c r="D467" s="3" t="inlineStr">
        <is>
          <t>Indication/coverage</t>
        </is>
      </c>
      <c r="E467" s="3" t="inlineStr"/>
      <c r="F467" s="3" t="inlineStr">
        <is>
          <t>Restrict indications to TW insert list; remove septicaemia, meningitis, gonorrhoea</t>
        </is>
      </c>
      <c r="G467" s="3" t="inlineStr">
        <is>
          <t>Septicemia, meningitis, peritonitis, cholecystitis, cholangitis, pelvic inflammatory disease, endometritis, gonorrhea, and other abdominal and genital tract infections (#仿單變更2021, no source given)</t>
        </is>
      </c>
      <c r="H467" s="3" t="inlineStr">
        <is>
          <t>The Taiwan insert indications do not include septicaemia, meningitis or gonorrhoea. They are: upper and lower RTI, upper and lower UTI, peritonitis, cholecystitis, cholangitis and other intra-abdominal infections, pelvic inflammation, endometritis and other genital tract infections, and secondary infections of wounds, burns and surgical sites.</t>
        </is>
      </c>
      <c r="I467" s="3" t="inlineStr">
        <is>
          <t>Brosym TW insert §2 — https://mcp.fda.gov.tw/im_detail_1/%E8%A1%9B%E9%83%A8%E8%97%A5%E8%A3%BD%E5%AD%97%E7%AC%AC058156%E8%99%9F</t>
        </is>
      </c>
      <c r="J467" s="3" t="inlineStr">
        <is>
          <t>Open</t>
        </is>
      </c>
      <c r="K467" s="3" t="inlineStr"/>
    </row>
    <row r="468">
      <c r="A468" s="3" t="n">
        <v>281</v>
      </c>
      <c r="B468" s="3" t="inlineStr">
        <is>
          <t>Brosym (cefoperazone-sulbactam) (BRO04, BUR01)</t>
        </is>
      </c>
      <c r="C468" s="8" t="inlineStr">
        <is>
          <t>Medium</t>
        </is>
      </c>
      <c r="D468" s="3" t="inlineStr">
        <is>
          <t>Indication/coverage</t>
        </is>
      </c>
      <c r="E468" s="3" t="inlineStr"/>
      <c r="F468" s="3" t="inlineStr">
        <is>
          <t>Remove septicemia, meningitis, bone/joint, gonorrhea; align with TW insert (as BUR01)</t>
        </is>
      </c>
      <c r="G468" s="3" t="inlineStr">
        <is>
          <t>Includes septicemia, meningitis, bone and joint infections, gonorrhea ('#仿單變更2021', no source given)</t>
        </is>
      </c>
      <c r="H468" s="3" t="inlineStr">
        <is>
          <t>TW 仿單 §2 lists respiratory, urinary, peritonitis/cholecystitis/cholangitis/IAI, pelvic/endometritis/genital tract, and secondary infections of trauma/burn/surgery only. No septicemia, meningitis, bone/joint or gonorrhea. BUR01 matches the insert.</t>
        </is>
      </c>
      <c r="I468" s="3" t="inlineStr">
        <is>
          <t>TFDA insert Brosym §2 適應症</t>
        </is>
      </c>
      <c r="J468" s="3" t="inlineStr">
        <is>
          <t>Open</t>
        </is>
      </c>
      <c r="K468" s="3" t="inlineStr"/>
    </row>
    <row r="469">
      <c r="A469" s="3" t="n">
        <v>468</v>
      </c>
      <c r="B469" s="3" t="inlineStr">
        <is>
          <t>Cefa (Cefazolin) (CEF01)</t>
        </is>
      </c>
      <c r="C469" s="8" t="inlineStr">
        <is>
          <t>Medium</t>
        </is>
      </c>
      <c r="D469" s="3" t="inlineStr">
        <is>
          <t>Adverse effects</t>
        </is>
      </c>
      <c r="E469" s="3" t="inlineStr">
        <is>
          <t>Missing SCAR (SJS/TEN/DRESS)</t>
        </is>
      </c>
      <c r="F469" s="3" t="inlineStr">
        <is>
          <t>Verify 'common' frequencies; add seizures (renal), PT prolongation/bleeding, DRESS/AGEP</t>
        </is>
      </c>
      <c r="G469" s="3" t="inlineStr">
        <is>
          <t>Common: pruritus, diarrhea, drug-induced eosinophilia</t>
        </is>
      </c>
      <c r="H469" s="3" t="inlineStr">
        <is>
          <t>The US label gives no frequencies. The UK §4.8 table text could not be reliably mapped to frequency bands. The 'common' labelling is unverified, and the field leaves out label warnings for seizures (renal impairment), PT prolongation/bleeding and SCAR (DRESS/AGEP – TW).</t>
        </is>
      </c>
      <c r="I469" s="3" t="inlineStr">
        <is>
          <t>US FDA label ADVERSE REACTIONS – https://dailymed.nlm.nih.gov/dailymed/drugInfo.cfm?setid=922fb1a1-ad4c-4a12-8d5d-00fe13af18e8; TW 仿單 §5.1/§8.3 – https://mcp.fda.gov.tw/im_detail_1/%E8%A1%9B%E7%BD%B2%E8%97%A5%E8%A3%BD%E5%AD%97%E7%AC%AC029447%E8%99%9F</t>
        </is>
      </c>
      <c r="J469" s="3" t="inlineStr">
        <is>
          <t>Open</t>
        </is>
      </c>
      <c r="K469" s="3" t="inlineStr"/>
    </row>
    <row r="470">
      <c r="A470" s="3" t="n">
        <v>465</v>
      </c>
      <c r="B470" s="3" t="inlineStr">
        <is>
          <t>Cefa (Cefazolin) (CEF01)</t>
        </is>
      </c>
      <c r="C470" s="8" t="inlineStr">
        <is>
          <t>Medium</t>
        </is>
      </c>
      <c r="D470" s="3" t="inlineStr">
        <is>
          <t>Contraindication/warning</t>
        </is>
      </c>
      <c r="E470" s="3" t="inlineStr"/>
      <c r="F470" s="3" t="inlineStr">
        <is>
          <t>Limit beta-lactam/penicillin contraindication to immediate/severe reactions (anaphylaxis, SCAR)</t>
        </is>
      </c>
      <c r="G470" s="3" t="inlineStr">
        <is>
          <t>Hypersensitivity to cefazolin, other cephalosporins, penicillins, other beta-lactams, or any component</t>
        </is>
      </c>
      <c r="H470" s="3" t="inlineStr">
        <is>
          <t>The labels limit the non-cephalosporin β-lactam contraindication to immediate or severe reactions: UK §4.3 'History of severe hypersensitivity (e.g. anaphylactic reaction) to other beta-lactam antibiotics'; TW §4 'cephalosporin類過敏及...β-lactam類藥物發生嚴重過敏反應(anaphylaxis)'; US PLR §4.1 'immediate hypersensitivity reactions (e.g., anaphylaxis, serious skin reactions)'. The old US label lists cephalosporin allergy only. The hospital wording would exclude any patient with a non-severe penicillin allergy.</t>
        </is>
      </c>
      <c r="I470" s="3" t="inlineStr">
        <is>
          <t>UK SmPC §4.3 – https://www.medicines.org.uk/emc/product/102464/smpc; TW 仿單 §4 – https://mcp.fda.gov.tw/im_detail_1/%E8%A1%9B%E7%BD%B2%E8%97%A5%E8%A3%BD%E5%AD%97%E7%AC%AC029447%E8%99%9F; US PLR label §4.1 – https://dailymed.nlm.nih.gov/dailymed/drugInfo.cfm?setid=d91a8d13-99a0-4d87-88dc-71cbd37922b4</t>
        </is>
      </c>
      <c r="J470" s="3" t="inlineStr">
        <is>
          <t>Open</t>
        </is>
      </c>
      <c r="K470" s="3" t="inlineStr"/>
    </row>
    <row r="471">
      <c r="A471" s="3" t="n">
        <v>467</v>
      </c>
      <c r="B471" s="3" t="inlineStr">
        <is>
          <t>Cefa (Cefazolin) (CEF01)</t>
        </is>
      </c>
      <c r="C471" s="8" t="inlineStr">
        <is>
          <t>Medium</t>
        </is>
      </c>
      <c r="D471" s="3" t="inlineStr">
        <is>
          <t>Dosing – adult</t>
        </is>
      </c>
      <c r="E471" s="3" t="inlineStr"/>
      <c r="F471" s="3" t="inlineStr">
        <is>
          <t>Label guideline regimens (2 g q8h, durations, combos) with IDSA/AHA citations, not as label dosing</t>
        </is>
      </c>
      <c r="G471" s="3" t="inlineStr">
        <is>
          <t>2 g IV q8h for bloodstream infection, endocarditis (≥6 weeks; prosthetic valve + rifampin + gentamicin), cholecystitis, MSSA osteomyelitis, open fracture, MSSA pneumonia, acute prostatitis</t>
        </is>
      </c>
      <c r="H471" s="3" t="inlineStr">
        <is>
          <t>No label contains 2 g q8h or these durations and combinations. US label: severe 1–1.5 g q6h (rarely up to 12 g/day); UK: up to 6 g/day. These are guideline regimens and need IDSA/AHA citations; they should not be copied as label dosing.</t>
        </is>
      </c>
      <c r="I471" s="3" t="inlineStr">
        <is>
          <t>US FDA label 'Usual Adult Dosage' table – https://dailymed.nlm.nih.gov/dailymed/drugInfo.cfm?setid=922fb1a1-ad4c-4a12-8d5d-00fe13af18e8; UK SmPC §4.2 – https://www.medicines.org.uk/emc/product/102464/smpc</t>
        </is>
      </c>
      <c r="J471" s="3" t="inlineStr">
        <is>
          <t>Open</t>
        </is>
      </c>
      <c r="K471" s="3" t="inlineStr"/>
    </row>
    <row r="472">
      <c r="A472" s="3" t="n">
        <v>475</v>
      </c>
      <c r="B472" s="3" t="inlineStr">
        <is>
          <t>Cefa (Cefazolin) (CEF01)</t>
        </is>
      </c>
      <c r="C472" s="8" t="inlineStr">
        <is>
          <t>Medium</t>
        </is>
      </c>
      <c r="D472" s="3" t="inlineStr">
        <is>
          <t>Dosing – adult</t>
        </is>
      </c>
      <c r="E472" s="3" t="inlineStr"/>
      <c r="F472" s="3" t="inlineStr">
        <is>
          <t>Cite sources (AHA 2015 etc.) for guideline regimens; source or revise prostatitis 4–6 wk course</t>
        </is>
      </c>
      <c r="G472" s="3" t="inlineStr">
        <is>
          <t>Guideline-style regimens (BSI 2 g q8h; endocarditis 2 g q8h × 6 wk, prosthetic valve + rifampin + gentamicin; cholecystitis; MSSA osteomyelitis; open fracture; pneumonia; acute prostatitis 1 g q8h × 4-6 wk), cited to no label</t>
        </is>
      </c>
      <c r="H472" s="3" t="inlineStr">
        <is>
          <t>None of these regimens are in the TW/US/UK labels (TW usual adult dose is 1 g/day; US 0.5-1.5 g q6-8h; UK up to 6 g/day). The endocarditis regimen matches AHA 2015 (PMID 26373316). The prostatitis 4-6 wk course has no source here and is off-label in duration.</t>
        </is>
      </c>
      <c r="I472" s="3" t="inlineStr">
        <is>
          <t>TW 仿單 §3.1; US PLR Table 1; AHA 2015 PMID 26373316</t>
        </is>
      </c>
      <c r="J472" s="3" t="inlineStr">
        <is>
          <t>Open</t>
        </is>
      </c>
      <c r="K472" s="3" t="inlineStr"/>
    </row>
    <row r="473">
      <c r="A473" s="3" t="n">
        <v>287</v>
      </c>
      <c r="B473" s="3" t="inlineStr">
        <is>
          <t>Cefin (Ceftriaxone) (CEF10)</t>
        </is>
      </c>
      <c r="C473" s="8" t="inlineStr">
        <is>
          <t>Medium</t>
        </is>
      </c>
      <c r="D473" s="3" t="inlineStr">
        <is>
          <t>Adverse effects</t>
        </is>
      </c>
      <c r="E473" s="3" t="inlineStr">
        <is>
          <t>Missing SCAR (SJS/TEN/DRESS)</t>
        </is>
      </c>
      <c r="F473" s="3" t="inlineStr">
        <is>
          <t>Add haemolytic anaemia, pseudolithiasis, urolithiasis, pancreatitis, CDAD, neurotoxicity, SJS/TEN/DRESS, Ca precipitation</t>
        </is>
      </c>
      <c r="G473" s="3" t="inlineStr">
        <is>
          <t>Only skin tightness/induration (IM), rash 2%, diarrhea 3%, eosinophilia 6%, leukopenia 2%, thrombocytosis 5%, ALT/AST ↑3%, BUN ↑1%</t>
        </is>
      </c>
      <c r="H473" s="3" t="inlineStr">
        <is>
          <t>Several boxed or highlighted label warnings are missing: immune-mediated haemolytic anaemia (including fatal cases), gallbladder pseudolithiasis, urolithiasis/post-renal ARF, pancreatitis, CDAD, neurotoxicity (encephalopathy, seizures, NCSE; overdose in severe renal impairment), SJS/TEN/DRESS, PT prolongation, and fatal ceftriaxone-calcium precipitation in neonates.</t>
        </is>
      </c>
      <c r="I473" s="3" t="inlineStr">
        <is>
          <t>US FDA WARNINGS/ADVERSE REACTIONS https://dailymed.nlm.nih.gov/dailymed/drugInfo.cfm?setid=8351aa37-552d-471d-b293-c564dcb6ec29 ; UK SmPC 4.4/4.8 ; TW insert 2.4/2.6</t>
        </is>
      </c>
      <c r="J473" s="3" t="inlineStr">
        <is>
          <t>Open</t>
        </is>
      </c>
      <c r="K473" s="3" t="inlineStr"/>
    </row>
    <row r="474">
      <c r="A474" s="3" t="n">
        <v>292</v>
      </c>
      <c r="B474" s="3" t="inlineStr">
        <is>
          <t>Cefin (Ceftriaxone) (CEF10)</t>
        </is>
      </c>
      <c r="C474" s="8" t="inlineStr">
        <is>
          <t>Medium</t>
        </is>
      </c>
      <c r="D474" s="3" t="inlineStr">
        <is>
          <t>Adverse effects</t>
        </is>
      </c>
      <c r="E474" s="3" t="inlineStr">
        <is>
          <t>Missing SCAR (SJS/TEN/DRESS)</t>
        </is>
      </c>
      <c r="F474" s="3" t="inlineStr">
        <is>
          <t>Add label warnings: haemolytic anaemia, CDAD, biliary/renal precipitates, pancreatitis, neurotoxicity, SCAR, PT prolongation</t>
        </is>
      </c>
      <c r="G474" s="3" t="inlineStr">
        <is>
          <t>Lists only eosinophilia 6%, thrombocytosis 5%, diarrhoea 3%, ALT/AST rise 3%, rash 2%, leukopenia 2%, BUN rise 1%, and IM local reactions.</t>
        </is>
      </c>
      <c r="H474" s="3" t="inlineStr">
        <is>
          <t>The labels' warnings cover immune haemolytic anaemia (including fatal cases), CDAD, gallbladder pseudolithiasis, urolithiasis with post-renal ARF, pancreatitis, neurological reactions (encephalopathy, seizures, NCSE, especially in severe renal impairment), SJS/TEN/DRESS/AGEP and PT prolongation. The site has none of these.</t>
        </is>
      </c>
      <c r="I474" s="3" t="inlineStr">
        <is>
          <t>FDA WARNINGS/PRECAUTIONS https://dailymed.nlm.nih.gov/dailymed/drugInfo.cfm?setid=8351aa37-552d-471d-b293-c564dcb6ec29 ; SmPC 4.4/4.8 https://www.medicines.org.uk/emc/product/15077/smpc ; 仿單 2.4/2.6</t>
        </is>
      </c>
      <c r="J474" s="3" t="inlineStr">
        <is>
          <t>Open</t>
        </is>
      </c>
      <c r="K474" s="3" t="inlineStr"/>
    </row>
    <row r="475">
      <c r="A475" s="3" t="n">
        <v>289</v>
      </c>
      <c r="B475" s="3" t="inlineStr">
        <is>
          <t>Cefin (Ceftriaxone) (CEF10)</t>
        </is>
      </c>
      <c r="C475" s="8" t="inlineStr">
        <is>
          <t>Medium</t>
        </is>
      </c>
      <c r="D475" s="3" t="inlineStr">
        <is>
          <t>Dosing – adult</t>
        </is>
      </c>
      <c r="E475" s="3" t="inlineStr"/>
      <c r="F475" s="3" t="inlineStr">
        <is>
          <t>Add insert dosing: 1–2 g q24h (max 4 g/day), prophylaxis 1–2 g 30–90 min pre-op; link 仿單</t>
        </is>
      </c>
      <c r="G475" s="3" t="inlineStr">
        <is>
          <t>Indication-based dosing (bloodstream infection 2 g daily, meningitis 2 g q12h, cUTI 1 g daily, etc.) in Lexicomp style; no insert-based dosing and no 仿單 PDF link</t>
        </is>
      </c>
      <c r="H475" s="3" t="inlineStr">
        <is>
          <t>The stocked product's TW insert gives 1–2 g q24h (up to 4 g once daily), surgical prophylaxis 1–2 g 30–90 min pre-op, and neonatal/paediatric 20–80 mg/kg QD. The hospital page does not link the insert (仿單) PDF.</t>
        </is>
      </c>
      <c r="I475" s="3" t="inlineStr">
        <is>
          <t>TW insert https://mcp.fda.gov.tw/insert/pdfcasefile/i_e5d33886-d20a-423d-9bc2-14ea9861a989</t>
        </is>
      </c>
      <c r="J475" s="3" t="inlineStr">
        <is>
          <t>Open</t>
        </is>
      </c>
      <c r="K475" s="3" t="inlineStr"/>
    </row>
    <row r="476">
      <c r="A476" s="3" t="n">
        <v>295</v>
      </c>
      <c r="B476" s="3" t="inlineStr">
        <is>
          <t>Cefin (Ceftriaxone) (CEF10)</t>
        </is>
      </c>
      <c r="C476" s="8" t="inlineStr">
        <is>
          <t>Medium</t>
        </is>
      </c>
      <c r="D476" s="3" t="inlineStr">
        <is>
          <t>Dosing – adult</t>
        </is>
      </c>
      <c r="E476" s="3" t="inlineStr"/>
      <c r="F476" s="3" t="inlineStr">
        <is>
          <t>AOM: single 1–2 g IM dose; 3-day IM only if severe/failure; remove IV regimen</t>
        </is>
      </c>
      <c r="G476" s="3" t="inlineStr">
        <is>
          <t>IM, IV: 1 to 2 g once daily for 3 days.</t>
        </is>
      </c>
      <c r="H476" s="3" t="inlineStr">
        <is>
          <t>The UK SmPC gives a single IM dose of 1–2 g. A 3-day IM course is only for severely ill patients or after previous treatment failure ('limited data'). The FDA label gives a single IM dose of 50 mg/kg in children. No label gives an IV regimen for AOM.</t>
        </is>
      </c>
      <c r="I476" s="3" t="inlineStr">
        <is>
          <t>UK SmPC 4.2 https://www.medicines.org.uk/emc/product/15077/smpc ; FDA 'PEDIATRIC PATIENTS'</t>
        </is>
      </c>
      <c r="J476" s="3" t="inlineStr">
        <is>
          <t>Open</t>
        </is>
      </c>
      <c r="K476" s="3" t="inlineStr"/>
    </row>
    <row r="477">
      <c r="A477" s="3" t="n">
        <v>297</v>
      </c>
      <c r="B477" s="3" t="inlineStr">
        <is>
          <t>Cefin (Ceftriaxone) (CEF10)</t>
        </is>
      </c>
      <c r="C477" s="8" t="inlineStr">
        <is>
          <t>Medium</t>
        </is>
      </c>
      <c r="D477" s="3" t="inlineStr">
        <is>
          <t>Dosing – adult</t>
        </is>
      </c>
      <c r="E477" s="3" t="inlineStr"/>
      <c r="F477" s="3" t="inlineStr">
        <is>
          <t>Add insert surgical-prophylaxis dose and 4 g/day max; link Cefin 仿單</t>
        </is>
      </c>
      <c r="G477" s="3" t="inlineStr">
        <is>
          <t>There is no package insert PDF link. The adult dosing (bloodstream 2 g daily, cUTI 1 g daily, etc.) follows a tertiary drug reference, not the product insert.</t>
        </is>
      </c>
      <c r="H477" s="3" t="inlineStr">
        <is>
          <t>The Cefin 仿單 adult dosing is 1–2 g q24h, up to 4 g once daily, with surgical prophylaxis of 1–2 g given 30–90 min before surgery. The site does not mention the surgical-prophylaxis dose or the insert's 4 g/day maximum.</t>
        </is>
      </c>
      <c r="I477" s="3" t="inlineStr">
        <is>
          <t>Cefin 仿單 2.2 https://mcp.fda.gov.tw/im_detail_pdf/%E8%A1%9B%E7%BD%B2%E8%97%A5%E8%A3%BD%E5%AD%97%E7%AC%AC038615%E8%99%9F</t>
        </is>
      </c>
      <c r="J477" s="3" t="inlineStr">
        <is>
          <t>Open</t>
        </is>
      </c>
      <c r="K477" s="3" t="inlineStr"/>
    </row>
    <row r="478">
      <c r="A478" s="3" t="n">
        <v>284</v>
      </c>
      <c r="B478" s="3" t="inlineStr">
        <is>
          <t>Cefin (Ceftriaxone) (CEF10)</t>
        </is>
      </c>
      <c r="C478" s="8" t="inlineStr">
        <is>
          <t>Medium</t>
        </is>
      </c>
      <c r="D478" s="3" t="inlineStr">
        <is>
          <t>Dosing – renal/dialysis</t>
        </is>
      </c>
      <c r="E478" s="3" t="inlineStr">
        <is>
          <t>Renal table outdated</t>
        </is>
      </c>
      <c r="F478" s="3" t="inlineStr">
        <is>
          <t>Use label wording: no adjustment if liver normal; max 2 g/day at CrCl &lt;10; monitor levels in dialysis</t>
        </is>
      </c>
      <c r="G478" s="3" t="inlineStr">
        <is>
          <t>CrCl &gt;15 mL/min: no adjustment; CrCl &lt;15: doses &gt;2 g/day not studied, monitor closely; HD/PD and CRRT/PIRRT: no adjustment</t>
        </is>
      </c>
      <c r="H478" s="3" t="inlineStr">
        <is>
          <t>TW Cefin insert 2.2.1 and UK SmPC 4.2: no reduction if liver function is normal, but max 2 g/day when CrCl &lt;10 mL/min. TW adds that plasma levels should be monitored in dialysis. US FDA: no adjustment; max 2 g/day only with combined hepatic dysfunction and significant renal disease. No label uses a CrCl cutoff of 15.</t>
        </is>
      </c>
      <c r="I478" s="3" t="inlineStr">
        <is>
          <t>TW insert https://mcp.fda.gov.tw/im_detail_pdf/%E8%A1%9B%E7%BD%B2%E8%97%A5%E8%A3%BD%E5%AD%97%E7%AC%AC038615%E8%99%9F ; UK SmPC https://www.medicines.org.uk/emc/product/15077/smpc ; US FDA https://dailymed.nlm.nih.gov/dailymed/drugInfo.cfm?setid=8351aa37-552d-471d-b293-c564dcb6ec29</t>
        </is>
      </c>
      <c r="J478" s="3" t="inlineStr">
        <is>
          <t>Open</t>
        </is>
      </c>
      <c r="K478" s="3" t="inlineStr"/>
    </row>
    <row r="479">
      <c r="A479" s="3" t="n">
        <v>290</v>
      </c>
      <c r="B479" s="3" t="inlineStr">
        <is>
          <t>Cefin (Ceftriaxone) (CEF10)</t>
        </is>
      </c>
      <c r="C479" s="8" t="inlineStr">
        <is>
          <t>Medium</t>
        </is>
      </c>
      <c r="D479" s="3" t="inlineStr">
        <is>
          <t>Dosing – renal/dialysis</t>
        </is>
      </c>
      <c r="E479" s="3" t="inlineStr">
        <is>
          <t>Renal table outdated</t>
        </is>
      </c>
      <c r="F479" s="3" t="inlineStr">
        <is>
          <t>Replace CrCl 15 cutoff with max 2 g/day at CrCl &lt;10 (TW/UK)</t>
        </is>
      </c>
      <c r="G479" s="3" t="inlineStr">
        <is>
          <t>CrCl &gt;15 mL/min: no dosage adjustment. Below 15 mL/min: doses above 2 g/day have not been studied and need close monitoring.</t>
        </is>
      </c>
      <c r="H479" s="3" t="inlineStr">
        <is>
          <t>The Cefin 仿單 and UK SmPC say no reduction if hepatic function is normal, with a 2 g/day maximum only when CrCl is below 10 mL/min. The US FDA label says no adjustment, with a 2 g/day cap only when hepatic dysfunction and significant renal disease coexist. No label uses a CrCl 15 cutoff.</t>
        </is>
      </c>
      <c r="I479" s="3" t="inlineStr">
        <is>
          <t>Cefin 仿單 2.2.1 https://mcp.fda.gov.tw/im_detail_pdf/%E8%A1%9B%E7%BD%B2%E8%97%A5%E8%A3%BD%E5%AD%97%E7%AC%AC038615%E8%99%9F ; UK SmPC 4.2 https://www.medicines.org.uk/emc/product/15077/smpc ; FDA Precautions https://dailymed.nlm.nih.gov/dailymed/drugInfo.cfm?setid=8351aa37-552d-471d-b293-c564dcb6ec29</t>
        </is>
      </c>
      <c r="J479" s="3" t="inlineStr">
        <is>
          <t>Open</t>
        </is>
      </c>
      <c r="K479" s="3" t="inlineStr"/>
    </row>
    <row r="480">
      <c r="A480" s="3" t="n">
        <v>305</v>
      </c>
      <c r="B480" s="3" t="inlineStr">
        <is>
          <t>Cefmore (Cefoxitin) (CEF08)</t>
        </is>
      </c>
      <c r="C480" s="8" t="inlineStr">
        <is>
          <t>Medium</t>
        </is>
      </c>
      <c r="D480" s="3" t="inlineStr">
        <is>
          <t>Adverse effects</t>
        </is>
      </c>
      <c r="E480" s="3" t="inlineStr">
        <is>
          <t>Missing SCAR (SJS/TEN/DRESS)</t>
        </is>
      </c>
      <c r="F480" s="3" t="inlineStr">
        <is>
          <t>Add rash, eosinophilia, fever, leukopenia/neutropenia, LFT and renal rises, TEN</t>
        </is>
      </c>
      <c r="G480" s="3" t="inlineStr">
        <is>
          <t>Common: thrombophlebitis, diarrhea; Serious: erythema multiforme, SJS, pseudomembranous enterocolitis, anaphylaxis</t>
        </is>
      </c>
      <c r="H480" s="3" t="inlineStr">
        <is>
          <t>The product insert also lists rash/pruritus, eosinophilia, fever, transient leukopenia/neutropenia, transient rises in SGOT/SGPT/LDH/ALP, rises in creatinine/urea, and TEN.</t>
        </is>
      </c>
      <c r="I480" s="3" t="inlineStr">
        <is>
          <t>Taiwan 仿單 §8.1.1-8.1.2</t>
        </is>
      </c>
      <c r="J480" s="3" t="inlineStr">
        <is>
          <t>Open</t>
        </is>
      </c>
      <c r="K480" s="3" t="inlineStr"/>
    </row>
    <row r="481">
      <c r="A481" s="3" t="n">
        <v>298</v>
      </c>
      <c r="B481" s="3" t="inlineStr">
        <is>
          <t>Cefmore (Cefoxitin) (CEF08)</t>
        </is>
      </c>
      <c r="C481" s="8" t="inlineStr">
        <is>
          <t>Medium</t>
        </is>
      </c>
      <c r="D481" s="3" t="inlineStr">
        <is>
          <t>Dosing – pediatric</t>
        </is>
      </c>
      <c r="E481" s="3" t="inlineStr"/>
      <c r="F481" s="3" t="inlineStr">
        <is>
          <t>Pediatric: 80–160 mg/kg/day divided in 4–6 doses (not 3–6), max 12 g/day</t>
        </is>
      </c>
      <c r="G481" s="3" t="inlineStr">
        <is>
          <t>(&gt;3 months of age and Children) 80 to 160 mg/kg/day in 3 to 6 equally divided doses. Maximum daily dosage is 12 g.</t>
        </is>
      </c>
      <c r="H481" s="3" t="inlineStr">
        <is>
          <t>80-160 mg/kg/day divided into FOUR to six equal doses (q4-6h); max 12 g/day</t>
        </is>
      </c>
      <c r="I481" s="3" t="inlineStr">
        <is>
          <t>Taiwan 仿單 Cefmore §3.3 ('分4～6次使用'); US FDA label D&amp;A – Pediatric Patients – https://mcp.fda.gov.tw/im_detail_1/%E8%A1%9B%E7%BD%B2%E8%97%A5%E8%A3%BD%E5%AD%97%E7%AC%AC038843%E8%99%9F</t>
        </is>
      </c>
      <c r="J481" s="3" t="inlineStr">
        <is>
          <t>Open</t>
        </is>
      </c>
      <c r="K481" s="3" t="inlineStr"/>
    </row>
    <row r="482">
      <c r="A482" s="3" t="n">
        <v>307</v>
      </c>
      <c r="B482" s="3" t="inlineStr">
        <is>
          <t>Cefmore (Cefoxitin) (CEF08)</t>
        </is>
      </c>
      <c r="C482" s="8" t="inlineStr">
        <is>
          <t>Medium</t>
        </is>
      </c>
      <c r="D482" s="3" t="inlineStr">
        <is>
          <t>Dosing – pediatric</t>
        </is>
      </c>
      <c r="E482" s="3" t="inlineStr"/>
      <c r="F482" s="3" t="inlineStr">
        <is>
          <t>Pediatric divided in 4–6 doses (not 3–6), max 12 g/day</t>
        </is>
      </c>
      <c r="G482" s="3" t="inlineStr">
        <is>
          <t>(&gt;3 months of age and Children) 80 to 160 mg/kg/day in 3 to 6 equally divided doses. Maximum daily dosage is 12 g.</t>
        </is>
      </c>
      <c r="H482" s="3" t="inlineStr">
        <is>
          <t>80-160 mg/kg/day divided into 4 to 6 equal doses (分4～6次使用); max 12 g/day</t>
        </is>
      </c>
      <c r="I482" s="3" t="inlineStr">
        <is>
          <t>Taiwan insert §3.3 (衛署藥製字第038843號); US FDA label DOSAGE AND ADMINISTRATION – Pediatric Patients (DailyMed setid 658a0dc6…, v8 2026)</t>
        </is>
      </c>
      <c r="J482" s="3" t="inlineStr">
        <is>
          <t>Open</t>
        </is>
      </c>
      <c r="K482" s="3" t="inlineStr"/>
    </row>
    <row r="483">
      <c r="A483" s="3" t="n">
        <v>302</v>
      </c>
      <c r="B483" s="3" t="inlineStr">
        <is>
          <t>Cefmore (Cefoxitin) (CEF08)</t>
        </is>
      </c>
      <c r="C483" s="8" t="inlineStr">
        <is>
          <t>Medium</t>
        </is>
      </c>
      <c r="D483" s="3" t="inlineStr">
        <is>
          <t>Indication/coverage</t>
        </is>
      </c>
      <c r="E483" s="3" t="inlineStr"/>
      <c r="F483" s="3" t="inlineStr">
        <is>
          <t>Remove duplicate septicemia; add intra-abdominal infection and surgical prophylaxis; cite TW indication</t>
        </is>
      </c>
      <c r="G483" s="3" t="inlineStr">
        <is>
          <t>US-label (Micromedex-style) indication list. Septicemia appears twice ('Bacteremia/sepsis' and 'Septicemia'). Intra-abdominal infection and surgical prophylaxis are missing.</t>
        </is>
      </c>
      <c r="H483" s="3" t="inlineStr">
        <is>
          <t>Taiwan 仿單 §2 適應症: 葡萄球菌、鏈球菌、肺炎雙球菌、腦膜炎球菌及其它具有感受性細菌引起之感染症. The FDA label also lists intra-abdominal infections and prophylaxis.</t>
        </is>
      </c>
      <c r="I483" s="3" t="inlineStr">
        <is>
          <t>Taiwan 仿單 §2; US FDA label INDICATIONS AND USAGE (3) and Prevention</t>
        </is>
      </c>
      <c r="J483" s="3" t="inlineStr">
        <is>
          <t>Open</t>
        </is>
      </c>
      <c r="K483" s="3" t="inlineStr"/>
    </row>
    <row r="484">
      <c r="A484" s="3" t="n">
        <v>312</v>
      </c>
      <c r="B484" s="3" t="inlineStr">
        <is>
          <t>Cefmore (Cefoxitin) (CEF08)</t>
        </is>
      </c>
      <c r="C484" s="8" t="inlineStr">
        <is>
          <t>Medium</t>
        </is>
      </c>
      <c r="D484" s="3" t="inlineStr">
        <is>
          <t>Indication/coverage</t>
        </is>
      </c>
      <c r="E484" s="3" t="inlineStr"/>
      <c r="F484" s="3" t="inlineStr">
        <is>
          <t>Remove duplicate septicemia; add prophylaxis; reference TW-approved indication</t>
        </is>
      </c>
      <c r="G484" s="3" t="inlineStr">
        <is>
          <t>US-label indication list (Bacteremia/sepsis, bone &amp; joint, gynaecological, LRTI, Septicemia, SSSI, UTI). Bacteremia/sepsis and Septicemia are duplicated, and surgical prophylaxis is omitted.</t>
        </is>
      </c>
      <c r="H484" s="3" t="inlineStr">
        <is>
          <t>The Taiwan-approved indication for the stocked product is: 葡萄球菌、鏈球菌、肺炎雙球菌、腦膜炎球菌及其它具有感受性細菌引起之感染症. The US label adds prophylaxis (GI surgery, hysterectomy, C-section).</t>
        </is>
      </c>
      <c r="I484" s="3" t="inlineStr">
        <is>
          <t>Taiwan insert §2; US FDA label INDICATIONS AND USAGE – Prevention</t>
        </is>
      </c>
      <c r="J484" s="3" t="inlineStr">
        <is>
          <t>Open</t>
        </is>
      </c>
      <c r="K484" s="3" t="inlineStr"/>
    </row>
    <row r="485">
      <c r="A485" s="3" t="n">
        <v>484</v>
      </c>
      <c r="B485" s="3" t="inlineStr">
        <is>
          <t>Cephalexin (CEP02, ULE02)</t>
        </is>
      </c>
      <c r="C485" s="8" t="inlineStr">
        <is>
          <t>Medium</t>
        </is>
      </c>
      <c r="D485" s="3" t="inlineStr">
        <is>
          <t>Administration/compatibility</t>
        </is>
      </c>
      <c r="E485" s="3" t="inlineStr"/>
      <c r="F485" s="3" t="inlineStr">
        <is>
          <t>Reconstituted Ulexin suspension: refrigerate, use within 1 week (not 14 days)</t>
        </is>
      </c>
      <c r="G485" s="3" t="inlineStr">
        <is>
          <t>安定性: 'stable for 14 days if stored in the refrigerator'; 儲存方式: 2-8℃冷藏，並於兩周內用畢</t>
        </is>
      </c>
      <c r="H485" s="3" t="inlineStr">
        <is>
          <t>TW Ulexin insert 3.2/13.4: 溶解後請儲存於冰箱中，並於一星期內服用完畢 (use within 1 week). The UK Keflex SmPC 6.3 says 10 days for its own product. The stocked product's insert (1 week) should govern.</t>
        </is>
      </c>
      <c r="I485" s="3" t="inlineStr">
        <is>
          <t>TW insert Ulexin §3.2, §13.4 https://mcp.fda.gov.tw/im_detail_1/衛署藥製字第017280號</t>
        </is>
      </c>
      <c r="J485" s="3" t="inlineStr">
        <is>
          <t>Open</t>
        </is>
      </c>
      <c r="K485" s="3" t="inlineStr"/>
    </row>
    <row r="486">
      <c r="A486" s="3" t="n">
        <v>492</v>
      </c>
      <c r="B486" s="3" t="inlineStr">
        <is>
          <t>Cephalexin (CEP02, ULE02)</t>
        </is>
      </c>
      <c r="C486" s="8" t="inlineStr">
        <is>
          <t>Medium</t>
        </is>
      </c>
      <c r="D486" s="3" t="inlineStr">
        <is>
          <t>Administration/compatibility</t>
        </is>
      </c>
      <c r="E486" s="3" t="inlineStr"/>
      <c r="F486" s="3" t="inlineStr">
        <is>
          <t>Reconstituted Ulexin: use within 1 week refrigerated, not 2 weeks</t>
        </is>
      </c>
      <c r="G486" s="3" t="inlineStr">
        <is>
          <t>'stable for 14 days if stored in the refrigerator'; '2-8℃冷藏貯藏，並於兩周內用畢'</t>
        </is>
      </c>
      <c r="H486" s="3" t="inlineStr">
        <is>
          <t>Ulexin insert 3.2/13.4: '溶解後請儲存於冰箱中，並於一星期內服用完畢' (use within 1 week). This is a storage item, so it is for the hospital only and not for Notion.</t>
        </is>
      </c>
      <c r="I486" s="3" t="inlineStr">
        <is>
          <t>TW 仿單 Ulexin 3.2, 13.4 — https://mcp.fda.gov.tw/im_detail_1/%E8%A1%9B%E7%BD%B2%E8%97%A5%E8%A3%BD%E5%AD%97%E7%AC%AC017280%E8%99%9F</t>
        </is>
      </c>
      <c r="J486" s="3" t="inlineStr">
        <is>
          <t>Open</t>
        </is>
      </c>
      <c r="K486" s="3" t="inlineStr"/>
    </row>
    <row r="487">
      <c r="A487" s="3" t="n">
        <v>320</v>
      </c>
      <c r="B487" s="3" t="inlineStr">
        <is>
          <t>Cetazone (Cefmetazole) (CET03)</t>
        </is>
      </c>
      <c r="C487" s="8" t="inlineStr">
        <is>
          <t>Medium</t>
        </is>
      </c>
      <c r="D487" s="3" t="inlineStr">
        <is>
          <t>Adverse effects</t>
        </is>
      </c>
      <c r="E487" s="3" t="inlineStr"/>
      <c r="F487" s="3" t="inlineStr">
        <is>
          <t>Add shock, rash/urticaria, BUN and LFT rises, eosinophilia, RBC decrease, headache</t>
        </is>
      </c>
      <c r="G487" s="3" t="inlineStr">
        <is>
          <t>Leukopenia, nausea, diarrhoea, superinfection</t>
        </is>
      </c>
      <c r="H487" s="3" t="inlineStr">
        <is>
          <t>Consistent with TW §8.1, but incomplete. The label also lists shock, rash/urticaria, BUN rise, AST/ALT/ALP rise, eosinophilia, RBC decrease and headache.</t>
        </is>
      </c>
      <c r="I487" s="3" t="inlineStr">
        <is>
          <t>TW仿單 §8.1, https://mcp.fda.gov.tw/im_detail_1/%E8%A1%9B%E7%BD%B2%E8%97%A5%E8%A3%BD%E5%AD%97%E7%AC%AC035182%E8%99%9F</t>
        </is>
      </c>
      <c r="J487" s="3" t="inlineStr">
        <is>
          <t>Open</t>
        </is>
      </c>
      <c r="K487" s="3" t="inlineStr"/>
    </row>
    <row r="488">
      <c r="A488" s="3" t="n">
        <v>325</v>
      </c>
      <c r="B488" s="3" t="inlineStr">
        <is>
          <t>Cetazone (Cefmetazole) (CET03)</t>
        </is>
      </c>
      <c r="C488" s="8" t="inlineStr">
        <is>
          <t>Medium</t>
        </is>
      </c>
      <c r="D488" s="3" t="inlineStr">
        <is>
          <t>Adverse effects</t>
        </is>
      </c>
      <c r="E488" s="3" t="inlineStr"/>
      <c r="F488" s="3" t="inlineStr">
        <is>
          <t>Add shock, rash, BUN/LFT rises, eosinophilia, RBC decrease, vomiting, headache, injection pain</t>
        </is>
      </c>
      <c r="G488" s="3" t="inlineStr">
        <is>
          <t>Leukopenia, nausea, diarrhea, and superinfection</t>
        </is>
      </c>
      <c r="H488" s="3" t="inlineStr">
        <is>
          <t>TW §8.1 also lists shock, hypersensitivity rash/urticaria, BUN rise, AST/ALT/ALP rise, eosinophilia, decreased RBC, vomiting and headache. §5.1(8) adds vascular pain at the injection site. The hospital list is incomplete.</t>
        </is>
      </c>
      <c r="I488" s="3" t="inlineStr">
        <is>
          <t>TW 仿單 §8.1, §5.1(8) — https://mcp.fda.gov.tw/im_detail_1/%E8%A1%9B%E7%BD%B2%E8%97%A5%E8%A3%BD%E5%AD%97%E7%AC%AC035182%E8%99%9F</t>
        </is>
      </c>
      <c r="J488" s="3" t="inlineStr">
        <is>
          <t>Open</t>
        </is>
      </c>
      <c r="K488" s="3" t="inlineStr"/>
    </row>
    <row r="489">
      <c r="A489" s="3" t="n">
        <v>317</v>
      </c>
      <c r="B489" s="3" t="inlineStr">
        <is>
          <t>Cetazone (Cefmetazole) (CET03)</t>
        </is>
      </c>
      <c r="C489" s="8" t="inlineStr">
        <is>
          <t>Medium</t>
        </is>
      </c>
      <c r="D489" s="3" t="inlineStr">
        <is>
          <t>Dosing – renal/dialysis</t>
        </is>
      </c>
      <c r="E489" s="3" t="inlineStr">
        <is>
          <t>Renal table outdated</t>
        </is>
      </c>
      <c r="F489" s="3" t="inlineStr">
        <is>
          <t>Flag renal table as from discontinued US label; cite PK literature; TW: caution in severe impairment</t>
        </is>
      </c>
      <c r="G489" s="3" t="inlineStr">
        <is>
          <t>CrCl 30–49: 1–2 g q16h; 10–29: 1–2 g q24h; &lt;10: 1–2 g q48h after HD (appears derived from the discontinued US Zefazone label)</t>
        </is>
      </c>
      <c r="H489" s="3" t="inlineStr">
        <is>
          <t>The TW insert has no renal dose table (§6.7 '目前尚無資訊'; §5.1(5) '高度腎障害患者須慎重投與'). No current US or UK label exists to support the table. The verified PK study (PMID 2344159) supports standard doses at extended intervals and a standard dose after HD, but gives no specific interval table.</t>
        </is>
      </c>
      <c r="I489" s="3" t="inlineStr">
        <is>
          <t>TW仿單 §5.1(5), §6.7, https://mcp.fda.gov.tw/im_detail_1/%E8%A1%9B%E7%BD%B2%E8%97%A5%E8%A3%BD%E5%AD%97%E7%AC%AC035182%E8%99%9F; Drugs@FDA NDA050637 Discontinued</t>
        </is>
      </c>
      <c r="J489" s="3" t="inlineStr">
        <is>
          <t>Open</t>
        </is>
      </c>
      <c r="K489" s="3" t="inlineStr"/>
    </row>
    <row r="490">
      <c r="A490" s="3" t="n">
        <v>322</v>
      </c>
      <c r="B490" s="3" t="inlineStr">
        <is>
          <t>Cetazone (Cefmetazole) (CET03)</t>
        </is>
      </c>
      <c r="C490" s="8" t="inlineStr">
        <is>
          <t>Medium</t>
        </is>
      </c>
      <c r="D490" s="3" t="inlineStr">
        <is>
          <t>Dosing – renal/dialysis</t>
        </is>
      </c>
      <c r="E490" s="3" t="inlineStr">
        <is>
          <t>Renal table outdated</t>
        </is>
      </c>
      <c r="F490" s="3" t="inlineStr">
        <is>
          <t>Mark renal table as non-label (Zefazone); consider PK data suggesting more frequent dosing at CrCl &lt;30</t>
        </is>
      </c>
      <c r="G490" s="3" t="inlineStr">
        <is>
          <t>CrCl 30-49 mL/min/1.73m2: 1-2 g q16h; 10-29: 1-2 g q24h; &lt;10: 1-2 g q48h after hemodialysis</t>
        </is>
      </c>
      <c r="H490" s="3" t="inlineStr">
        <is>
          <t>The TW insert for the stocked product has no renal table (§6.7 目前尚無資訊; §5.1(5) caution in severe renal impairment). There is no current FDA or UK label. The values appear to come from the discontinued US Zefazone label (NDA050637, Discontinued). Halstenson 1990 (PMID 2344159) supports standard doses at extended intervals with dosing after HD. ESBL PK/PD data (PMID 35453208) suggest more frequent dosing, such as 1 g q12h at CCr &lt;30.</t>
        </is>
      </c>
      <c r="I490" s="3" t="inlineStr">
        <is>
          <t>TW 仿單 §5.1, §6.7 — https://mcp.fda.gov.tw/im_detail_1/%E8%A1%9B%E7%BD%B2%E8%97%A5%E8%A3%BD%E5%AD%97%E7%AC%AC035182%E8%99%9F ; Drugs@FDA NDA050637 (Discontinued) — https://api.fda.gov/drug/drugsfda.json?search=products.active_ingredients.name:cefmetazole</t>
        </is>
      </c>
      <c r="J490" s="3" t="inlineStr">
        <is>
          <t>Open</t>
        </is>
      </c>
      <c r="K490" s="3" t="inlineStr"/>
    </row>
    <row r="491">
      <c r="A491" s="3" t="n">
        <v>318</v>
      </c>
      <c r="B491" s="3" t="inlineStr">
        <is>
          <t>Cetazone (Cefmetazole) (CET03)</t>
        </is>
      </c>
      <c r="C491" s="8" t="inlineStr">
        <is>
          <t>Medium</t>
        </is>
      </c>
      <c r="D491" s="3" t="inlineStr">
        <is>
          <t>Indication/coverage</t>
        </is>
      </c>
      <c r="E491" s="3" t="inlineStr"/>
      <c r="F491" s="3" t="inlineStr">
        <is>
          <t>Align with TW indications; SSTI and surgical prophylaxis not label-stated</t>
        </is>
      </c>
      <c r="G491" s="3" t="inlineStr">
        <is>
          <t>Skin/soft tissue, intra-abdominal, surgical prophylaxis, respiratory, urinary</t>
        </is>
      </c>
      <c r="H491" s="3" t="inlineStr">
        <is>
          <t>TW insert §2: infections caused by susceptible staphylococci, streptococci, pneumococci, meningococci and others. §10.1(3) lists sepsis, bronchitis, pneumonia, lung abscess, empyema, cholangitis/cholecystitis, peritonitis, pyelonephritis/cystitis and intrauterine infection. Skin/soft-tissue infection and surgical prophylaxis are not stated.</t>
        </is>
      </c>
      <c r="I491" s="3" t="inlineStr">
        <is>
          <t>TW仿單 §2, §10.1, https://mcp.fda.gov.tw/im_detail_1/%E8%A1%9B%E7%BD%B2%E8%97%A5%E8%A3%BD%E5%AD%97%E7%AC%AC035182%E8%99%9F</t>
        </is>
      </c>
      <c r="J491" s="3" t="inlineStr">
        <is>
          <t>Open</t>
        </is>
      </c>
      <c r="K491" s="3" t="inlineStr"/>
    </row>
    <row r="492">
      <c r="A492" s="3" t="n">
        <v>323</v>
      </c>
      <c r="B492" s="3" t="inlineStr">
        <is>
          <t>Cetazone (Cefmetazole) (CET03)</t>
        </is>
      </c>
      <c r="C492" s="8" t="inlineStr">
        <is>
          <t>Medium</t>
        </is>
      </c>
      <c r="D492" s="3" t="inlineStr">
        <is>
          <t>Indication/coverage</t>
        </is>
      </c>
      <c r="E492" s="3" t="inlineStr"/>
      <c r="F492" s="3" t="inlineStr">
        <is>
          <t>Align indication list with TW §2/§10.1; SSTI and prophylaxis not label-stated</t>
        </is>
      </c>
      <c r="G492" s="3" t="inlineStr">
        <is>
          <t>1. Skin and soft tissue infection 2. Infectious disease of abdomen 3. Postoperative infection; Prophylaxis 4. Respiratory tract infection 5. Urinary tract infectious disease</t>
        </is>
      </c>
      <c r="H492" s="3" t="inlineStr">
        <is>
          <t>TW §2 covers infections caused by susceptible staphylococci, streptococci, pneumococci, meningococci and others. §10.1(3) lists sepsis, bronchitis/bronchiectasis infection/pneumonia/lung abscess/empyema, cholangitis/cholecystitis, peritonitis, pyelonephritis/cystitis and intrauterine infection. The TW insert does not state skin/soft-tissue infection or surgical prophylaxis.</t>
        </is>
      </c>
      <c r="I492" s="3" t="inlineStr">
        <is>
          <t>TW 仿單 §2, §10.1 — https://mcp.fda.gov.tw/im_detail_1/%E8%A1%9B%E7%BD%B2%E8%97%A5%E8%A3%BD%E5%AD%97%E7%AC%AC035182%E8%99%9F</t>
        </is>
      </c>
      <c r="J492" s="3" t="inlineStr">
        <is>
          <t>Open</t>
        </is>
      </c>
      <c r="K492" s="3" t="inlineStr"/>
    </row>
    <row r="493">
      <c r="A493" s="3" t="n">
        <v>521</v>
      </c>
      <c r="B493" s="3" t="inlineStr">
        <is>
          <t>Cexime (Cefixime) (CEX02)</t>
        </is>
      </c>
      <c r="C493" s="8" t="inlineStr">
        <is>
          <t>Medium</t>
        </is>
      </c>
      <c r="D493" s="3" t="inlineStr">
        <is>
          <t>Administration/compatibility</t>
        </is>
      </c>
      <c r="E493" s="3" t="inlineStr"/>
      <c r="F493" s="3" t="inlineStr">
        <is>
          <t>Note 400 mg dose = 4 × 100 mg capsules; capsules not for otitis media</t>
        </is>
      </c>
      <c r="G493" s="3" t="inlineStr">
        <is>
          <t>Lists 400 mg once-daily regimens for a 100 mg capsule (CEX02)</t>
        </is>
      </c>
      <c r="H493" s="3" t="inlineStr">
        <is>
          <t>The US 400 mg regimen comes from a 400 mg capsule label. With the stocked 100 mg capsule it takes 4 capsules per dose. The US label also says capsules must not replace the suspension or chewable form for otitis media, and the hospital stocks no suspension.</t>
        </is>
      </c>
      <c r="I493" s="3" t="inlineStr">
        <is>
          <t>US cefixime capsule §2.1–2.2, §3 https://dailymed.nlm.nih.gov/dailymed/drugInfo.cfm?setid=9cdb156f-7a99-413e-b49a-ffafaf9e93fe</t>
        </is>
      </c>
      <c r="J493" s="3" t="inlineStr">
        <is>
          <t>Open</t>
        </is>
      </c>
      <c r="K493" s="3" t="inlineStr"/>
    </row>
    <row r="494">
      <c r="A494" s="3" t="n">
        <v>529</v>
      </c>
      <c r="B494" s="3" t="inlineStr">
        <is>
          <t>Cexime (Cefixime) (CEX02)</t>
        </is>
      </c>
      <c r="C494" s="8" t="inlineStr">
        <is>
          <t>Medium</t>
        </is>
      </c>
      <c r="D494" s="3" t="inlineStr">
        <is>
          <t>Breastfeeding</t>
        </is>
      </c>
      <c r="E494" s="3" t="inlineStr"/>
      <c r="F494" s="3" t="inlineStr">
        <is>
          <t>Add lactation: LactMed acceptable; monitor infant for diarrhea/thrush</t>
        </is>
      </c>
      <c r="G494" s="3" t="inlineStr">
        <is>
          <t>(blank)</t>
        </is>
      </c>
      <c r="H494" s="3" t="inlineStr">
        <is>
          <t>LactMed: acceptable; monitor infant for diarrhoea/thrush.</t>
        </is>
      </c>
      <c r="I494" s="3" t="inlineStr">
        <is>
          <t>https://www.ncbi.nlm.nih.gov/books/NBK501344/</t>
        </is>
      </c>
      <c r="J494" s="3" t="inlineStr">
        <is>
          <t>Open</t>
        </is>
      </c>
      <c r="K494" s="3" t="inlineStr"/>
    </row>
    <row r="495">
      <c r="A495" s="3" t="n">
        <v>520</v>
      </c>
      <c r="B495" s="3" t="inlineStr">
        <is>
          <t>Cexime (Cefixime) (CEX02)</t>
        </is>
      </c>
      <c r="C495" s="8" t="inlineStr">
        <is>
          <t>Medium</t>
        </is>
      </c>
      <c r="D495" s="3" t="inlineStr">
        <is>
          <t>Dosing – adult</t>
        </is>
      </c>
      <c r="E495" s="3" t="inlineStr"/>
      <c r="F495" s="3" t="inlineStr">
        <is>
          <t>Show TW insert dose 50–100 mg BID (200 mg BID severe); mark 800 mg gonorrhea as CDC alternative</t>
        </is>
      </c>
      <c r="G495" s="3" t="inlineStr">
        <is>
          <t>US-style adult doses: gonococcal 800 mg single dose; rhinosinusitis 400 mg daily ± clindamycin; strep pharyngitis 400 mg daily ×10 d; typhoid 100–200 mg BID; UTI 400 mg daily</t>
        </is>
      </c>
      <c r="H495" s="3" t="inlineStr">
        <is>
          <t>The stocked product's own TW insert says 50–100 mg BID, and 200 mg BID if severe. The US label gives 400 mg/day, with 400 mg as a single dose for gonorrhoea. The 800 mg gonorrhoea dose is the CDC 2020 alternative (only if ceftriaxone is unavailable), not a label dose. The hospital entry ignores the TW insert entirely.</t>
        </is>
      </c>
      <c r="I495" s="3" t="inlineStr">
        <is>
          <t>TW insert 【用法・用量】; US §2.1; CDC PMID 33332296</t>
        </is>
      </c>
      <c r="J495" s="3" t="inlineStr">
        <is>
          <t>Open</t>
        </is>
      </c>
      <c r="K495" s="3" t="inlineStr"/>
    </row>
    <row r="496">
      <c r="A496" s="3" t="n">
        <v>525</v>
      </c>
      <c r="B496" s="3" t="inlineStr">
        <is>
          <t>Cexime (Cefixime) (CEX02)</t>
        </is>
      </c>
      <c r="C496" s="8" t="inlineStr">
        <is>
          <t>Medium</t>
        </is>
      </c>
      <c r="D496" s="3" t="inlineStr">
        <is>
          <t>Dosing – adult</t>
        </is>
      </c>
      <c r="E496" s="3" t="inlineStr"/>
      <c r="F496" s="3" t="inlineStr">
        <is>
          <t>Label 800 mg as CDC alternative only when ceftriaxone unavailable; US label 400 mg ×1</t>
        </is>
      </c>
      <c r="G496" s="3" t="inlineStr">
        <is>
          <t>800 mg as a single dose</t>
        </is>
      </c>
      <c r="H496" s="3" t="inlineStr">
        <is>
          <t>The US label gives 400 mg ×1 for uncomplicated cervical/urethral gonorrhoea. The 800 mg dose is CDC 2020/2021 guidance and is only an alternative when ceftriaxone is unavailable (+ doxycycline if chlamydia is not excluded). The hospital page does not say it is guideline-based or second-line.</t>
        </is>
      </c>
      <c r="I496" s="3" t="inlineStr">
        <is>
          <t>https://dailymed.nlm.nih.gov/dailymed/drugInfo.cfm?setid=9cdb156f-7a99-413e-b49a-ffafaf9e93fe (2.1); CDC MMWR 2020 PMID 33332296</t>
        </is>
      </c>
      <c r="J496" s="3" t="inlineStr">
        <is>
          <t>Open</t>
        </is>
      </c>
      <c r="K496" s="3" t="inlineStr"/>
    </row>
    <row r="497">
      <c r="A497" s="3" t="n">
        <v>527</v>
      </c>
      <c r="B497" s="3" t="inlineStr">
        <is>
          <t>Cexime (Cefixime) (CEX02)</t>
        </is>
      </c>
      <c r="C497" s="8" t="inlineStr">
        <is>
          <t>Medium</t>
        </is>
      </c>
      <c r="D497" s="3" t="inlineStr">
        <is>
          <t>Dosing – adult</t>
        </is>
      </c>
      <c r="E497" s="3" t="inlineStr"/>
      <c r="F497" s="3" t="inlineStr">
        <is>
          <t>Reference TW insert 50–100 mg BID; note 4 capsules per 400 mg; cite clindamycin/typhoid sources</t>
        </is>
      </c>
      <c r="G497" s="3" t="inlineStr">
        <is>
          <t>US-style adult regimens: 400 mg daily (UTI, pharyngitis ×10 d, rhinosinusitis 5–7 d ± clindamycin), typhoid 100–200 mg BID</t>
        </is>
      </c>
      <c r="H497" s="3" t="inlineStr">
        <is>
          <t>The stocked product's 仿單 says 50–100 mg BID, and 200 mg BID for severe infection. With the 100 mg capsule, the US 400 mg/day regimen means 4 capsules per dose; the hospital page does not say this. The rhinosinusitis '+/- clindamycin' and the typhoid regimen have no cited source.</t>
        </is>
      </c>
      <c r="I497" s="3" t="inlineStr">
        <is>
          <t>TFDA 仿單 https://mcp.fda.gov.tw/insert/pdfcasefile/i_efd8ff70-f51e-4186-ac7c-ab9b2f2b29bc</t>
        </is>
      </c>
      <c r="J497" s="3" t="inlineStr">
        <is>
          <t>Open</t>
        </is>
      </c>
      <c r="K497" s="3" t="inlineStr"/>
    </row>
    <row r="498">
      <c r="A498" s="3" t="n">
        <v>528</v>
      </c>
      <c r="B498" s="3" t="inlineStr">
        <is>
          <t>Cexime (Cefixime) (CEX02)</t>
        </is>
      </c>
      <c r="C498" s="8" t="inlineStr">
        <is>
          <t>Medium</t>
        </is>
      </c>
      <c r="D498" s="3" t="inlineStr">
        <is>
          <t>Dosing – pediatric</t>
        </is>
      </c>
      <c r="E498" s="3" t="inlineStr"/>
      <c r="F498" s="3" t="inlineStr">
        <is>
          <t>Note 8 mg/kg/day is for suspension; capsule not substitutable for otitis media; TW only ≥30 kg</t>
        </is>
      </c>
      <c r="G498" s="3" t="inlineStr">
        <is>
          <t>8 mg/kg/day once daily or divided q12h; max 400 mg/day</t>
        </is>
      </c>
      <c r="H498" s="3" t="inlineStr">
        <is>
          <t>The US 8 mg/kg/day dose is for suspension/chewable. The US label says capsules must not be substituted for suspension in otitis media. FJUH stocks only the 100 mg capsule. 仿單 paediatric dosing covers only ≥30 kg (50–100 mg BID).</t>
        </is>
      </c>
      <c r="I498" s="3" t="inlineStr">
        <is>
          <t>https://dailymed.nlm.nih.gov/dailymed/drugInfo.cfm?setid=9cdb156f-7a99-413e-b49a-ffafaf9e93fe (2.2); TFDA 仿單【用法・用量】</t>
        </is>
      </c>
      <c r="J498" s="3" t="inlineStr">
        <is>
          <t>Open</t>
        </is>
      </c>
      <c r="K498" s="3" t="inlineStr"/>
    </row>
    <row r="499">
      <c r="A499" s="3" t="n">
        <v>519</v>
      </c>
      <c r="B499" s="3" t="inlineStr">
        <is>
          <t>Cexime (Cefixime) (CEX02)</t>
        </is>
      </c>
      <c r="C499" s="8" t="inlineStr">
        <is>
          <t>Medium</t>
        </is>
      </c>
      <c r="D499" s="3" t="inlineStr">
        <is>
          <t>Indication/coverage</t>
        </is>
      </c>
      <c r="E499" s="3" t="inlineStr"/>
      <c r="F499" s="3" t="inlineStr">
        <is>
          <t>Mark typhoid off-label; add labelled indications (AECB, otitis media, pneumonia, pyelonephritis etc.)</t>
        </is>
      </c>
      <c r="G499" s="3" t="inlineStr">
        <is>
          <t>Gonococcal infection, Rhinosinusitis, Streptococcal pharyngitis, Typhoid fever, Urinary tract infection</t>
        </is>
      </c>
      <c r="H499" s="3" t="inlineStr">
        <is>
          <t>Typhoid fever is not on the US, UK or TW label. Rhinosinusitis is not on the US or UK label but is on the TW insert (副鼻竇炎). The hospital omits labelled indications: AECB/bronchitis, otitis media, pneumonia, cholecystitis/cholangitis and scarlet fever (TW), and pyelonephritis.</t>
        </is>
      </c>
      <c r="I499" s="3" t="inlineStr">
        <is>
          <t>US §1; UK SmPC §4.1; TW insert 【適應症】 https://mcp.fda.gov.tw/insert/pdfcasefile/i_efd8ff70-f51e-4186-ac7c-ab9b2f2b29bc</t>
        </is>
      </c>
      <c r="J499" s="3" t="inlineStr">
        <is>
          <t>Open</t>
        </is>
      </c>
      <c r="K499" s="3" t="inlineStr"/>
    </row>
    <row r="500">
      <c r="A500" s="3" t="n">
        <v>526</v>
      </c>
      <c r="B500" s="3" t="inlineStr">
        <is>
          <t>Cexime (Cefixime) (CEX02)</t>
        </is>
      </c>
      <c r="C500" s="8" t="inlineStr">
        <is>
          <t>Medium</t>
        </is>
      </c>
      <c r="D500" s="3" t="inlineStr">
        <is>
          <t>Indication/coverage</t>
        </is>
      </c>
      <c r="E500" s="3" t="inlineStr"/>
      <c r="F500" s="3" t="inlineStr">
        <is>
          <t>Flag typhoid as off-label; add missing labelled indications</t>
        </is>
      </c>
      <c r="G500" s="3" t="inlineStr">
        <is>
          <t>Gonococcal infection, Rhinosinusitis, Streptococcal pharyngitis, Typhoid fever, Urinary tract infection</t>
        </is>
      </c>
      <c r="H500" s="3" t="inlineStr">
        <is>
          <t>Typhoid fever is not on the US, UK or Taiwan label (off-label). Rhinosinusitis is not on the US label. The UK label covers it only as URTI and the 仿單 lists 副鼻竇炎. Labelled indications missing from the hospital list: AECB/bronchitis (US/UK), otitis media (UK/仿單), and the 仿單's pneumonia, cholecystitis/cholangitis and scarlet fever.</t>
        </is>
      </c>
      <c r="I500" s="3" t="inlineStr">
        <is>
          <t>https://dailymed.nlm.nih.gov/dailymed/drugInfo.cfm?setid=9cdb156f-7a99-413e-b49a-ffafaf9e93fe (1); https://www.medicines.org.uk/emc/product/15047/smpc (4.1); TFDA 仿單【適應症】</t>
        </is>
      </c>
      <c r="J500" s="3" t="inlineStr">
        <is>
          <t>Open</t>
        </is>
      </c>
      <c r="K500" s="3" t="inlineStr"/>
    </row>
    <row r="501">
      <c r="A501" s="3" t="n">
        <v>514</v>
      </c>
      <c r="B501" s="3" t="inlineStr">
        <is>
          <t>Claforan (Cefotaxime) (CLA01)</t>
        </is>
      </c>
      <c r="C501" s="8" t="inlineStr">
        <is>
          <t>Medium</t>
        </is>
      </c>
      <c r="D501" s="3" t="inlineStr">
        <is>
          <t>Adverse effects</t>
        </is>
      </c>
      <c r="E501" s="3" t="inlineStr">
        <is>
          <t>Missing SCAR (SJS/TEN/DRESS)</t>
        </is>
      </c>
      <c r="F501" s="3" t="inlineStr">
        <is>
          <t>Add rapid-bolus arrhythmia, CDAD, neutropenia, encephalopathy/seizures, SCAR, haemolytic anaemia</t>
        </is>
      </c>
      <c r="G501" s="3" t="inlineStr">
        <is>
          <t>Injection site pain, injection site phlebitis, rash, diarrhea, vomiting</t>
        </is>
      </c>
      <c r="H501" s="3" t="inlineStr">
        <is>
          <t>Leaves out label warnings: arrhythmia after rapid (&lt;60 s) central-line bolus, CDAD, neutropenia/agranulocytosis (CBC if &gt;7–10 days), encephalopathy/seizures at high dose in renal failure, SCARs (SJS/TEN/AGEP/DRESS), haemolytic anaemia.</t>
        </is>
      </c>
      <c r="I501" s="3" t="inlineStr">
        <is>
          <t>FDA WARNINGS/ADVERSE REACTIONS; SmPC 4.4/4.8; 仿單 [警語], [不良反應]</t>
        </is>
      </c>
      <c r="J501" s="3" t="inlineStr">
        <is>
          <t>Open</t>
        </is>
      </c>
      <c r="K501" s="3" t="inlineStr"/>
    </row>
    <row r="502">
      <c r="A502" s="3" t="n">
        <v>503</v>
      </c>
      <c r="B502" s="3" t="inlineStr">
        <is>
          <t>Claforan (Cefotaxime) (CLA01)</t>
        </is>
      </c>
      <c r="C502" s="8" t="inlineStr">
        <is>
          <t>Medium</t>
        </is>
      </c>
      <c r="D502" s="3" t="inlineStr">
        <is>
          <t>Breastfeeding</t>
        </is>
      </c>
      <c r="E502" s="3" t="inlineStr">
        <is>
          <t>LactMed outdated</t>
        </is>
      </c>
      <c r="F502" s="3" t="inlineStr">
        <is>
          <t>Lactation: LactMed says acceptable; monitor infant for diarrhea/thrush</t>
        </is>
      </c>
      <c r="G502" s="3" t="inlineStr">
        <is>
          <t>Enters breast milk/use caution</t>
        </is>
      </c>
      <c r="H502" s="3" t="inlineStr">
        <is>
          <t>LactMed: low milk levels, 'Cefotaxime is acceptable in nursing mothers'; watch the infant for diarrhea or thrush.</t>
        </is>
      </c>
      <c r="I502" s="3" t="inlineStr">
        <is>
          <t>LactMed NBK501366 https://www.ncbi.nlm.nih.gov/books/NBK501366/</t>
        </is>
      </c>
      <c r="J502" s="3" t="inlineStr">
        <is>
          <t>Open</t>
        </is>
      </c>
      <c r="K502" s="3" t="inlineStr"/>
    </row>
    <row r="503">
      <c r="A503" s="3" t="n">
        <v>505</v>
      </c>
      <c r="B503" s="3" t="inlineStr">
        <is>
          <t>Claforan (Cefotaxime) (CLA01)</t>
        </is>
      </c>
      <c r="C503" s="8" t="inlineStr">
        <is>
          <t>Medium</t>
        </is>
      </c>
      <c r="D503" s="3" t="inlineStr">
        <is>
          <t>Dosing – adult</t>
        </is>
      </c>
      <c r="E503" s="3" t="inlineStr"/>
      <c r="F503" s="3" t="inlineStr">
        <is>
          <t>Gonococcal arthritis: drop azithromycin; add doxycycline if chlamydia not excluded; ceftriaxone preferred (CDC 2021)</t>
        </is>
      </c>
      <c r="G503" s="3" t="inlineStr">
        <is>
          <t>1 g IV q8h in combination with a single dose of azithromycin; 7–14 days</t>
        </is>
      </c>
      <c r="H503" s="3" t="inlineStr">
        <is>
          <t>CDC 2021: cefotaxime 1 g IV q8h is an alternative regimen for gonococcal arthritis. If chlamydia is not excluded, add doxycycline 100 mg PO bid × 7 days. Routine azithromycin co-treatment was removed in the CDC 2020 update (PMID 33332296). Ceftriaxone 1 g q24h is the recommended regimen.</t>
        </is>
      </c>
      <c r="I503" s="3" t="inlineStr">
        <is>
          <t>CDC STI Treatment Guidelines 2021, PMID 34292926 (PMC8344968) https://pubmed.ncbi.nlm.nih.gov/34292926/; St Cyr S et al. MMWR 2020, PMID 33332296 https://pubmed.ncbi.nlm.nih.gov/33332296/</t>
        </is>
      </c>
      <c r="J503" s="3" t="inlineStr">
        <is>
          <t>Open</t>
        </is>
      </c>
      <c r="K503" s="3" t="inlineStr"/>
    </row>
    <row r="504">
      <c r="A504" s="3" t="n">
        <v>512</v>
      </c>
      <c r="B504" s="3" t="inlineStr">
        <is>
          <t>Claforan (Cefotaxime) (CLA01)</t>
        </is>
      </c>
      <c r="C504" s="8" t="inlineStr">
        <is>
          <t>Medium</t>
        </is>
      </c>
      <c r="D504" s="3" t="inlineStr">
        <is>
          <t>Dosing – adult</t>
        </is>
      </c>
      <c r="E504" s="3" t="inlineStr"/>
      <c r="F504" s="3" t="inlineStr">
        <is>
          <t>Remove azithromycin co-therapy; add doxycycline if chlamydia not excluded; mark as alternative to ceftriaxone</t>
        </is>
      </c>
      <c r="G504" s="3" t="inlineStr">
        <is>
          <t>1 g IV q8h in combination with a single dose of azithromycin, 7–14 days</t>
        </is>
      </c>
      <c r="H504" s="3" t="inlineStr">
        <is>
          <t>CDC 2021 STI guidelines no longer recommend azithromycin co-therapy for gonococcal infection (treat chlamydia with doxycycline if not excluded). Cefotaxime 1 g IV q8h is only an alternative to ceftriaxone 1 g q24h for DGI. No label covers this regimen.</t>
        </is>
      </c>
      <c r="I504" s="3" t="inlineStr">
        <is>
          <t>Workowski KA, CDC STI Treatment Guidelines 2021, PMID 34292926</t>
        </is>
      </c>
      <c r="J504" s="3" t="inlineStr">
        <is>
          <t>Open</t>
        </is>
      </c>
      <c r="K504" s="3" t="inlineStr"/>
    </row>
    <row r="505">
      <c r="A505" s="3" t="n">
        <v>516</v>
      </c>
      <c r="B505" s="3" t="inlineStr">
        <is>
          <t>Claforan (Cefotaxime) (CLA01)</t>
        </is>
      </c>
      <c r="C505" s="8" t="inlineStr">
        <is>
          <t>Medium</t>
        </is>
      </c>
      <c r="D505" s="3" t="inlineStr">
        <is>
          <t>Indication/coverage</t>
        </is>
      </c>
      <c r="E505" s="3" t="inlineStr"/>
      <c r="F505" s="3" t="inlineStr">
        <is>
          <t>Add note: P. aeruginosa/Acinetobacter inherently resistant; do not use for Pseudomonas</t>
        </is>
      </c>
      <c r="G505" s="3" t="inlineStr">
        <is>
          <t>Not applicable (the hospital page does not claim Pseudomonas coverage)</t>
        </is>
      </c>
      <c r="H505" s="3" t="inlineStr">
        <is>
          <t>Label conflict to know about: the 仿單 says infections due to sensitive Pseudomonas need &gt;6 g/day and the FDA label lists Pseudomonas in LRTI/UTI indications. The newer SmPC 5.1 (EUCAST-based) lists P. aeruginosa and Acinetobacter as INHERENTLY RESISTANT. Do not use cefotaxime for Pseudomonas.</t>
        </is>
      </c>
      <c r="I505" s="3" t="inlineStr">
        <is>
          <t>SmPC 5.1; 仿單 [用法與用量] 成人; FDA INDICATIONS</t>
        </is>
      </c>
      <c r="J505" s="3" t="inlineStr">
        <is>
          <t>Open</t>
        </is>
      </c>
      <c r="K505" s="3" t="inlineStr"/>
    </row>
    <row r="506">
      <c r="A506" s="3" t="n">
        <v>9</v>
      </c>
      <c r="B506" s="3" t="inlineStr">
        <is>
          <t>Colistin (COL04)</t>
        </is>
      </c>
      <c r="C506" s="8" t="inlineStr">
        <is>
          <t>Medium</t>
        </is>
      </c>
      <c r="D506" s="3" t="inlineStr">
        <is>
          <t>Breastfeeding</t>
        </is>
      </c>
      <c r="E506" s="3" t="inlineStr">
        <is>
          <t>LactMed outdated</t>
        </is>
      </c>
      <c r="F506" s="3" t="inlineStr">
        <is>
          <t>Update per LactMed: minimal milk excretion, poor oral absorption; use acceptable</t>
        </is>
      </c>
      <c r="G506" s="3" t="inlineStr">
        <is>
          <t>Avoided</t>
        </is>
      </c>
      <c r="H506" s="3" t="inlineStr">
        <is>
          <t>Minimal milk excretion, poor oral absorption; inhaled use acceptable</t>
        </is>
      </c>
      <c r="I506" s="3" t="inlineStr">
        <is>
          <t>LactMed NBK501329 (rev. 2024)</t>
        </is>
      </c>
      <c r="J506" s="3" t="inlineStr">
        <is>
          <t>Open</t>
        </is>
      </c>
      <c r="K506" s="3" t="inlineStr"/>
    </row>
    <row r="507">
      <c r="A507" s="3" t="n">
        <v>8</v>
      </c>
      <c r="B507" s="3" t="inlineStr">
        <is>
          <t>Colistin (COL04)</t>
        </is>
      </c>
      <c r="C507" s="8" t="inlineStr">
        <is>
          <t>Medium</t>
        </is>
      </c>
      <c r="D507" s="3" t="inlineStr">
        <is>
          <t>Contraindication/warning</t>
        </is>
      </c>
      <c r="E507" s="3" t="inlineStr"/>
      <c r="F507" s="3" t="inlineStr">
        <is>
          <t>Add pseudo-Bartter/renal tubulopathy warning (hypoK, hypoCa, hypoMg, alkalosis); monitor electrolytes</t>
        </is>
      </c>
      <c r="G507" s="3" t="inlineStr">
        <is>
          <t>No mention of pseudo-Bartter syndrome</t>
        </is>
      </c>
      <c r="H507" s="3" t="inlineStr">
        <is>
          <t>Renal tubulopathy with hypokalemia, metabolic alkalosis, hypocalcemia, hypomagnesemia; monitor electrolytes</t>
        </is>
      </c>
      <c r="I507" s="3" t="inlineStr">
        <is>
          <t>US label (Warnings); UK SmPC 4.4</t>
        </is>
      </c>
      <c r="J507" s="3" t="inlineStr">
        <is>
          <t>Open</t>
        </is>
      </c>
      <c r="K507" s="3" t="inlineStr"/>
    </row>
    <row r="508">
      <c r="A508" s="3" t="n">
        <v>6</v>
      </c>
      <c r="B508" s="3" t="inlineStr">
        <is>
          <t>Colistin (COL04)</t>
        </is>
      </c>
      <c r="C508" s="8" t="inlineStr">
        <is>
          <t>Medium</t>
        </is>
      </c>
      <c r="D508" s="3" t="inlineStr">
        <is>
          <t>Dosing – renal/dialysis</t>
        </is>
      </c>
      <c r="E508" s="3" t="inlineStr">
        <is>
          <t>Renal table outdated</t>
        </is>
      </c>
      <c r="F508" s="3" t="inlineStr">
        <is>
          <t>Convert colistin renal bands from SCr to CrCl (≥80/50–79/30–49/10–29) per current US label</t>
        </is>
      </c>
      <c r="G508" s="3" t="inlineStr">
        <is>
          <t>Bands by serum creatinine (old US label)</t>
        </is>
      </c>
      <c r="H508" s="3" t="inlineStr">
        <is>
          <t>Current US label uses CrCl (≥80 / 50–79 / 30–49 / 10–29)</t>
        </is>
      </c>
      <c r="I508" s="3" t="inlineStr">
        <is>
          <t>US label (DailyMed 2026)</t>
        </is>
      </c>
      <c r="J508" s="3" t="inlineStr">
        <is>
          <t>Open</t>
        </is>
      </c>
      <c r="K508" s="3" t="inlineStr"/>
    </row>
    <row r="509">
      <c r="A509" s="3" t="n">
        <v>342</v>
      </c>
      <c r="B509" s="3" t="inlineStr">
        <is>
          <t>Cravit (levofloxacin) (CRA03, LEV08)</t>
        </is>
      </c>
      <c r="C509" s="8" t="inlineStr">
        <is>
          <t>Medium</t>
        </is>
      </c>
      <c r="D509" s="3" t="inlineStr">
        <is>
          <t>Administration/compatibility</t>
        </is>
      </c>
      <c r="E509" s="3" t="inlineStr"/>
      <c r="F509" s="3" t="inlineStr">
        <is>
          <t>Remove IV dosing from tablet entries; keep IV under CRA01</t>
        </is>
      </c>
      <c r="G509" s="3" t="inlineStr">
        <is>
          <t>'PO or IV for …' and IV infusion instructions on tablet-only products</t>
        </is>
      </c>
      <c r="H509" s="3" t="inlineStr">
        <is>
          <t>These products are film-coated tablets only (TFDA 衛署藥製字第047516號 and 第057839號). IV dosing belongs to CRA01 (衛署藥製字第057185號)</t>
        </is>
      </c>
      <c r="I509" s="3" t="inlineStr">
        <is>
          <t>https://mcp.fda.gov.tw/im_detail_1/%E8%A1%9B%E7%BD%B2%E8%97%A5%E8%A3%BD%E5%AD%97%E7%AC%AC057839%E8%99%9F</t>
        </is>
      </c>
      <c r="J509" s="3" t="inlineStr">
        <is>
          <t>Open</t>
        </is>
      </c>
      <c r="K509" s="3" t="inlineStr"/>
    </row>
    <row r="510">
      <c r="A510" s="3" t="n">
        <v>330</v>
      </c>
      <c r="B510" s="3" t="inlineStr">
        <is>
          <t>Cravit (levofloxacin) (CRA03, LEV08)</t>
        </is>
      </c>
      <c r="C510" s="8" t="inlineStr">
        <is>
          <t>Medium</t>
        </is>
      </c>
      <c r="D510" s="3" t="inlineStr">
        <is>
          <t>Breastfeeding</t>
        </is>
      </c>
      <c r="E510" s="3" t="inlineStr">
        <is>
          <t>LactMed outdated</t>
        </is>
      </c>
      <c r="F510" s="3" t="inlineStr">
        <is>
          <t>Present in milk (RID ~6%); avoid during treatment +2 days (US); contraindicated per TW/UK</t>
        </is>
      </c>
      <c r="G510" s="3" t="inlineStr">
        <is>
          <t>Excretion in breast milk unknown</t>
        </is>
      </c>
      <c r="H510" s="3" t="inlineStr">
        <is>
          <t>Present in human milk (US label 8.2; LactMed peak 8.2–16.9 mg/L, RID ~6%). US label: BF not recommended during treatment + 2 days. Taiwan inserts and UK SmPC: contraindicated in breastfeeding.</t>
        </is>
      </c>
      <c r="I510" s="3" t="inlineStr">
        <is>
          <t>US FDA label sec 8.2; LactMed NBK501002: https://www.ncbi.nlm.nih.gov/books/NBK501002/; Taiwan 仿單 Cravit sec 6.2</t>
        </is>
      </c>
      <c r="J510" s="3" t="inlineStr">
        <is>
          <t>Open</t>
        </is>
      </c>
      <c r="K510" s="3" t="inlineStr"/>
    </row>
    <row r="511">
      <c r="A511" s="3" t="n">
        <v>338</v>
      </c>
      <c r="B511" s="3" t="inlineStr">
        <is>
          <t>Cravit (levofloxacin) (CRA03, LEV08)</t>
        </is>
      </c>
      <c r="C511" s="8" t="inlineStr">
        <is>
          <t>Medium</t>
        </is>
      </c>
      <c r="D511" s="3" t="inlineStr">
        <is>
          <t>Breastfeeding</t>
        </is>
      </c>
      <c r="E511" s="3" t="inlineStr">
        <is>
          <t>LactMed outdated</t>
        </is>
      </c>
      <c r="F511" s="3" t="inlineStr">
        <is>
          <t>Present in milk (RID ~6%, LactMed); TW inserts contraindicate breastfeeding</t>
        </is>
      </c>
      <c r="G511" s="3" t="inlineStr">
        <is>
          <t>Excretion in breast milk unknown/not recommended</t>
        </is>
      </c>
      <c r="H511" s="3" t="inlineStr">
        <is>
          <t>US FDA 8.2 and LactMed: present in human milk (peak about 8–17 mg/L; RID about 6%). The Taiwan inserts contraindicate breastfeeding</t>
        </is>
      </c>
      <c r="I511" s="3" t="inlineStr">
        <is>
          <t>https://www.ncbi.nlm.nih.gov/books/NBK501002/ ; https://dailymed.nlm.nih.gov/dailymed/drugInfo.cfm?setid=5a65b2bc-9edc-f193-e063-6394a90a0104</t>
        </is>
      </c>
      <c r="J511" s="3" t="inlineStr">
        <is>
          <t>Open</t>
        </is>
      </c>
      <c r="K511" s="3" t="inlineStr"/>
    </row>
    <row r="512">
      <c r="A512" s="3" t="n">
        <v>328</v>
      </c>
      <c r="B512" s="3" t="inlineStr">
        <is>
          <t>Cravit (levofloxacin) (CRA03, LEV08)</t>
        </is>
      </c>
      <c r="C512" s="8" t="inlineStr">
        <is>
          <t>Medium</t>
        </is>
      </c>
      <c r="D512" s="3" t="inlineStr">
        <is>
          <t>Dosing – adult</t>
        </is>
      </c>
      <c r="E512" s="3" t="inlineStr"/>
      <c r="F512" s="3" t="inlineStr">
        <is>
          <t>Align Cravit 500 dosing with TW 仿單 EU-style regimens (500 mg BID CAP; 125 mg renal steps)</t>
        </is>
      </c>
      <c r="G512" s="3" t="inlineStr">
        <is>
          <t>US-style regimens: AECB 500 mg QD; pneumonia/sinusitis/skin 750 mg QD ×5 d; UTI 250 mg QD 3–10 d or 750 mg ×5 d; US 750/500 mg renal tables</t>
        </is>
      </c>
      <c r="H512" s="3" t="inlineStr">
        <is>
          <t>The stocked Cravit 500 mg 仿單 uses EU-style regimens: CAP 500 mg BID ×7–14 d; AECB 250–500 mg QD ×7–10 d; cUTI/pyelonephritis 250 mg QD ×7–10 d; SSTI 250 mg QD or 500 mg BID; renal adjustment in 125 mg steps; no 750 mg regimen</t>
        </is>
      </c>
      <c r="I512" s="3" t="inlineStr">
        <is>
          <t>Taiwan 仿單 Cravit 衛署藥製字第047516號 sec 3.1, 3.3: https://mcp.fda.gov.tw/im_detail_1/%E8%A1%9B%E7%BD%B2%E8%97%A5%E8%A3%BD%E5%AD%97%E7%AC%AC047516%E8%99%9F</t>
        </is>
      </c>
      <c r="J512" s="3" t="inlineStr">
        <is>
          <t>Open</t>
        </is>
      </c>
      <c r="K512" s="3" t="inlineStr"/>
    </row>
    <row r="513">
      <c r="A513" s="3" t="n">
        <v>335</v>
      </c>
      <c r="B513" s="3" t="inlineStr">
        <is>
          <t>Cravit (levofloxacin) (CRA03, LEV08)</t>
        </is>
      </c>
      <c r="C513" s="8" t="inlineStr">
        <is>
          <t>Medium</t>
        </is>
      </c>
      <c r="D513" s="3" t="inlineStr">
        <is>
          <t>Dosing – adult</t>
        </is>
      </c>
      <c r="E513" s="3" t="inlineStr"/>
      <c r="F513" s="3" t="inlineStr">
        <is>
          <t>Use Cravit 仿單 regimens for CRA03/CRA01; remove sinusitis/AECB from IV entry</t>
        </is>
      </c>
      <c r="G513" s="3" t="inlineStr">
        <is>
          <t>US-style regimens: CAP/sinusitis/skin 750 mg QD ×5 d; UTI 250 mg QD ×3–10 d or 750 mg ×5 d; renal 750→q48h and 500→250 mg</t>
        </is>
      </c>
      <c r="H513" s="3" t="inlineStr">
        <is>
          <t>Cravit TFDA 仿單 (tab 衛署藥製字第047516號; IV 衛署藥製字第057185號) sec 3.1 and 3.3: CAP 500 mg BID ×7–14 d; cUTI 250 mg QD ×7–10 d; SSTI 250 mg QD or 500 mg BID; renal steps of 125 mg; IV 250 mg over ≥30 min. The IV insert does not list sinusitis or AECB</t>
        </is>
      </c>
      <c r="I513" s="3" t="inlineStr">
        <is>
          <t>https://mcp.fda.gov.tw/im_detail_1/%E8%A1%9B%E7%BD%B2%E8%97%A5%E8%A3%BD%E5%AD%97%E7%AC%AC047516%E8%99%9F ; https://mcp.fda.gov.tw/im_detail_1/%E8%A1%9B%E7%BD%B2%E8%97%A5%E8%A3%BD%E5%AD%97%E7%AC%AC057185%E8%99%9F</t>
        </is>
      </c>
      <c r="J513" s="3" t="inlineStr">
        <is>
          <t>Open</t>
        </is>
      </c>
      <c r="K513" s="3" t="inlineStr"/>
    </row>
    <row r="514">
      <c r="A514" s="3" t="n">
        <v>343</v>
      </c>
      <c r="B514" s="3" t="inlineStr">
        <is>
          <t>Cravit (levofloxacin) (CRA03, LEV08)</t>
        </is>
      </c>
      <c r="C514" s="8" t="inlineStr">
        <is>
          <t>Medium</t>
        </is>
      </c>
      <c r="D514" s="3" t="inlineStr">
        <is>
          <t>Dosing – pediatric</t>
        </is>
      </c>
      <c r="E514" s="3" t="inlineStr"/>
      <c r="F514" s="3" t="inlineStr">
        <is>
          <t>Label pediatric doses off-label; insert: not established; US: anthrax/plague 8 mg/kg q12h only</t>
        </is>
      </c>
      <c r="G514" s="3" t="inlineStr">
        <is>
          <t>Infants ≥6 mo and children 8–10 mg/kg/dose BID; ≥5 y 10 mg/kg QD (max 750 mg), presented as general dosing</t>
        </is>
      </c>
      <c r="H514" s="3" t="inlineStr">
        <is>
          <t>Cravit IV 仿單 5.1: pediatric safety and dosing not established. US label: approved only for anthrax PEP and plague at 8 mg/kg q12h (max 250 mg/dose) for &lt;50 kg. UK SmPC: contraindicated under 18 years. The hospital's mg/kg doses are off-label and should be labelled as such</t>
        </is>
      </c>
      <c r="I514" s="3" t="inlineStr">
        <is>
          <t>https://mcp.fda.gov.tw/im_detail_1/%E8%A1%9B%E7%BD%B2%E8%97%A5%E8%A3%BD%E5%AD%97%E7%AC%AC057185%E8%99%9F ; https://dailymed.nlm.nih.gov/dailymed/drugInfo.cfm?setid=9020cdeb-65fe-458f-bbbd-69265a49906e</t>
        </is>
      </c>
      <c r="J514" s="3" t="inlineStr">
        <is>
          <t>Open</t>
        </is>
      </c>
      <c r="K514" s="3" t="inlineStr"/>
    </row>
    <row r="515">
      <c r="A515" s="3" t="n">
        <v>332</v>
      </c>
      <c r="B515" s="3" t="inlineStr">
        <is>
          <t>Cravit (levofloxacin) (CRA03, LEV08)</t>
        </is>
      </c>
      <c r="C515" s="8" t="inlineStr">
        <is>
          <t>Medium</t>
        </is>
      </c>
      <c r="D515" s="3" t="inlineStr">
        <is>
          <t>Indication/coverage</t>
        </is>
      </c>
      <c r="E515" s="3" t="inlineStr">
        <is>
          <t>Missing boxed warning</t>
        </is>
      </c>
      <c r="F515" s="3" t="inlineStr">
        <is>
          <t>Add restriction: AECB, sinusitis, uncomplicated UTI only if no alternative</t>
        </is>
      </c>
      <c r="G515" s="3" t="inlineStr">
        <is>
          <t>Indication list without any restriction</t>
        </is>
      </c>
      <c r="H515" s="3" t="inlineStr">
        <is>
          <t>Reserve for AECB, acute sinusitis and uncomplicated UTI/cystitis only when there is no alternative (US label 1.12–1.14; Taiwan TFDA 特殊警語). The UK SmPC 4.1 restricts all indications to cases where first-line agents are inappropriate.</t>
        </is>
      </c>
      <c r="I515" s="3" t="inlineStr">
        <is>
          <t>US FDA label sec 1.12–1.14; UK SmPC 4.1: https://www.medicines.org.uk/emc/product/12130/smpc; Taiwan 仿單 Cravit 特殊警語</t>
        </is>
      </c>
      <c r="J515" s="3" t="inlineStr">
        <is>
          <t>Open</t>
        </is>
      </c>
      <c r="K515" s="3" t="inlineStr"/>
    </row>
    <row r="516">
      <c r="A516" s="3" t="n">
        <v>341</v>
      </c>
      <c r="B516" s="3" t="inlineStr">
        <is>
          <t>Cravit (levofloxacin) (CRA03, LEV08)</t>
        </is>
      </c>
      <c r="C516" s="8" t="inlineStr">
        <is>
          <t>Medium</t>
        </is>
      </c>
      <c r="D516" s="3" t="inlineStr">
        <is>
          <t>Indication/coverage</t>
        </is>
      </c>
      <c r="E516" s="3" t="inlineStr">
        <is>
          <t>Missing boxed warning</t>
        </is>
      </c>
      <c r="F516" s="3" t="inlineStr">
        <is>
          <t>Reserve AECB, sinusitis, uncomplicated cystitis for no-alternative cases</t>
        </is>
      </c>
      <c r="G516" s="3" t="inlineStr">
        <is>
          <t>Treatment of UTI, chronic bronchitis, CAP, skin infections, maxillary sinusitis (no restriction)</t>
        </is>
      </c>
      <c r="H516" s="3" t="inlineStr">
        <is>
          <t>FDA 1.12–1.14 and the TFDA 特殊警語 reserve AECB, acute sinusitis and uncomplicated cystitis/UTI for patients with no alternative. UK SmPC 4.1 applies the restriction to all indications</t>
        </is>
      </c>
      <c r="I516" s="3" t="inlineStr">
        <is>
          <t>https://mcp.fda.gov.tw/im_detail_1/%E8%A1%9B%E7%BD%B2%E8%97%A5%E8%A3%BD%E5%AD%97%E7%AC%AC047516%E8%99%9F ; https://www.medicines.org.uk/emc/product/12130/smpc</t>
        </is>
      </c>
      <c r="J516" s="3" t="inlineStr">
        <is>
          <t>Open</t>
        </is>
      </c>
      <c r="K516" s="3" t="inlineStr"/>
    </row>
    <row r="517">
      <c r="A517" s="3" t="n">
        <v>329</v>
      </c>
      <c r="B517" s="3" t="inlineStr">
        <is>
          <t>Cravit (levofloxacin) (CRA03, LEV08)</t>
        </is>
      </c>
      <c r="C517" s="8" t="inlineStr">
        <is>
          <t>Medium</t>
        </is>
      </c>
      <c r="D517" s="3" t="inlineStr">
        <is>
          <t>Pregnancy</t>
        </is>
      </c>
      <c r="E517" s="3" t="inlineStr">
        <is>
          <t>FDA letter category</t>
        </is>
      </c>
      <c r="F517" s="3" t="inlineStr">
        <is>
          <t>Replace category C: contraindicated in pregnancy (TW inserts, UK SmPC)</t>
        </is>
      </c>
      <c r="G517" s="3" t="inlineStr">
        <is>
          <t>Category C</t>
        </is>
      </c>
      <c r="H517" s="3" t="inlineStr">
        <is>
          <t>FDA letter categories are retired; US label 8.1 is a PLLR narrative. Both stocked-product Taiwan inserts and the UK SmPC contraindicate use in pregnancy.</t>
        </is>
      </c>
      <c r="I517" s="3" t="inlineStr">
        <is>
          <t>US FDA label sec 8.1; Taiwan 仿單 Cravit sec 4/6.1 and P.L. 750 mg sec 4/6.1: https://mcp.fda.gov.tw/im_detail_1/%E8%A1%9B%E7%BD%B2%E8%97%A5%E8%A3%BD%E5%AD%97%E7%AC%AC057839%E8%99%9F</t>
        </is>
      </c>
      <c r="J517" s="3" t="inlineStr">
        <is>
          <t>Open</t>
        </is>
      </c>
      <c r="K517" s="3" t="inlineStr"/>
    </row>
    <row r="518">
      <c r="A518" s="3" t="n">
        <v>337</v>
      </c>
      <c r="B518" s="3" t="inlineStr">
        <is>
          <t>Cravit (levofloxacin) (CRA03, LEV08)</t>
        </is>
      </c>
      <c r="C518" s="8" t="inlineStr">
        <is>
          <t>Medium</t>
        </is>
      </c>
      <c r="D518" s="3" t="inlineStr">
        <is>
          <t>Pregnancy</t>
        </is>
      </c>
      <c r="E518" s="3" t="inlineStr">
        <is>
          <t>FDA letter category</t>
        </is>
      </c>
      <c r="F518" s="3" t="inlineStr">
        <is>
          <t>Replace C with contraindicated in pregnancy (TW inserts/UK SmPC)</t>
        </is>
      </c>
      <c r="G518" s="3" t="inlineStr">
        <is>
          <t>C</t>
        </is>
      </c>
      <c r="H518" s="3" t="inlineStr">
        <is>
          <t>FDA letter categories are retired (8.1 is now a narrative risk summary). All three Taiwan inserts and UK SmPC 4.3 contraindicate use in pregnancy</t>
        </is>
      </c>
      <c r="I518" s="3" t="inlineStr">
        <is>
          <t>https://dailymed.nlm.nih.gov/dailymed/drugInfo.cfm?setid=5a65b2bc-9edc-f193-e063-6394a90a0104 ; https://mcp.fda.gov.tw/im_detail_1/%E8%A1%9B%E7%BD%B2%E8%97%A5%E8%A3%BD%E5%AD%97%E7%AC%AC047516%E8%99%9F</t>
        </is>
      </c>
      <c r="J518" s="3" t="inlineStr">
        <is>
          <t>Open</t>
        </is>
      </c>
      <c r="K518" s="3" t="inlineStr"/>
    </row>
    <row r="519">
      <c r="A519" s="3" t="n">
        <v>184</v>
      </c>
      <c r="B519" s="3" t="inlineStr">
        <is>
          <t>Cresemba (Isavuconazonium) (CRE02, CRE03)</t>
        </is>
      </c>
      <c r="C519" s="8" t="inlineStr">
        <is>
          <t>Medium</t>
        </is>
      </c>
      <c r="D519" s="3" t="inlineStr">
        <is>
          <t>Administration/compatibility</t>
        </is>
      </c>
      <c r="E519" s="3" t="inlineStr"/>
      <c r="F519" s="3" t="inlineStr">
        <is>
          <t>CRE03 hard capsule: swallow whole, do not open/crush; no reload on IV↔PO switch</t>
        </is>
      </c>
      <c r="G519" s="3" t="inlineStr">
        <is>
          <t>Capsule listed as 'tab'; 98% bioavailability noted</t>
        </is>
      </c>
      <c r="H519" s="3" t="inlineStr">
        <is>
          <t>Hard capsule; swallow whole; do not chew, crush, dissolve or open; with or without food; no reloading when switching IV↔PO.</t>
        </is>
      </c>
      <c r="I519" s="3" t="inlineStr">
        <is>
          <t>Taiwan insert 027795 §3.1, https://mcp.fda.gov.tw/im_detail_1/%E8%A1%9B%E9%83%A8%E8%97%A5%E8%BC%B8%E5%AD%97%E7%AC%AC027795%E8%99%9F</t>
        </is>
      </c>
      <c r="J519" s="3" t="inlineStr">
        <is>
          <t>Open</t>
        </is>
      </c>
      <c r="K519" s="3" t="inlineStr"/>
    </row>
    <row r="520">
      <c r="A520" s="3" t="n">
        <v>182</v>
      </c>
      <c r="B520" s="3" t="inlineStr">
        <is>
          <t>Cresemba (Isavuconazonium) (CRE02, CRE03)</t>
        </is>
      </c>
      <c r="C520" s="8" t="inlineStr">
        <is>
          <t>Medium</t>
        </is>
      </c>
      <c r="D520" s="3" t="inlineStr">
        <is>
          <t>Dosing – hepatic</t>
        </is>
      </c>
      <c r="E520" s="3" t="inlineStr"/>
      <c r="F520" s="3" t="inlineStr">
        <is>
          <t>Add Child-Pugh C: not studied, not recommended unless benefit outweighs risk; monitor</t>
        </is>
      </c>
      <c r="G520" s="3" t="inlineStr">
        <is>
          <t>Child-Pugh A/B: no adjustment. Child-Pugh C not addressed.</t>
        </is>
      </c>
      <c r="H520" s="3" t="inlineStr">
        <is>
          <t>Child-Pugh C: not studied; not recommended unless benefit outweighs risk; monitor closely for toxicity.</t>
        </is>
      </c>
      <c r="I520" s="3" t="inlineStr">
        <is>
          <t>Taiwan insert 027796 §3.3/§6.6; US FDA label §8.7</t>
        </is>
      </c>
      <c r="J520" s="3" t="inlineStr">
        <is>
          <t>Open</t>
        </is>
      </c>
      <c r="K520" s="3" t="inlineStr"/>
    </row>
    <row r="521">
      <c r="A521" s="3" t="n">
        <v>191</v>
      </c>
      <c r="B521" s="3" t="inlineStr">
        <is>
          <t>Cresemba (Isavuconazonium) (CRE02, CRE03)</t>
        </is>
      </c>
      <c r="C521" s="8" t="inlineStr">
        <is>
          <t>Medium</t>
        </is>
      </c>
      <c r="D521" s="3" t="inlineStr">
        <is>
          <t>Dosing – hepatic</t>
        </is>
      </c>
      <c r="E521" s="3" t="inlineStr"/>
      <c r="F521" s="3" t="inlineStr">
        <is>
          <t>Child-Pugh C: not studied; not recommended unless benefit outweighs risk; monitor toxicity</t>
        </is>
      </c>
      <c r="G521" s="3" t="inlineStr">
        <is>
          <t>Severe impairment (Child-Pugh class C): There are no dosage adjustments provided in the manufacturer's labeling</t>
        </is>
      </c>
      <c r="H521" s="3" t="inlineStr">
        <is>
          <t>Taiwan inserts §3.3/§6.6: not studied in Child-Pugh C; not recommended unless potential benefit outweighs risk; monitor closely for toxicity.</t>
        </is>
      </c>
      <c r="I521" s="3" t="inlineStr">
        <is>
          <t>https://mcp.fda.gov.tw/im_detail_1/%E8%A1%9B%E9%83%A8%E8%97%A5%E8%BC%B8%E5%AD%97%E7%AC%AC027796%E8%99%9F</t>
        </is>
      </c>
      <c r="J521" s="3" t="inlineStr">
        <is>
          <t>Open</t>
        </is>
      </c>
      <c r="K521" s="3" t="inlineStr"/>
    </row>
    <row r="522">
      <c r="A522" s="3" t="n">
        <v>178</v>
      </c>
      <c r="B522" s="3" t="inlineStr">
        <is>
          <t>Cresemba (Isavuconazonium) (CRE02, CRE03)</t>
        </is>
      </c>
      <c r="C522" s="8" t="inlineStr">
        <is>
          <t>Medium</t>
        </is>
      </c>
      <c r="D522" s="3" t="inlineStr">
        <is>
          <t>Dosing – pediatric</t>
        </is>
      </c>
      <c r="E522" s="3" t="inlineStr"/>
      <c r="F522" s="3" t="inlineStr">
        <is>
          <t>Add IV pediatric dosing ≥1 y: 5.4 mg/kg isavuconazole (&lt;37 kg), max 200 mg</t>
        </is>
      </c>
      <c r="G522" s="3" t="inlineStr">
        <is>
          <t>'Not recommened' for children</t>
        </is>
      </c>
      <c r="H522" s="3" t="inlineStr">
        <is>
          <t>The injection is approved from age 1 for invasive aspergillosis and mucormycosis: 5.4 mg/kg isavuconazole for &lt;37 kg, max 200 mg (TW insert §2/§3.1). The US label (from 1 y) and UK SmPC 5069 (from 1 y) agree.</t>
        </is>
      </c>
      <c r="I522" s="3" t="inlineStr">
        <is>
          <t>Taiwan insert 衛部藥輸字第027796號 §2, §3.1, https://mcp.fda.gov.tw/im_detail_1/%E8%A1%9B%E9%83%A8%E8%97%A5%E8%BC%B8%E5%AD%97%E7%AC%AC027796%E8%99%9F; US FDA label §1, https://dailymed.nlm.nih.gov/dailymed/drugInfo.cfm?setid=8f7f73b8-586a-4df0-935f-fecd4696c16c</t>
        </is>
      </c>
      <c r="J522" s="3" t="inlineStr">
        <is>
          <t>Open</t>
        </is>
      </c>
      <c r="K522" s="3" t="inlineStr"/>
    </row>
    <row r="523">
      <c r="A523" s="3" t="n">
        <v>186</v>
      </c>
      <c r="B523" s="3" t="inlineStr">
        <is>
          <t>Cresemba (Isavuconazonium) (CRE02, CRE03)</t>
        </is>
      </c>
      <c r="C523" s="8" t="inlineStr">
        <is>
          <t>Medium</t>
        </is>
      </c>
      <c r="D523" s="3" t="inlineStr">
        <is>
          <t>Dosing – pediatric</t>
        </is>
      </c>
      <c r="E523" s="3" t="inlineStr"/>
      <c r="F523" s="3" t="inlineStr">
        <is>
          <t>Replace 'not recommended' with IV pediatric dosing ≥1 y per TW insert</t>
        </is>
      </c>
      <c r="G523" s="3" t="inlineStr">
        <is>
          <t>Not recommened</t>
        </is>
      </c>
      <c r="H523" s="3" t="inlineStr">
        <is>
          <t>Taiwan injection insert §2/§3.1: 適用於1歲以上; 1–&lt;18 y &lt;37 kg 5.4 mg/kg isavuconazole, ≥37 kg 200 mg. US and UK also approve the IV form from age 1.</t>
        </is>
      </c>
      <c r="I523" s="3" t="inlineStr">
        <is>
          <t>https://mcp.fda.gov.tw/im_detail_1/%E8%A1%9B%E9%83%A8%E8%97%A5%E8%BC%B8%E5%AD%97%E7%AC%AC027796%E8%99%9F</t>
        </is>
      </c>
      <c r="J523" s="3" t="inlineStr">
        <is>
          <t>Open</t>
        </is>
      </c>
      <c r="K523" s="3" t="inlineStr"/>
    </row>
    <row r="524">
      <c r="A524" s="3" t="n">
        <v>179</v>
      </c>
      <c r="B524" s="3" t="inlineStr">
        <is>
          <t>Cresemba (Isavuconazonium) (CRE02, CRE03)</t>
        </is>
      </c>
      <c r="C524" s="8" t="inlineStr">
        <is>
          <t>Medium</t>
        </is>
      </c>
      <c r="D524" s="3" t="inlineStr">
        <is>
          <t>Indication/coverage</t>
        </is>
      </c>
      <c r="E524" s="3" t="inlineStr"/>
      <c r="F524" s="3" t="inlineStr">
        <is>
          <t>Add amphotericin-B-inappropriate restriction for mucormycosis; IV approved from age 1</t>
        </is>
      </c>
      <c r="G524" s="3" t="inlineStr">
        <is>
          <t>Aspergillosis and mucormycosis 'in adults'. The amphotericin B restriction for mucormycosis is not mentioned.</t>
        </is>
      </c>
      <c r="H524" s="3" t="inlineStr">
        <is>
          <t>TW (both inserts) and UK: mucormycosis only 'in patients for whom amphotericin B is inappropriate' (不適合接受 amphotericin B). The injection is also approved from age 1, not adults only. The capsule is adults only in TW; US/UK allow it from 6 y and ≥16 kg.</t>
        </is>
      </c>
      <c r="I524" s="3" t="inlineStr">
        <is>
          <t>Taiwan inserts §2 (027796 / 027795); UK SmPC 5069/5071 §4.1, https://www.medicines.org.uk/emc/product/5069/smpc</t>
        </is>
      </c>
      <c r="J524" s="3" t="inlineStr">
        <is>
          <t>Open</t>
        </is>
      </c>
      <c r="K524" s="3" t="inlineStr"/>
    </row>
    <row r="525">
      <c r="A525" s="3" t="n">
        <v>187</v>
      </c>
      <c r="B525" s="3" t="inlineStr">
        <is>
          <t>Cresemba (Isavuconazonium) (CRE02, CRE03)</t>
        </is>
      </c>
      <c r="C525" s="8" t="inlineStr">
        <is>
          <t>Medium</t>
        </is>
      </c>
      <c r="D525" s="3" t="inlineStr">
        <is>
          <t>Indication/coverage</t>
        </is>
      </c>
      <c r="E525" s="3" t="inlineStr"/>
      <c r="F525" s="3" t="inlineStr">
        <is>
          <t>Add age ≥1 y and amphotericin-B-inappropriate restriction for mucormycosis</t>
        </is>
      </c>
      <c r="G525" s="3" t="inlineStr">
        <is>
          <t>Treatment of invasive aspergillosis in adults; Treatment of invasive mucormycosis in adults</t>
        </is>
      </c>
      <c r="H525" s="3" t="inlineStr">
        <is>
          <t>Taiwan injection insert §2 covers patients aged 1 year and over, and limits mucormycosis to patients 不適合接受 amphotericin B. The hospital text leaves out both the paediatric age range and the amphotericin B restriction.</t>
        </is>
      </c>
      <c r="I525" s="3" t="inlineStr">
        <is>
          <t>https://mcp.fda.gov.tw/im_detail_1/%E8%A1%9B%E9%83%A8%E8%97%A5%E8%BC%B8%E5%AD%97%E7%AC%AC027796%E8%99%9F</t>
        </is>
      </c>
      <c r="J525" s="3" t="inlineStr">
        <is>
          <t>Open</t>
        </is>
      </c>
      <c r="K525" s="3" t="inlineStr"/>
    </row>
    <row r="526">
      <c r="A526" s="3" t="n">
        <v>188</v>
      </c>
      <c r="B526" s="3" t="inlineStr">
        <is>
          <t>Cresemba (Isavuconazonium) (CRE02, CRE03)</t>
        </is>
      </c>
      <c r="C526" s="8" t="inlineStr">
        <is>
          <t>Medium</t>
        </is>
      </c>
      <c r="D526" s="3" t="inlineStr">
        <is>
          <t>Indication/coverage</t>
        </is>
      </c>
      <c r="E526" s="3" t="inlineStr"/>
      <c r="F526" s="3" t="inlineStr">
        <is>
          <t>Add amphotericin-B-inappropriate restriction; capsule adults only</t>
        </is>
      </c>
      <c r="G526" s="3" t="inlineStr">
        <is>
          <t>Invasive mucormycosis in adults (no amphotericin B restriction)</t>
        </is>
      </c>
      <c r="H526" s="3" t="inlineStr">
        <is>
          <t>Taiwan capsule insert §2: (2) 使用於不適合接受 amphotericin B 的病人治療白黴菌病; 以上適應症僅適用於成人.</t>
        </is>
      </c>
      <c r="I526" s="3" t="inlineStr">
        <is>
          <t>https://mcp.fda.gov.tw/im_detail_1/%E8%A1%9B%E9%83%A8%E8%97%A5%E8%BC%B8%E5%AD%97%E7%AC%AC027795%E8%99%9F</t>
        </is>
      </c>
      <c r="J526" s="3" t="inlineStr">
        <is>
          <t>Open</t>
        </is>
      </c>
      <c r="K526" s="3" t="inlineStr"/>
    </row>
    <row r="527">
      <c r="A527" s="3" t="n">
        <v>183</v>
      </c>
      <c r="B527" s="3" t="inlineStr">
        <is>
          <t>Cresemba (Isavuconazonium) (CRE02, CRE03)</t>
        </is>
      </c>
      <c r="C527" s="8" t="inlineStr">
        <is>
          <t>Medium</t>
        </is>
      </c>
      <c r="D527" s="3" t="inlineStr">
        <is>
          <t>Pregnancy</t>
        </is>
      </c>
      <c r="E527" s="3" t="inlineStr"/>
      <c r="F527" s="3" t="inlineStr">
        <is>
          <t>Use label wording: avoid in pregnancy unless life-threatening infection; contraception advised</t>
        </is>
      </c>
      <c r="G527" s="3" t="inlineStr">
        <is>
          <t>'Alternative antifungals recommended' only</t>
        </is>
      </c>
      <c r="H527" s="3" t="inlineStr">
        <is>
          <t>CRESEMBA must not be used in pregnancy unless the patient has a severe or potentially life-threatening fungal infection and the expected benefit outweighs the possible fetal risk. Not recommended in women of childbearing potential not using contraception.</t>
        </is>
      </c>
      <c r="I527" s="3" t="inlineStr">
        <is>
          <t>Taiwan insert 027796 §6.1/§6.3</t>
        </is>
      </c>
      <c r="J527" s="3" t="inlineStr">
        <is>
          <t>Open</t>
        </is>
      </c>
      <c r="K527" s="3" t="inlineStr"/>
    </row>
    <row r="528">
      <c r="A528" s="3" t="n">
        <v>192</v>
      </c>
      <c r="B528" s="3" t="inlineStr">
        <is>
          <t>Cresemba (Isavuconazonium) (CRE02, CRE03)</t>
        </is>
      </c>
      <c r="C528" s="8" t="inlineStr">
        <is>
          <t>Medium</t>
        </is>
      </c>
      <c r="D528" s="3" t="inlineStr">
        <is>
          <t>Pregnancy</t>
        </is>
      </c>
      <c r="E528" s="3" t="inlineStr"/>
      <c r="F528" s="3" t="inlineStr">
        <is>
          <t>Use TW wording: do not use in pregnancy unless life-threatening; contraception advised</t>
        </is>
      </c>
      <c r="G528" s="3" t="inlineStr">
        <is>
          <t>Use of alternative antifungals is recommended in pregnant women</t>
        </is>
      </c>
      <c r="H528" s="3" t="inlineStr">
        <is>
          <t>Taiwan injection insert §6.1: CRESEMBA 不得使用於懷孕期間，除非病人患有嚴重或可能危及生命的黴菌感染，且預期利益高於對胎兒的可能風險. §6.3: not recommended for women of childbearing potential who are not using contraception.</t>
        </is>
      </c>
      <c r="I528" s="3" t="inlineStr">
        <is>
          <t>https://mcp.fda.gov.tw/im_detail_1/%E8%A1%9B%E9%83%A8%E8%97%A5%E8%BC%B8%E5%AD%97%E7%AC%AC027796%E8%99%9F</t>
        </is>
      </c>
      <c r="J528" s="3" t="inlineStr">
        <is>
          <t>Open</t>
        </is>
      </c>
      <c r="K528" s="3" t="inlineStr"/>
    </row>
    <row r="529">
      <c r="A529" s="3" t="n">
        <v>354</v>
      </c>
      <c r="B529" s="3" t="inlineStr">
        <is>
          <t>Cubicin (Daptomycin) (CUB01)</t>
        </is>
      </c>
      <c r="C529" s="8" t="inlineStr">
        <is>
          <t>Medium</t>
        </is>
      </c>
      <c r="D529" s="3" t="inlineStr">
        <is>
          <t>Administration/compatibility</t>
        </is>
      </c>
      <c r="E529" s="3" t="inlineStr"/>
      <c r="F529" s="3" t="inlineStr">
        <is>
          <t>Diluent: stocked product's TW insert allows 0.9% NaCl only; remove LR attribution to 仿單</t>
        </is>
      </c>
      <c r="G529" s="3" t="inlineStr">
        <is>
          <t>稀釋溶液：NS、LR (仿單); 'Stable in NS or LR'</t>
        </is>
      </c>
      <c r="H529" s="3" t="inlineStr">
        <is>
          <t>The Taiwan insert for the stocked product says reconstituted Cubicin may be diluted only with 0.9% NaCl ('調配後Cubicin只能以0.9%氯化鈉注射液稀釋'). The hospital page attributes LR to the 仿單 incorrectly. This is an administration/compatibility issue for the hospital site and was not proposed for Notion.</t>
        </is>
      </c>
      <c r="I529" s="3" t="inlineStr">
        <is>
          <t>仿單 3.2.3 (https://mcp.fda.gov.tw/im_detail_1/%E8%A1%9B%E7%BD%B2%E8%97%A5%E8%BC%B8%E5%AD%97%E7%AC%AC024565%E8%99%9F)</t>
        </is>
      </c>
      <c r="J529" s="3" t="inlineStr">
        <is>
          <t>Open</t>
        </is>
      </c>
      <c r="K529" s="3" t="inlineStr"/>
    </row>
    <row r="530">
      <c r="A530" s="3" t="n">
        <v>345</v>
      </c>
      <c r="B530" s="3" t="inlineStr">
        <is>
          <t>Cubicin (Daptomycin) (CUB01)</t>
        </is>
      </c>
      <c r="C530" s="8" t="inlineStr">
        <is>
          <t>Medium</t>
        </is>
      </c>
      <c r="D530" s="3" t="inlineStr">
        <is>
          <t>Breastfeeding</t>
        </is>
      </c>
      <c r="E530" s="3" t="inlineStr">
        <is>
          <t>LactMed outdated</t>
        </is>
      </c>
      <c r="F530" s="3" t="inlineStr">
        <is>
          <t>Present in milk at ~0.1% maternal dose; LactMed: very low levels, acceptable</t>
        </is>
      </c>
      <c r="G530" s="3" t="inlineStr">
        <is>
          <t>Excretion into breast milk unknown</t>
        </is>
      </c>
      <c r="H530" s="3" t="inlineStr">
        <is>
          <t>Daptomycin is present in human milk; infant dose ≈0.1% of the maternal dose (US §8.2; TW insert: 會分泌至人體乳汁，嬰兒暴露量約為母體的0.1%). LactMed: very low levels, 0.1–0.5% weight-adjusted dose.</t>
        </is>
      </c>
      <c r="I530" s="3" t="inlineStr">
        <is>
          <t>US FDA label §8.2; TW insert 哺乳; LactMed NBK501604 – https://www.ncbi.nlm.nih.gov/books/NBK501604/</t>
        </is>
      </c>
      <c r="J530" s="3" t="inlineStr">
        <is>
          <t>Open</t>
        </is>
      </c>
      <c r="K530" s="3" t="inlineStr"/>
    </row>
    <row r="531">
      <c r="A531" s="3" t="n">
        <v>351</v>
      </c>
      <c r="B531" s="3" t="inlineStr">
        <is>
          <t>Cubicin (Daptomycin) (CUB01)</t>
        </is>
      </c>
      <c r="C531" s="8" t="inlineStr">
        <is>
          <t>Medium</t>
        </is>
      </c>
      <c r="D531" s="3" t="inlineStr">
        <is>
          <t>Breastfeeding</t>
        </is>
      </c>
      <c r="E531" s="3" t="inlineStr">
        <is>
          <t>LactMed outdated</t>
        </is>
      </c>
      <c r="F531" s="3" t="inlineStr">
        <is>
          <t>Update: present in milk ~0.1% maternal dose; LactMed no special precautions (UK SmPC differs)</t>
        </is>
      </c>
      <c r="G531" s="3" t="inlineStr">
        <is>
          <t>Excretion in breast milk unknown/use caution</t>
        </is>
      </c>
      <c r="H531" s="3" t="inlineStr">
        <is>
          <t>Daptomycin is present in human milk; infant dose about 0.1% of the maternal dose (US/仿單); 0.1-0.5% (LactMed); no adverse effects expected, no special precautions (LactMed). UK SmPC advises stopping breastfeeding.</t>
        </is>
      </c>
      <c r="I531" s="3" t="inlineStr">
        <is>
          <t>US label §8.2; 仿單 6.2 '會分泌至人體乳汁，嬰兒暴露量約為母體的0.1%'; LactMed NBK501604 (https://www.ncbi.nlm.nih.gov/books/NBK501604/)</t>
        </is>
      </c>
      <c r="J531" s="3" t="inlineStr">
        <is>
          <t>Open</t>
        </is>
      </c>
      <c r="K531" s="3" t="inlineStr"/>
    </row>
    <row r="532">
      <c r="A532" s="3" t="n">
        <v>346</v>
      </c>
      <c r="B532" s="3" t="inlineStr">
        <is>
          <t>Cubicin (Daptomycin) (CUB01)</t>
        </is>
      </c>
      <c r="C532" s="8" t="inlineStr">
        <is>
          <t>Medium</t>
        </is>
      </c>
      <c r="D532" s="3" t="inlineStr">
        <is>
          <t>Dosing – pediatric</t>
        </is>
      </c>
      <c r="E532" s="3" t="inlineStr"/>
      <c r="F532" s="3" t="inlineStr">
        <is>
          <t>Replace 'not established &lt;18 y' with approval for ages 1–17 (cSSSI, S. aureus bacteremia); avoid &lt;1 y</t>
        </is>
      </c>
      <c r="G532" s="3" t="inlineStr">
        <is>
          <t>Safety and efficacy in patients under the age of 18 have not been established</t>
        </is>
      </c>
      <c r="H532" s="3" t="inlineStr">
        <is>
          <t>Approved for ages 1–17 for cSSSI and S. aureus bacteremia (US §1.1/1.3/8.4; UK SmPC 4.1/4.2; TW 2.1/2.3). Only children under 1 year should avoid it. The hospital page's own administration field cites the insert for ages 1–17, so the page contradicts itself.</t>
        </is>
      </c>
      <c r="I532" s="3" t="inlineStr">
        <is>
          <t>US FDA label §8.4 – https://dailymed.nlm.nih.gov/dailymed/drugInfo.cfm?setid=0b1a8885-2198-4a0e-8105-0c76c1cba6c2; UK SmPC 4.1 – https://www.medicines.org.uk/emc/product/177/smpc; TW insert 2 適應症</t>
        </is>
      </c>
      <c r="J532" s="3" t="inlineStr">
        <is>
          <t>Open</t>
        </is>
      </c>
      <c r="K532" s="3" t="inlineStr"/>
    </row>
    <row r="533">
      <c r="A533" s="3" t="n">
        <v>352</v>
      </c>
      <c r="B533" s="3" t="inlineStr">
        <is>
          <t>Cubicin (Daptomycin) (CUB01)</t>
        </is>
      </c>
      <c r="C533" s="8" t="inlineStr">
        <is>
          <t>Medium</t>
        </is>
      </c>
      <c r="D533" s="3" t="inlineStr">
        <is>
          <t>Dosing – pediatric</t>
        </is>
      </c>
      <c r="E533" s="3" t="inlineStr"/>
      <c r="F533" s="3" t="inlineStr">
        <is>
          <t>Remove '&lt;18 y not established' from adult dose text; state approved ages 1–17, not &lt;1 y</t>
        </is>
      </c>
      <c r="G533" s="3" t="inlineStr">
        <is>
          <t>Safety and efficacy in patients under the age of 18 have not been established.</t>
        </is>
      </c>
      <c r="H533" s="3" t="inlineStr">
        <is>
          <t>Approved for cSSSI and S. aureus bacteraemia in children aged 1-17 years. Not recommended under 1 year. The hospital page's own administration field cites the 仿單 for ages 1-17.</t>
        </is>
      </c>
      <c r="I533" s="3" t="inlineStr">
        <is>
          <t>US label §1.1, §1.3, §8.4; 仿單 2.1, 2.3, 6.4; UK SmPC §4.1</t>
        </is>
      </c>
      <c r="J533" s="3" t="inlineStr">
        <is>
          <t>Open</t>
        </is>
      </c>
      <c r="K533" s="3" t="inlineStr"/>
    </row>
    <row r="534">
      <c r="A534" s="3" t="n">
        <v>1297</v>
      </c>
      <c r="B534" s="3" t="inlineStr">
        <is>
          <t>Delstrigo (Doravirine/Lamivudine/TDF) (DEL01)</t>
        </is>
      </c>
      <c r="C534" s="8" t="inlineStr">
        <is>
          <t>Medium</t>
        </is>
      </c>
      <c r="D534" s="3" t="inlineStr">
        <is>
          <t>Adverse effects</t>
        </is>
      </c>
      <c r="E534" s="3" t="inlineStr"/>
      <c r="F534" s="3" t="inlineStr">
        <is>
          <t>Replace drug-bag ADRs with common ones (dizziness, nausea, abnormal dreams); add HBV flare, renal, skin warnings.</t>
        </is>
      </c>
      <c r="G534" s="3" t="inlineStr">
        <is>
          <t>高血糖、貧血、皮膚搔癢、暈眩、腹痛、皮疹、骨密度降低</t>
        </is>
      </c>
      <c r="H534" s="3" t="inlineStr">
        <is>
          <t>The most common reactions (≥5%) are dizziness, nausea and abnormal dreams; headache, insomnia, diarrhoea and somnolence are next. High blood sugar, anaemia and itching are rare post-marketing 3TC events. The list leaves out the key warnings: HBV flare on stopping, kidney damage, and severe skin reactions.</t>
        </is>
      </c>
      <c r="I534" s="3" t="inlineStr">
        <is>
          <t>US FDA label §6.1 Table 1, §6.2, Boxed Warning — https://dailymed.nlm.nih.gov/dailymed/drugInfo.cfm?setid=cd1e9f84-607a-46d3-b01e-2736018d67b6</t>
        </is>
      </c>
      <c r="J534" s="3" t="inlineStr">
        <is>
          <t>Open</t>
        </is>
      </c>
      <c r="K534" s="3" t="inlineStr"/>
    </row>
    <row r="535">
      <c r="A535" s="3" t="n">
        <v>1300</v>
      </c>
      <c r="B535" s="3" t="inlineStr">
        <is>
          <t>Delstrigo (Doravirine/Lamivudine/TDF) (DEL01)</t>
        </is>
      </c>
      <c r="C535" s="8" t="inlineStr">
        <is>
          <t>Medium</t>
        </is>
      </c>
      <c r="D535" s="3" t="inlineStr">
        <is>
          <t>Adverse effects</t>
        </is>
      </c>
      <c r="E535" s="3" t="inlineStr">
        <is>
          <t>Missing SCAR (SJS/TEN/DRESS)</t>
        </is>
      </c>
      <c r="F535" s="3" t="inlineStr">
        <is>
          <t>Add DRESS to severe skin reactions per US label 07/2026.</t>
        </is>
      </c>
      <c r="G535" s="3" t="inlineStr">
        <is>
          <t>Lists SJS/TEN but not DRESS</t>
        </is>
      </c>
      <c r="H535" s="3" t="inlineStr">
        <is>
          <t>US label (Revised 07/2026) added DRESS to W&amp;P 5.1. The TW insert (2025-11 version) has not yet added it.</t>
        </is>
      </c>
      <c r="I535" s="3" t="inlineStr">
        <is>
          <t>US FDA label §5.1 — https://dailymed.nlm.nih.gov/dailymed/drugInfo.cfm?setid=cd1e9f84-607a-46d3-b01e-2736018d67b6</t>
        </is>
      </c>
      <c r="J535" s="3" t="inlineStr">
        <is>
          <t>Open</t>
        </is>
      </c>
      <c r="K535" s="3" t="inlineStr"/>
    </row>
    <row r="536">
      <c r="A536" s="3" t="n">
        <v>1306</v>
      </c>
      <c r="B536" s="3" t="inlineStr">
        <is>
          <t>Delstrigo (Doravirine/Lamivudine/TDF) (DEL01)</t>
        </is>
      </c>
      <c r="C536" s="8" t="inlineStr">
        <is>
          <t>Medium</t>
        </is>
      </c>
      <c r="D536" s="3" t="inlineStr">
        <is>
          <t>Adverse effects</t>
        </is>
      </c>
      <c r="E536" s="3" t="inlineStr"/>
      <c r="F536" s="3" t="inlineStr">
        <is>
          <t>Rebuild ADR list with common reactions and key warnings (boxed HBV flare, renal injury, severe skin reactions).</t>
        </is>
      </c>
      <c r="G536" s="3" t="inlineStr">
        <is>
          <t>高血糖、貧血、皮膚搔癢、暈眩、腹痛、皮疹、骨密度降低</t>
        </is>
      </c>
      <c r="H536" s="3" t="inlineStr">
        <is>
          <t>This list is mostly rare post-marketing lamivudine/TDF events. It leaves out the most common reactions (dizziness 7%, nausea 5%, abnormal dreams 5%) and the key warnings: HBV flare if the drug is stopped (US boxed), kidney injury/Fanconi syndrome, and severe skin reactions.</t>
        </is>
      </c>
      <c r="I536" s="3" t="inlineStr">
        <is>
          <t>US FDA label boxed warning, §5, 6.1 Table 1 – https://dailymed.nlm.nih.gov/dailymed/drugInfo.cfm?setid=cd1e9f84-607a-46d3-b01e-2736018d67b6</t>
        </is>
      </c>
      <c r="J536" s="3" t="inlineStr">
        <is>
          <t>Open</t>
        </is>
      </c>
      <c r="K536" s="3" t="inlineStr"/>
    </row>
    <row r="537">
      <c r="A537" s="3" t="n">
        <v>1307</v>
      </c>
      <c r="B537" s="3" t="inlineStr">
        <is>
          <t>Delstrigo (Doravirine/Lamivudine/TDF) (DEL01)</t>
        </is>
      </c>
      <c r="C537" s="8" t="inlineStr">
        <is>
          <t>Medium</t>
        </is>
      </c>
      <c r="D537" s="3" t="inlineStr">
        <is>
          <t>Adverse effects</t>
        </is>
      </c>
      <c r="E537" s="3" t="inlineStr">
        <is>
          <t>Missing SCAR (SJS/TEN/DRESS)</t>
        </is>
      </c>
      <c r="F537" s="3" t="inlineStr">
        <is>
          <t>Add DRESS alongside SJS/TEN per updated US label 5.1.</t>
        </is>
      </c>
      <c r="G537" s="3" t="inlineStr">
        <is>
          <t>Severe Skin Reactions [SJS/TEN]</t>
        </is>
      </c>
      <c r="H537" s="3" t="inlineStr">
        <is>
          <t>US label 5.1 (Recent Major Change 7/2026) now also includes DRESS, seen with a two-drug doravirine regimen. TW insert v7 lists TEN only. The hospital text is behind the current US label.</t>
        </is>
      </c>
      <c r="I537" s="3" t="inlineStr">
        <is>
          <t>US FDA label §5.1 – https://dailymed.nlm.nih.gov/dailymed/drugInfo.cfm?setid=cd1e9f84-607a-46d3-b01e-2736018d67b6</t>
        </is>
      </c>
      <c r="J537" s="3" t="inlineStr">
        <is>
          <t>Open</t>
        </is>
      </c>
      <c r="K537" s="3" t="inlineStr"/>
    </row>
    <row r="538">
      <c r="A538" s="3" t="n">
        <v>1299</v>
      </c>
      <c r="B538" s="3" t="inlineStr">
        <is>
          <t>Delstrigo (Doravirine/Lamivudine/TDF) (DEL01)</t>
        </is>
      </c>
      <c r="C538" s="8" t="inlineStr">
        <is>
          <t>Medium</t>
        </is>
      </c>
      <c r="D538" s="3" t="inlineStr">
        <is>
          <t>Breastfeeding</t>
        </is>
      </c>
      <c r="E538" s="3" t="inlineStr">
        <is>
          <t>LactMed outdated</t>
        </is>
      </c>
      <c r="F538" s="3" t="inlineStr">
        <is>
          <t>Add current LactMed guidance: breastfeeding can be supported with sustained undetectable viral load.</t>
        </is>
      </c>
      <c r="G538" s="3" t="inlineStr">
        <is>
          <t>US §8.2 risk wording (lists the risks; no category)</t>
        </is>
      </c>
      <c r="H538" s="3" t="inlineStr">
        <is>
          <t>Current LactMed: breastfeeding can be supported when the viral load stays undetectable (transmission risk &lt;1%); use formula or donor milk if it is not suppressed. The TW insert and UK SmPC still say not to breastfeed. The hospital text is not wrong, but it is incomplete and more conservative than current guidance.</t>
        </is>
      </c>
      <c r="I538" s="3" t="inlineStr">
        <is>
          <t>LactMed NBK532499 / NBK501536 / NBK501549</t>
        </is>
      </c>
      <c r="J538" s="3" t="inlineStr">
        <is>
          <t>Open</t>
        </is>
      </c>
      <c r="K538" s="3" t="inlineStr"/>
    </row>
    <row r="539">
      <c r="A539" s="3" t="n">
        <v>147</v>
      </c>
      <c r="B539" s="3" t="inlineStr">
        <is>
          <t>Diflucan (Fluconazole) (DIF02, FLU22)</t>
        </is>
      </c>
      <c r="C539" s="8" t="inlineStr">
        <is>
          <t>Medium</t>
        </is>
      </c>
      <c r="D539" s="3" t="inlineStr">
        <is>
          <t>Adverse effects</t>
        </is>
      </c>
      <c r="E539" s="3" t="inlineStr">
        <is>
          <t>Missing SCAR (SJS/TEN/DRESS)</t>
        </is>
      </c>
      <c r="F539" s="3" t="inlineStr">
        <is>
          <t>Add QT/TdP, serious hepatotoxicity, SJS/TEN, DRESS, seizures, agranulocytosis, adrenal insufficiency</t>
        </is>
      </c>
      <c r="G539" s="3" t="inlineStr">
        <is>
          <t>Nausea, vomiting, raised LFTs, hypokalaemia only</t>
        </is>
      </c>
      <c r="H539" s="3" t="inlineStr">
        <is>
          <t>The labels also list headache, rash, QT prolongation/torsade de pointes, serious hepatotoxicity (including fatal), SJS/TEN, DRESS, seizures, agranulocytosis/thrombocytopenia and adrenal insufficiency.</t>
        </is>
      </c>
      <c r="I539" s="3" t="inlineStr">
        <is>
          <t>US FDA label ADVERSE REACTIONS / Post-Marketing; TW Diflucan IV insert §8</t>
        </is>
      </c>
      <c r="J539" s="3" t="inlineStr">
        <is>
          <t>Open</t>
        </is>
      </c>
      <c r="K539" s="3" t="inlineStr"/>
    </row>
    <row r="540">
      <c r="A540" s="3" t="n">
        <v>155</v>
      </c>
      <c r="B540" s="3" t="inlineStr">
        <is>
          <t>Diflucan (Fluconazole) (DIF02, FLU22)</t>
        </is>
      </c>
      <c r="C540" s="8" t="inlineStr">
        <is>
          <t>Medium</t>
        </is>
      </c>
      <c r="D540" s="3" t="inlineStr">
        <is>
          <t>Breastfeeding</t>
        </is>
      </c>
      <c r="E540" s="3" t="inlineStr"/>
      <c r="F540" s="3" t="inlineStr">
        <is>
          <t>Add label caution: not recommended after repeated/high doses; note LactMed considers acceptable</t>
        </is>
      </c>
      <c r="G540" s="3" t="inlineStr">
        <is>
          <t>Infant risk is minimal</t>
        </is>
      </c>
      <c r="H540" s="3" t="inlineStr">
        <is>
          <t>TW Diflucan IV insert §6.2 and UK SmPC 4.6: breastfeeding may continue after a single 150 mg dose but is not recommended after repeated or high doses. The IV product is used at repeated high doses. LactMed calls it acceptable.</t>
        </is>
      </c>
      <c r="I540" s="3" t="inlineStr">
        <is>
          <t>TW 仿單 §6.2 哺乳; UK SmPC 4.6; LactMed NBK501223</t>
        </is>
      </c>
      <c r="J540" s="3" t="inlineStr">
        <is>
          <t>Open</t>
        </is>
      </c>
      <c r="K540" s="3" t="inlineStr"/>
    </row>
    <row r="541">
      <c r="A541" s="3" t="n">
        <v>156</v>
      </c>
      <c r="B541" s="3" t="inlineStr">
        <is>
          <t>Diflucan (Fluconazole) (DIF02, FLU22)</t>
        </is>
      </c>
      <c r="C541" s="8" t="inlineStr">
        <is>
          <t>Medium</t>
        </is>
      </c>
      <c r="D541" s="3" t="inlineStr">
        <is>
          <t>Dosing – adult</t>
        </is>
      </c>
      <c r="E541" s="3" t="inlineStr"/>
      <c r="F541" s="3" t="inlineStr">
        <is>
          <t>Mark 800/400 mg candidemia regimen as IDSA/UK-sourced; note TW insert 400→200 mg</t>
        </is>
      </c>
      <c r="G541" s="3" t="inlineStr">
        <is>
          <t>Loading 800 mg (12 mg/kg) day 1, then 400 mg (6 mg/kg) QD</t>
        </is>
      </c>
      <c r="H541" s="3" t="inlineStr">
        <is>
          <t>This matches the UK SmPC and IDSA but not the stocked TW Diflucan IV insert (400 mg day 1, then 200 mg QD, up to 400 mg). The site does not say the regimen comes from a guideline rather than the insert.</t>
        </is>
      </c>
      <c r="I541" s="3" t="inlineStr">
        <is>
          <t>TW 仿單 DIFLUCAN IV §3.1 成人 2.; UK SmPC 4.2</t>
        </is>
      </c>
      <c r="J541" s="3" t="inlineStr">
        <is>
          <t>Open</t>
        </is>
      </c>
      <c r="K541" s="3" t="inlineStr"/>
    </row>
    <row r="542">
      <c r="A542" s="3" t="n">
        <v>143</v>
      </c>
      <c r="B542" s="3" t="inlineStr">
        <is>
          <t>Diflucan (Fluconazole) (DIF02, FLU22)</t>
        </is>
      </c>
      <c r="C542" s="8" t="inlineStr">
        <is>
          <t>Medium</t>
        </is>
      </c>
      <c r="D542" s="3" t="inlineStr">
        <is>
          <t>Dosing – pediatric</t>
        </is>
      </c>
      <c r="E542" s="3" t="inlineStr"/>
      <c r="F542" s="3" t="inlineStr">
        <is>
          <t>Replace 'not recommended' with pediatric dosing (TW 1–2/3–6 mg/kg/d; US from birth)</t>
        </is>
      </c>
      <c r="G542" s="3" t="inlineStr">
        <is>
          <t>Not recommended in children</t>
        </is>
      </c>
      <c r="H542" s="3" t="inlineStr">
        <is>
          <t>The US label gives paediatric dosing from birth (systemic candidiasis 25 mg/kg load then 12 or 9 mg/kg; mucosal ≥6 months). The UK SmPC is indicated for ages 0–17. The TW insert says only '16歲以下不建議, unless necessary' and then gives 1–2 / 3–6 mg/kg/day.</t>
        </is>
      </c>
      <c r="I542" s="3" t="inlineStr">
        <is>
          <t>US FDA label Dosage and Administration in Pediatric Patients; UK SmPC §4.1/4.2; TW Diflucan IV insert §3.3</t>
        </is>
      </c>
      <c r="J542" s="3" t="inlineStr">
        <is>
          <t>Open</t>
        </is>
      </c>
      <c r="K542" s="3" t="inlineStr"/>
    </row>
    <row r="543">
      <c r="A543" s="3" t="n">
        <v>150</v>
      </c>
      <c r="B543" s="3" t="inlineStr">
        <is>
          <t>Diflucan (Fluconazole) (DIF02, FLU22)</t>
        </is>
      </c>
      <c r="C543" s="8" t="inlineStr">
        <is>
          <t>Medium</t>
        </is>
      </c>
      <c r="D543" s="3" t="inlineStr">
        <is>
          <t>Dosing – pediatric</t>
        </is>
      </c>
      <c r="E543" s="3" t="inlineStr"/>
      <c r="F543" s="3" t="inlineStr">
        <is>
          <t>Add pediatric dosing (US from birth; TW 1–2/3–6 mg/kg/d when necessary)</t>
        </is>
      </c>
      <c r="G543" s="3" t="inlineStr">
        <is>
          <t>Not recommended in children</t>
        </is>
      </c>
      <c r="H543" s="3" t="inlineStr">
        <is>
          <t>US label gives paediatric IV dosing from birth for systemic candidiasis and from 6 months for mucosal disease. UK SmPC 4.1/4.2 covers 0–17 years. The TW Diflucan IV insert says &lt;16 y 不建議 only 'unless the physician considers it necessary', and gives 1–2 / 3–6 mg/kg/d.</t>
        </is>
      </c>
      <c r="I543" s="3" t="inlineStr">
        <is>
          <t>US label Dosage and Administration in Pediatric Patients; UK SmPC 4.2 https://www.medicines.org.uk/emc/product/15231/smpc; TW 仿單 §3.3 小孩</t>
        </is>
      </c>
      <c r="J543" s="3" t="inlineStr">
        <is>
          <t>Open</t>
        </is>
      </c>
      <c r="K543" s="3" t="inlineStr"/>
    </row>
    <row r="544">
      <c r="A544" s="3" t="n">
        <v>142</v>
      </c>
      <c r="B544" s="3" t="inlineStr">
        <is>
          <t>Diflucan (Fluconazole) (DIF02, FLU22)</t>
        </is>
      </c>
      <c r="C544" s="8" t="inlineStr">
        <is>
          <t>Medium</t>
        </is>
      </c>
      <c r="D544" s="3" t="inlineStr">
        <is>
          <t>Pregnancy</t>
        </is>
      </c>
      <c r="E544" s="3" t="inlineStr">
        <is>
          <t>FDA letter category</t>
        </is>
      </c>
      <c r="F544" s="3" t="inlineStr">
        <is>
          <t>Replace D/C letters with narrative: avoid except severe/life-threatening infection; high-dose anomaly risk; contraception</t>
        </is>
      </c>
      <c r="G544" s="3" t="inlineStr">
        <is>
          <t>DIF02: 'D [FDA.AUS]'; FLU22: 'C'</t>
        </is>
      </c>
      <c r="H544" s="3" t="inlineStr">
        <is>
          <t>The FDA retired letter categories. The current US label is narrative: avoid except in severe or life-threatening infection; high-dose anomalies; 150 mg epidemiological signal; contraception for ~1 week after the last dose. The TW inserts use the same narrative. 'C' (the old FDA category for single 150 mg vaginal use) is out of date. Note that 'AUS' (TGA) letter categories are still used in Australia; this review did not verify them.</t>
        </is>
      </c>
      <c r="I544" s="3" t="inlineStr">
        <is>
          <t>US FDA label WARNINGS (4) / PRECAUTIONS Teratogenic Effects https://dailymed.nlm.nih.gov/dailymed/drugInfo.cfm?setid=02f74fe7-0649-46c5-a06a-0700cd265773; TW Diflucan IV insert §6.1</t>
        </is>
      </c>
      <c r="J544" s="3" t="inlineStr">
        <is>
          <t>Open</t>
        </is>
      </c>
      <c r="K544" s="3" t="inlineStr"/>
    </row>
    <row r="545">
      <c r="A545" s="3" t="n">
        <v>149</v>
      </c>
      <c r="B545" s="3" t="inlineStr">
        <is>
          <t>Diflucan (Fluconazole) (DIF02, FLU22)</t>
        </is>
      </c>
      <c r="C545" s="8" t="inlineStr">
        <is>
          <t>Medium</t>
        </is>
      </c>
      <c r="D545" s="3" t="inlineStr">
        <is>
          <t>Pregnancy</t>
        </is>
      </c>
      <c r="E545" s="3" t="inlineStr">
        <is>
          <t>FDA letter category</t>
        </is>
      </c>
      <c r="F545" s="3" t="inlineStr">
        <is>
          <t>Replace 'C' with narrative (avoid unless severe infection); align with DIF02</t>
        </is>
      </c>
      <c r="G545" s="3" t="inlineStr">
        <is>
          <t>C</t>
        </is>
      </c>
      <c r="H545" s="3" t="inlineStr">
        <is>
          <t>TW Fluene insert: 懷孕時應避免使用本品，除非病人患有嚴重或可能危及生命的黴菌感染 (narrative, no letter category). The retired FDA letter is also inconsistent with DIF02's 'D' for the same molecule.</t>
        </is>
      </c>
      <c r="I545" s="3" t="inlineStr">
        <is>
          <t>TW 仿單 FLUENE 衛署藥製字第041997號 懷孕 section https://mcp.fda.gov.tw/im_detail_1/%E8%A1%9B%E7%BD%B2%E8%97%A5%E8%A3%BD%E5%AD%97%E7%AC%AC041997%E8%99%9F</t>
        </is>
      </c>
      <c r="J545" s="3" t="inlineStr">
        <is>
          <t>Open</t>
        </is>
      </c>
      <c r="K545" s="3" t="inlineStr"/>
    </row>
    <row r="546">
      <c r="A546" s="3" t="n">
        <v>839</v>
      </c>
      <c r="B546" s="3" t="inlineStr">
        <is>
          <t>Disfect (Fusidic acid) (DIS01)</t>
        </is>
      </c>
      <c r="C546" s="8" t="inlineStr">
        <is>
          <t>Medium</t>
        </is>
      </c>
      <c r="D546" s="3" t="inlineStr">
        <is>
          <t>Adverse effects</t>
        </is>
      </c>
      <c r="E546" s="3" t="inlineStr">
        <is>
          <t>Missing SCAR (SJS/TEN/DRESS)</t>
        </is>
      </c>
      <c r="F546" s="3" t="inlineStr">
        <is>
          <t>Add DRESS, SJS/TEN, anaphylaxis, rhabdomyolysis, renal failure, blood dyscrasias, hepatic failure</t>
        </is>
      </c>
      <c r="G546" s="3" t="inlineStr">
        <is>
          <t>GI upset; reversible transaminase rise and jaundice at 1.5–3 g/day</t>
        </is>
      </c>
      <c r="H546" s="3" t="inlineStr">
        <is>
          <t>Also lists serious reactions the hospital page omits: DRESS, SJS/TEN, anaphylactic shock, rhabdomyolysis, renal failure, blood dyscrasias (pancytopenia, leukopenia, thrombocytopenia, anaemia) and hepatic failure. The SmPC does not tie hepatotoxicity to a 1.5–3 g/day threshold.</t>
        </is>
      </c>
      <c r="I546" s="3" t="inlineStr">
        <is>
          <t>UK SmPC 5515 sections 4.4 and 4.8 — https://www.medicines.org.uk/emc/product/5515/smpc</t>
        </is>
      </c>
      <c r="J546" s="3" t="inlineStr">
        <is>
          <t>Open</t>
        </is>
      </c>
      <c r="K546" s="3" t="inlineStr"/>
    </row>
    <row r="547">
      <c r="A547" s="3" t="n">
        <v>849</v>
      </c>
      <c r="B547" s="3" t="inlineStr">
        <is>
          <t>Disfect (Fusidic acid) (DIS01)</t>
        </is>
      </c>
      <c r="C547" s="8" t="inlineStr">
        <is>
          <t>Medium</t>
        </is>
      </c>
      <c r="D547" s="3" t="inlineStr">
        <is>
          <t>Adverse effects</t>
        </is>
      </c>
      <c r="E547" s="3" t="inlineStr">
        <is>
          <t>Missing SCAR (SJS/TEN/DRESS)</t>
        </is>
      </c>
      <c r="F547" s="3" t="inlineStr">
        <is>
          <t>Remove 1.5–3 g/day threshold; add hepatic failure, rhabdomyolysis, renal failure, SCAR</t>
        </is>
      </c>
      <c r="G547" s="3" t="inlineStr">
        <is>
          <t>GI upset; reversible transaminase rise and jaundice at 1.5–3 g/day</t>
        </is>
      </c>
      <c r="H547" s="3" t="inlineStr">
        <is>
          <t>The UK SmPC does not give a dose threshold. It lists hepatic failure, cholestasis, hepatitis and jaundice (uncommon); rhabdomyolysis, which may be fatal (uncommon); renal failure (uncommon); blood dyscrasias (uncommon); anaphylaxis; and DRESS/SJS/TEN. The 1.5–3 g/day statement could not be verified against an official label (possibly from the Taiwan insert, which I could not obtain).</t>
        </is>
      </c>
      <c r="I547" s="3" t="inlineStr">
        <is>
          <t>UK SmPC Fucidin 250 mg Tablets §4.8 - https://www.medicines.org.uk/emc/product/5515/smpc</t>
        </is>
      </c>
      <c r="J547" s="3" t="inlineStr">
        <is>
          <t>Open</t>
        </is>
      </c>
      <c r="K547" s="3" t="inlineStr"/>
    </row>
    <row r="548">
      <c r="A548" s="3" t="n">
        <v>835</v>
      </c>
      <c r="B548" s="3" t="inlineStr">
        <is>
          <t>Disfect (Fusidic acid) (DIS01)</t>
        </is>
      </c>
      <c r="C548" s="8" t="inlineStr">
        <is>
          <t>Medium</t>
        </is>
      </c>
      <c r="D548" s="3" t="inlineStr">
        <is>
          <t>Breastfeeding</t>
        </is>
      </c>
      <c r="E548" s="3" t="inlineStr"/>
      <c r="F548" s="3" t="inlineStr">
        <is>
          <t>Change to SmPC: milk excretion likely, infant risk not excluded; benefit/risk decision</t>
        </is>
      </c>
      <c r="G548" s="3" t="inlineStr">
        <is>
          <t>Fusidic acid 在乳汁中的濃度微少，對哺乳婦女無禁忌 (low milk levels; no contraindication for breastfeeding)</t>
        </is>
      </c>
      <c r="H548" s="3" t="inlineStr">
        <is>
          <t>Excretion into human milk is likely and a risk to the suckling child cannot be excluded. Decide on a benefit/risk basis whether to stop breastfeeding or stop/avoid therapy. LactMed: data are old and limited, and no infant-effect data exist.</t>
        </is>
      </c>
      <c r="I548" s="3" t="inlineStr">
        <is>
          <t>UK SmPC Fucidin 250 mg Tablets section 4.6 — https://www.medicines.org.uk/emc/product/5515/smpc; LactMed NBK500893 — https://www.ncbi.nlm.nih.gov/books/NBK500893/</t>
        </is>
      </c>
      <c r="J548" s="3" t="inlineStr">
        <is>
          <t>Open</t>
        </is>
      </c>
      <c r="K548" s="3" t="inlineStr"/>
    </row>
    <row r="549">
      <c r="A549" s="3" t="n">
        <v>843</v>
      </c>
      <c r="B549" s="3" t="inlineStr">
        <is>
          <t>Disfect (Fusidic acid) (DIS01)</t>
        </is>
      </c>
      <c r="C549" s="8" t="inlineStr">
        <is>
          <t>Medium</t>
        </is>
      </c>
      <c r="D549" s="3" t="inlineStr">
        <is>
          <t>Breastfeeding</t>
        </is>
      </c>
      <c r="E549" s="3" t="inlineStr"/>
      <c r="F549" s="3" t="inlineStr">
        <is>
          <t>Replace 'no contraindication' with SmPC 4.6 benefit/risk breastfeeding statement</t>
        </is>
      </c>
      <c r="G549" s="3" t="inlineStr">
        <is>
          <t>Fusidic acid 在乳汁中的濃度微少，對哺乳婦女無禁忌 (low milk concentration, no contraindication for breastfeeding)</t>
        </is>
      </c>
      <c r="H549" s="3" t="inlineStr">
        <is>
          <t>"Physico-chemical data suggest excretion of fusidic acid in human milk. A risk to the suckling child cannot be excluded. A decision must be made whether to discontinue breast-feeding or to discontinue/abstain from systemic Fucidin therapy" (UK SmPC 4.6). LactMed: low levels after IV, but the data are old and there are no infant data.</t>
        </is>
      </c>
      <c r="I549" s="3" t="inlineStr">
        <is>
          <t>UK SmPC Fucidin 250 mg Tablets §4.6 - https://www.medicines.org.uk/emc/product/5515/smpc; LactMed NBK500893 - https://www.ncbi.nlm.nih.gov/books/NBK500893/</t>
        </is>
      </c>
      <c r="J549" s="3" t="inlineStr">
        <is>
          <t>Open</t>
        </is>
      </c>
      <c r="K549" s="3" t="inlineStr"/>
    </row>
    <row r="550">
      <c r="A550" s="3" t="n">
        <v>840</v>
      </c>
      <c r="B550" s="3" t="inlineStr">
        <is>
          <t>Disfect (Fusidic acid) (DIS01)</t>
        </is>
      </c>
      <c r="C550" s="8" t="inlineStr">
        <is>
          <t>Medium</t>
        </is>
      </c>
      <c r="D550" s="3" t="inlineStr">
        <is>
          <t>Dosing – hepatic</t>
        </is>
      </c>
      <c r="E550" s="3" t="inlineStr"/>
      <c r="F550" s="3" t="inlineStr">
        <is>
          <t>Broaden LFT monitoring to any hepatotoxic drugs; add biliary obstruction and neonatal kernicterus caution</t>
        </is>
      </c>
      <c r="G550" s="3" t="inlineStr">
        <is>
          <t>Regular LFT checks in hepatic impairment, biliary abnormality, or with other antibiotics excreted by the same pathway</t>
        </is>
      </c>
      <c r="H550" s="3" t="inlineStr">
        <is>
          <t>Monitor LFT in hepatic dysfunction or with potentially hepatotoxic drugs (any class, not only biliary-excreted antibiotics). Caution in biliary disease or obstruction and in impaired bilirubin transport; neonates are at theoretical kernicterus risk.</t>
        </is>
      </c>
      <c r="I550" s="3" t="inlineStr">
        <is>
          <t>UK SmPC 5515 section 4.4 — https://www.medicines.org.uk/emc/product/5515/smpc</t>
        </is>
      </c>
      <c r="J550" s="3" t="inlineStr">
        <is>
          <t>Open</t>
        </is>
      </c>
      <c r="K550" s="3" t="inlineStr"/>
    </row>
    <row r="551">
      <c r="A551" s="3" t="n">
        <v>847</v>
      </c>
      <c r="B551" s="3" t="inlineStr">
        <is>
          <t>Disfect (Fusidic acid) (DIS01)</t>
        </is>
      </c>
      <c r="C551" s="8" t="inlineStr">
        <is>
          <t>Medium</t>
        </is>
      </c>
      <c r="D551" s="3" t="inlineStr">
        <is>
          <t>Dosing – hepatic</t>
        </is>
      </c>
      <c r="E551" s="3" t="inlineStr"/>
      <c r="F551" s="3" t="inlineStr">
        <is>
          <t>Expand hepatic precautions per SmPC (hepatotoxic drugs, biliary obstruction, neonates)</t>
        </is>
      </c>
      <c r="G551" s="3" t="inlineStr">
        <is>
          <t>Check LFTs regularly in hepatic impairment, biliary abnormality, or with other antibiotics excreted by the same pathway</t>
        </is>
      </c>
      <c r="H551" s="3" t="inlineStr">
        <is>
          <t>Monitor LFTs in hepatic dysfunction or "in patients taking potentially hepatotoxic drugs". Caution in biliary disease or obstruction and in impaired bilirubin transport or metabolism. Particular care in neonates because of the theoretical risk of kernicterus. The hospital wording covers less than the SmPC.</t>
        </is>
      </c>
      <c r="I551" s="3" t="inlineStr">
        <is>
          <t>UK SmPC Fucidin 250 mg Tablets §4.4 - https://www.medicines.org.uk/emc/product/5515/smpc</t>
        </is>
      </c>
      <c r="J551" s="3" t="inlineStr">
        <is>
          <t>Open</t>
        </is>
      </c>
      <c r="K551" s="3" t="inlineStr"/>
    </row>
    <row r="552">
      <c r="A552" s="3" t="n">
        <v>836</v>
      </c>
      <c r="B552" s="3" t="inlineStr">
        <is>
          <t>Disfect (Fusidic acid) (DIS01)</t>
        </is>
      </c>
      <c r="C552" s="8" t="inlineStr">
        <is>
          <t>Medium</t>
        </is>
      </c>
      <c r="D552" s="3" t="inlineStr">
        <is>
          <t>Pregnancy</t>
        </is>
      </c>
      <c r="E552" s="3" t="inlineStr"/>
      <c r="F552" s="3" t="inlineStr">
        <is>
          <t>Change to avoid systemic use throughout pregnancy, not only 3rd trimester</t>
        </is>
      </c>
      <c r="G552" s="3" t="inlineStr">
        <is>
          <t>Crosses the placenta; avoid only during the last three months of pregnancy</t>
        </is>
      </c>
      <c r="H552" s="3" t="inlineStr">
        <is>
          <t>As a precaution, it is preferable to avoid systemic use during pregnancy (the whole pregnancy, not only the third trimester). Human data are limited (&lt;300 outcomes).</t>
        </is>
      </c>
      <c r="I552" s="3" t="inlineStr">
        <is>
          <t>UK SmPC Fucidin 250 mg Tablets section 4.6 — https://www.medicines.org.uk/emc/product/5515/smpc</t>
        </is>
      </c>
      <c r="J552" s="3" t="inlineStr">
        <is>
          <t>Open</t>
        </is>
      </c>
      <c r="K552" s="3" t="inlineStr"/>
    </row>
    <row r="553">
      <c r="A553" s="3" t="n">
        <v>844</v>
      </c>
      <c r="B553" s="3" t="inlineStr">
        <is>
          <t>Disfect (Fusidic acid) (DIS01)</t>
        </is>
      </c>
      <c r="C553" s="8" t="inlineStr">
        <is>
          <t>Medium</t>
        </is>
      </c>
      <c r="D553" s="3" t="inlineStr">
        <is>
          <t>Pregnancy</t>
        </is>
      </c>
      <c r="E553" s="3" t="inlineStr"/>
      <c r="F553" s="3" t="inlineStr">
        <is>
          <t>Avoid systemic use throughout pregnancy; remove unsupported placental transfer claim</t>
        </is>
      </c>
      <c r="G553" s="3" t="inlineStr">
        <is>
          <t>Avoid only in the last three months of pregnancy; states that the drug crosses the placenta</t>
        </is>
      </c>
      <c r="H553" s="3" t="inlineStr">
        <is>
          <t>"As a precautionary measure, it is preferable to avoid the use of systemic Fucidin during pregnancy". The precaution covers the whole pregnancy, not just the third trimester. The SmPC does not mention placental transfer.</t>
        </is>
      </c>
      <c r="I553" s="3" t="inlineStr">
        <is>
          <t>UK SmPC Fucidin 250 mg Tablets §4.6 - https://www.medicines.org.uk/emc/product/5515/smpc</t>
        </is>
      </c>
      <c r="J553" s="3" t="inlineStr">
        <is>
          <t>Open</t>
        </is>
      </c>
      <c r="K553" s="3" t="inlineStr"/>
    </row>
    <row r="554">
      <c r="A554" s="3" t="n">
        <v>1244</v>
      </c>
      <c r="B554" s="3" t="inlineStr">
        <is>
          <t>Dovato (Dolutegravir/Lamivudine) (DOV01)</t>
        </is>
      </c>
      <c r="C554" s="8" t="inlineStr">
        <is>
          <t>Medium</t>
        </is>
      </c>
      <c r="D554" s="3" t="inlineStr">
        <is>
          <t>Breastfeeding</t>
        </is>
      </c>
      <c r="E554" s="3" t="inlineStr">
        <is>
          <t>LactMed outdated</t>
        </is>
      </c>
      <c r="F554" s="3" t="inlineStr">
        <is>
          <t>State TW/UK advise not to breastfeed and LactMed position with sustained viral suppression.</t>
        </is>
      </c>
      <c r="G554" s="3" t="inlineStr">
        <is>
          <t>'Present in breast milk. Refer to individual monographs.'</t>
        </is>
      </c>
      <c r="H554" s="3" t="inlineStr">
        <is>
          <t>TW §6.2 and UK §4.6 say instruct mothers not to breastfeed. LactMed says to support breastfeeding with sustained viral suppression (transmission &lt;1%); otherwise use donor milk or formula. The hospital entry states neither position.</t>
        </is>
      </c>
      <c r="I554" s="3" t="inlineStr">
        <is>
          <t>TW §6.2; UK §4.6; LactMed NBK500631/NBK501536</t>
        </is>
      </c>
      <c r="J554" s="3" t="inlineStr">
        <is>
          <t>Open</t>
        </is>
      </c>
      <c r="K554" s="3" t="inlineStr"/>
    </row>
    <row r="555">
      <c r="A555" s="3" t="n">
        <v>1256</v>
      </c>
      <c r="B555" s="3" t="inlineStr">
        <is>
          <t>Dovato (Dolutegravir/Lamivudine) (DOV01)</t>
        </is>
      </c>
      <c r="C555" s="8" t="inlineStr">
        <is>
          <t>Medium</t>
        </is>
      </c>
      <c r="D555" s="3" t="inlineStr">
        <is>
          <t>Breastfeeding</t>
        </is>
      </c>
      <c r="E555" s="3" t="inlineStr">
        <is>
          <t>LactMed outdated</t>
        </is>
      </c>
      <c r="F555" s="3" t="inlineStr">
        <is>
          <t>Add TW advice not to breastfeed and LactMed position with sustained viral suppression.</t>
        </is>
      </c>
      <c r="G555" s="3" t="inlineStr">
        <is>
          <t>Present in breast milk; refer to individual monographs</t>
        </is>
      </c>
      <c r="H555" s="3" t="inlineStr">
        <is>
          <t>TW insert 6.2/14 (the hospital's own licence) says to advise mothers not to breastfeed. LactMed supports breastfeeding with sustained viral suppression. The hospital entry gives neither.</t>
        </is>
      </c>
      <c r="I555" s="3" t="inlineStr">
        <is>
          <t>TW insert 6.2/14; LactMed NBK500631, NBK501536</t>
        </is>
      </c>
      <c r="J555" s="3" t="inlineStr">
        <is>
          <t>Open</t>
        </is>
      </c>
      <c r="K555" s="3" t="inlineStr"/>
    </row>
    <row r="556">
      <c r="A556" s="3" t="n">
        <v>1243</v>
      </c>
      <c r="B556" s="3" t="inlineStr">
        <is>
          <t>Dovato (Dolutegravir/Lamivudine) (DOV01)</t>
        </is>
      </c>
      <c r="C556" s="8" t="inlineStr">
        <is>
          <t>Medium</t>
        </is>
      </c>
      <c r="D556" s="3" t="inlineStr">
        <is>
          <t>Dosing – pediatric</t>
        </is>
      </c>
      <c r="E556" s="3" t="inlineStr"/>
      <c r="F556" s="3" t="inlineStr">
        <is>
          <t>Fill pediatric dose: ≥12 y and ≥25 kg one tablet daily (UK ≥40 kg).</t>
        </is>
      </c>
      <c r="G556" s="3" t="inlineStr">
        <is>
          <t>Blank</t>
        </is>
      </c>
      <c r="H556" s="3" t="inlineStr">
        <is>
          <t>≥12 y and ≥25 kg: 1 tab daily (US/TW); UK ≥40 kg.</t>
        </is>
      </c>
      <c r="I556" s="3" t="inlineStr">
        <is>
          <t>US §2.2, §8.4; TW §3.1; UK §4.2</t>
        </is>
      </c>
      <c r="J556" s="3" t="inlineStr">
        <is>
          <t>Open</t>
        </is>
      </c>
      <c r="K556" s="3" t="inlineStr"/>
    </row>
    <row r="557">
      <c r="A557" s="3" t="n">
        <v>1255</v>
      </c>
      <c r="B557" s="3" t="inlineStr">
        <is>
          <t>Dovato (Dolutegravir/Lamivudine) (DOV01)</t>
        </is>
      </c>
      <c r="C557" s="8" t="inlineStr">
        <is>
          <t>Medium</t>
        </is>
      </c>
      <c r="D557" s="3" t="inlineStr">
        <is>
          <t>Dosing – pediatric</t>
        </is>
      </c>
      <c r="E557" s="3" t="inlineStr"/>
      <c r="F557" s="3" t="inlineStr">
        <is>
          <t>Fill pediatric dose: ≥12 y and ≥25 kg one tablet daily.</t>
        </is>
      </c>
      <c r="G557" s="3" t="inlineStr">
        <is>
          <t>(blank)</t>
        </is>
      </c>
      <c r="H557" s="3" t="inlineStr">
        <is>
          <t>Adolescents ≥12 y and ≥25 kg: 1 tab QD (FDA/TW); UK ≥40 kg.</t>
        </is>
      </c>
      <c r="I557" s="3" t="inlineStr">
        <is>
          <t>US FDA DOVATO §2.2/§8.4; TW insert 2/3.1</t>
        </is>
      </c>
      <c r="J557" s="3" t="inlineStr">
        <is>
          <t>Open</t>
        </is>
      </c>
      <c r="K557" s="3" t="inlineStr"/>
    </row>
    <row r="558">
      <c r="A558" s="3" t="n">
        <v>1240</v>
      </c>
      <c r="B558" s="3" t="inlineStr">
        <is>
          <t>Dovato (Dolutegravir/Lamivudine) (DOV01)</t>
        </is>
      </c>
      <c r="C558" s="8" t="inlineStr">
        <is>
          <t>Medium</t>
        </is>
      </c>
      <c r="D558" s="3" t="inlineStr">
        <is>
          <t>Dosing – renal/dialysis</t>
        </is>
      </c>
      <c r="E558" s="3" t="inlineStr">
        <is>
          <t>Renal table outdated</t>
        </is>
      </c>
      <c r="F558" s="3" t="inlineStr">
        <is>
          <t>Fix lost '&lt;30' text and change band to CrCl 30–49 with hematologic monitoring.</t>
        </is>
      </c>
      <c r="G558" s="3" t="inlineStr">
        <is>
          <t>CrCl &gt;30: no adjustment; CrCl 30~50: monitor hematologic toxicity; third line reads 'CrCl [blank] Use is not recommended'. The '&lt;30' is lost in the HTML.</t>
        </is>
      </c>
      <c r="H558" s="3" t="inlineStr">
        <is>
          <t>Not recommended at CrCl &lt;30. At CrCl 30–49 (not 30–50), lamivudine AUC is 1.6–3.3× higher, so monitor for neutropenia and anemia and switch to the separate components if the lamivudine dose must change. 'No adjustment' applies only at ≥50 in the sense that exposure is normal.</t>
        </is>
      </c>
      <c r="I558" s="3" t="inlineStr">
        <is>
          <t>TW §3.3, §6.7; US §2.4, §8.6</t>
        </is>
      </c>
      <c r="J558" s="3" t="inlineStr">
        <is>
          <t>Open</t>
        </is>
      </c>
      <c r="K558" s="3" t="inlineStr"/>
    </row>
    <row r="559">
      <c r="A559" s="3" t="n">
        <v>1241</v>
      </c>
      <c r="B559" s="3" t="inlineStr">
        <is>
          <t>Dovato (Dolutegravir/Lamivudine) (DOV01)</t>
        </is>
      </c>
      <c r="C559" s="8" t="inlineStr">
        <is>
          <t>Medium</t>
        </is>
      </c>
      <c r="D559" s="3" t="inlineStr">
        <is>
          <t>Indication/coverage</t>
        </is>
      </c>
      <c r="E559" s="3" t="inlineStr"/>
      <c r="F559" s="3" t="inlineStr">
        <is>
          <t>Restore truncated '&lt;50 copies/mL' criterion, fill item 3, add ≥12 y/≥25 kg population; label guideline wording.</t>
        </is>
      </c>
      <c r="G559" s="3" t="inlineStr">
        <is>
          <t>Item 2 is cut off after 'HIV-1 RNA' (the '&lt;50 copies/mL' is lost in the HTML) and item 3 is empty. It adds: 'Not a recommended initial regimen in HIV RNA &gt;500,000 copies/mL, HBV coinfection, or before genotype/HBV results are available'. It omits the ≥12 y / ≥25 kg population.</t>
        </is>
      </c>
      <c r="H559" s="3" t="inlineStr">
        <is>
          <t>US §1: adults and adolescents ≥12 y and ≥25 kg, naive or suppressed (&lt;50 copies/mL) with no failure history and no resistance to either component. TW §2: ≥12 y, ≥25 kg, no known or suspected resistance. The &gt;500,000 restriction is guideline wording; the label only says GEMINI enrolled patients with screening VL ≤500,000 (US §6.1). The HBV caution is consistent with the boxed warning.</t>
        </is>
      </c>
      <c r="I559" s="3" t="inlineStr">
        <is>
          <t>US §1, §6.1; TW §2</t>
        </is>
      </c>
      <c r="J559" s="3" t="inlineStr">
        <is>
          <t>Open</t>
        </is>
      </c>
      <c r="K559" s="3" t="inlineStr"/>
    </row>
    <row r="560">
      <c r="A560" s="3" t="n">
        <v>1251</v>
      </c>
      <c r="B560" s="3" t="inlineStr">
        <is>
          <t>Dovato (Dolutegravir/Lamivudine) (DOV01)</t>
        </is>
      </c>
      <c r="C560" s="8" t="inlineStr">
        <is>
          <t>Medium</t>
        </is>
      </c>
      <c r="D560" s="3" t="inlineStr">
        <is>
          <t>Indication/coverage</t>
        </is>
      </c>
      <c r="E560" s="3" t="inlineStr"/>
      <c r="F560" s="3" t="inlineStr">
        <is>
          <t>Restore truncated suppression criterion (&lt;50 copies/mL, no failure, no resistance); remove empty item 3.</t>
        </is>
      </c>
      <c r="G560" s="3" t="inlineStr">
        <is>
          <t>'2. To replace the current antiretroviral regimen in those who are virologically suppressed (HIV-1 RNA ' – text truncated (the '&lt;50 copies/mL…' and the no-failure/no-resistance criteria are lost); item '3.' is empty</t>
        </is>
      </c>
      <c r="H560" s="3" t="inlineStr">
        <is>
          <t>FDA: suppressed with HIV-1 RNA &lt;50 copies/mL on a stable regimen, no history of treatment failure and no known resistance substitutions to either component. TW/UK: no known or suspected resistance to INSTI/3TC.</t>
        </is>
      </c>
      <c r="I560" s="3" t="inlineStr">
        <is>
          <t>US FDA DOVATO §1; TW insert 2 適應症</t>
        </is>
      </c>
      <c r="J560" s="3" t="inlineStr">
        <is>
          <t>Open</t>
        </is>
      </c>
      <c r="K560" s="3" t="inlineStr"/>
    </row>
    <row r="561">
      <c r="A561" s="3" t="n">
        <v>1239</v>
      </c>
      <c r="B561" s="3" t="inlineStr">
        <is>
          <t>Dovato (Dolutegravir/Lamivudine) (DOV01)</t>
        </is>
      </c>
      <c r="C561" s="8" t="inlineStr">
        <is>
          <t>Medium</t>
        </is>
      </c>
      <c r="D561" s="3" t="inlineStr">
        <is>
          <t>Pregnancy</t>
        </is>
      </c>
      <c r="E561" s="3" t="inlineStr"/>
      <c r="F561" s="3" t="inlineStr">
        <is>
          <t>Remove unsourced first-trimester avoidance; cite labels (no NTD excess) and guideline separately.</t>
        </is>
      </c>
      <c r="G561" s="3" t="inlineStr">
        <is>
          <t>1. Does not recommend use of this combination during the first trimester of pregnancy. 2. For patients who become pregnant while taking this combination, the regimen should be changed or agents added (2-drug regimens not recommended during pregnancy).</t>
        </is>
      </c>
      <c r="H561" s="3" t="inlineStr">
        <is>
          <t>No label says to avoid the first trimester or that the regimen must change in pregnancy. US §8.1 and TW §6.1 cite Tsepamo/Eswatini data (&gt;14,000 pregnancies) showing no increase in neural tube defects, and APR data with no rise in birth defects. UK §4.6: 'Dovato can be used during pregnancy if clinically needed'; dual DTG+3TC therapy is not studied in pregnancy. The hospital wording appears to come from a guideline (DHHS perinatal) or a drug reference, not from a label.</t>
        </is>
      </c>
      <c r="I561" s="3" t="inlineStr">
        <is>
          <t>US §8.1 https://dailymed.nlm.nih.gov/dailymed/drugInfo.cfm?setid=68e45422-43ed-4cfb-9356-fae88d14a53a ; TW §6.1 https://mcp.fda.gov.tw/im_detail_1/%E8%A1%9B%E9%83%A8%E8%97%A5%E8%BC%B8%E5%AD%97%E7%AC%AC027860%E8%99%9F ; UK §4.6 https://www.medicines.org.uk/emc/product/10446/smpc</t>
        </is>
      </c>
      <c r="J561" s="3" t="inlineStr">
        <is>
          <t>Open</t>
        </is>
      </c>
      <c r="K561" s="3" t="inlineStr"/>
    </row>
    <row r="562">
      <c r="A562" s="3" t="n">
        <v>1247</v>
      </c>
      <c r="B562" s="3" t="inlineStr">
        <is>
          <t>Dovato (Dolutegravir/Lamivudine) (DOV01)</t>
        </is>
      </c>
      <c r="C562" s="8" t="inlineStr">
        <is>
          <t>Medium</t>
        </is>
      </c>
      <c r="D562" s="3" t="inlineStr">
        <is>
          <t>Pregnancy</t>
        </is>
      </c>
      <c r="E562" s="3" t="inlineStr"/>
      <c r="F562" s="3" t="inlineStr">
        <is>
          <t>Remove first-trimester restriction; cite Tsepamo/APR data showing no NTD excess.</t>
        </is>
      </c>
      <c r="G562" s="3" t="inlineStr">
        <is>
          <t>1. Does not recommend use of this combination during the first trimester of pregnancy</t>
        </is>
      </c>
      <c r="H562" s="3" t="inlineStr">
        <is>
          <t>No label restricts first-trimester use. FDA 8.1 / TW 6.1: Botswana/Eswatini (&gt;14,000) NTD prevalence with DTG at conception does not differ from comparators; APR shows no increase in birth defects. UK 4.6: 'Dovato can be used during pregnancy if clinically needed'.</t>
        </is>
      </c>
      <c r="I562" s="3" t="inlineStr">
        <is>
          <t>US FDA DOVATO §8.1 – https://dailymed.nlm.nih.gov/dailymed/drugInfo.cfm?setid=68e45422-43ed-4cfb-9356-fae88d14a53a; UK SmPC §4.6 – https://www.medicines.org.uk/emc/product/10446/smpc</t>
        </is>
      </c>
      <c r="J562" s="3" t="inlineStr">
        <is>
          <t>Open</t>
        </is>
      </c>
      <c r="K562" s="3" t="inlineStr"/>
    </row>
    <row r="563">
      <c r="A563" s="3" t="n">
        <v>1248</v>
      </c>
      <c r="B563" s="3" t="inlineStr">
        <is>
          <t>Dovato (Dolutegravir/Lamivudine) (DOV01)</t>
        </is>
      </c>
      <c r="C563" s="8" t="inlineStr">
        <is>
          <t>Medium</t>
        </is>
      </c>
      <c r="D563" s="3" t="inlineStr">
        <is>
          <t>Pregnancy</t>
        </is>
      </c>
      <c r="E563" s="3" t="inlineStr"/>
      <c r="F563" s="3" t="inlineStr">
        <is>
          <t>Mark 2-drug regimen pregnancy advice as guideline-derived with source, or update.</t>
        </is>
      </c>
      <c r="G563" s="3" t="inlineStr">
        <is>
          <t>2. For patients who become pregnant while taking this combination as a complete regimen, the regimen should be changed, or additional agents added (2-drug regimens are not recommended during pregnancy)</t>
        </is>
      </c>
      <c r="H563" s="3" t="inlineStr">
        <is>
          <t>No label says this. UK notes only that the dual regimen has not been studied in pregnancy (&lt;300 exposures) and allows use if clinically needed. The wording looks guideline-derived (DHHS perinatal), could not be verified (clinicalinfo.hiv.gov blocked), and may be outdated.</t>
        </is>
      </c>
      <c r="I563" s="3" t="inlineStr">
        <is>
          <t>UK SmPC §4.6 – https://www.medicines.org.uk/emc/product/10446/smpc</t>
        </is>
      </c>
      <c r="J563" s="3" t="inlineStr">
        <is>
          <t>Open</t>
        </is>
      </c>
      <c r="K563" s="3" t="inlineStr"/>
    </row>
    <row r="564">
      <c r="A564" s="3" t="n">
        <v>749</v>
      </c>
      <c r="B564" s="3" t="inlineStr">
        <is>
          <t>Doxycycline (DOX04)</t>
        </is>
      </c>
      <c r="C564" s="8" t="inlineStr">
        <is>
          <t>Medium</t>
        </is>
      </c>
      <c r="D564" s="3" t="inlineStr">
        <is>
          <t>Breastfeeding</t>
        </is>
      </c>
      <c r="E564" s="3" t="inlineStr">
        <is>
          <t>LactMed outdated</t>
        </is>
      </c>
      <c r="F564" s="3" t="inlineStr">
        <is>
          <t>Change to LactMed: short-term use acceptable; avoid &gt;21 days or repeat courses</t>
        </is>
      </c>
      <c r="G564" s="3" t="inlineStr">
        <is>
          <t>Avoided (WHO)</t>
        </is>
      </c>
      <c r="H564" s="3" t="inlineStr">
        <is>
          <t>LactMed: short-term use is not likely to cause harm. Avoid only prolonged (&gt;21 d) or repeat courses, and monitor the infant. The US label says 'Short-term use by lactating women is not necessarily contraindicated'. Only the UK SmPC contraindicates use in nursing mothers. A blanket 'Avoided' overstates the restriction compared with LactMed and the US label.</t>
        </is>
      </c>
      <c r="I564" s="3" t="inlineStr">
        <is>
          <t>LactMed NBK500561 Summary: https://www.ncbi.nlm.nih.gov/books/NBK500561/; US FDA label Nursing Mothers: https://dailymed.nlm.nih.gov/dailymed/drugInfo.cfm?setid=3e7cf78f-3b48-4614-9fa4-c6d1e0c05a35</t>
        </is>
      </c>
      <c r="J564" s="3" t="inlineStr">
        <is>
          <t>Open</t>
        </is>
      </c>
      <c r="K564" s="3" t="inlineStr"/>
    </row>
    <row r="565">
      <c r="A565" s="3" t="n">
        <v>754</v>
      </c>
      <c r="B565" s="3" t="inlineStr">
        <is>
          <t>Doxycycline (DOX04)</t>
        </is>
      </c>
      <c r="C565" s="8" t="inlineStr">
        <is>
          <t>Medium</t>
        </is>
      </c>
      <c r="D565" s="3" t="inlineStr">
        <is>
          <t>Breastfeeding</t>
        </is>
      </c>
      <c r="E565" s="3" t="inlineStr">
        <is>
          <t>LactMed outdated</t>
        </is>
      </c>
      <c r="F565" s="3" t="inlineStr">
        <is>
          <t>Change 'Avoided' to: short-term use compatible; avoid prolonged/repeat courses</t>
        </is>
      </c>
      <c r="G565" s="3" t="inlineStr">
        <is>
          <t>Avoided (WHO)</t>
        </is>
      </c>
      <c r="H565" s="3" t="inlineStr">
        <is>
          <t>LactMed: short-term use is not likely to cause harm; avoid prolonged (&gt;21 d) or repeated courses. US label: short-term use not necessarily contraindicated. CDC 2021: compatible with breastfeeding. UK SmPC: contraindicated. The blanket 'Avoided' conflicts with LactMed and the US label. The brief did not mention this issue.</t>
        </is>
      </c>
      <c r="I565" s="3" t="inlineStr">
        <is>
          <t>LactMed NBK500561 https://www.ncbi.nlm.nih.gov/books/NBK500561/; US Nursing Mothers; UK SmPC 4.3</t>
        </is>
      </c>
      <c r="J565" s="3" t="inlineStr">
        <is>
          <t>Open</t>
        </is>
      </c>
      <c r="K565" s="3" t="inlineStr"/>
    </row>
    <row r="566">
      <c r="A566" s="3" t="n">
        <v>750</v>
      </c>
      <c r="B566" s="3" t="inlineStr">
        <is>
          <t>Doxycycline (DOX04)</t>
        </is>
      </c>
      <c r="C566" s="8" t="inlineStr">
        <is>
          <t>Medium</t>
        </is>
      </c>
      <c r="D566" s="3" t="inlineStr">
        <is>
          <t>Dosing – adult</t>
        </is>
      </c>
      <c r="E566" s="3" t="inlineStr"/>
      <c r="F566" s="3" t="inlineStr">
        <is>
          <t>Add 200 mg day-1 loading, then 100 mg/day; severe 100 mg q12h</t>
        </is>
      </c>
      <c r="G566" s="3" t="inlineStr">
        <is>
          <t>Oral, 100-200 mg/day in 1-2 divided dose</t>
        </is>
      </c>
      <c r="H566" s="3" t="inlineStr">
        <is>
          <t>The US label and the TW insert give a 200 mg first-day dose (100 mg q12h or 200 mg once) followed by 100 mg/day maintenance, with 100 mg q12h (US) or 200 mg/day (TW/UK) for severe infection. The hospital range leaves out the day-1 loading dose (minor).</t>
        </is>
      </c>
      <c r="I566" s="3" t="inlineStr">
        <is>
          <t>US FDA label D&amp;A: https://dailymed.nlm.nih.gov/dailymed/drugInfo.cfm?setid=3e7cf78f-3b48-4614-9fa4-c6d1e0c05a35; TW 培力仿單 【用法用量】: https://mcp.fda.gov.tw/im_detail_1/%E8%A1%9B%E7%BD%B2%E8%97%A5%E8%A3%BD%E5%AD%97%E7%AC%AC034900%E8%99%9F</t>
        </is>
      </c>
      <c r="J566" s="3" t="inlineStr">
        <is>
          <t>Open</t>
        </is>
      </c>
      <c r="K566" s="3" t="inlineStr"/>
    </row>
    <row r="567">
      <c r="A567" s="3" t="n">
        <v>755</v>
      </c>
      <c r="B567" s="3" t="inlineStr">
        <is>
          <t>Doxycycline (DOX04)</t>
        </is>
      </c>
      <c r="C567" s="8" t="inlineStr">
        <is>
          <t>Medium</t>
        </is>
      </c>
      <c r="D567" s="3" t="inlineStr">
        <is>
          <t>Dosing – adult</t>
        </is>
      </c>
      <c r="E567" s="3" t="inlineStr"/>
      <c r="F567" s="3" t="inlineStr">
        <is>
          <t>Add 200 mg day 1 then 100 mg daily; severe 200 mg/day</t>
        </is>
      </c>
      <c r="G567" s="3" t="inlineStr">
        <is>
          <t>Oral, 100-200 mg/day in 1-2 divided dose</t>
        </is>
      </c>
      <c r="H567" s="3" t="inlineStr">
        <is>
          <t>The stocked product's TW insert and the US label both specify 200 mg on day 1 (or 100 mg q12h), then 100 mg once daily; severe infection 200 mg/day (100 mg q12h). The hospital text leaves out the day-1 loading structure. This is incomplete rather than contradictory.</t>
        </is>
      </c>
      <c r="I567" s="3" t="inlineStr">
        <is>
          <t>TW 培力仿單 【用法用量】 https://mcp.fda.gov.tw/im_detail_1/%E8%A1%9B%E7%BD%B2%E8%97%A5%E8%A3%BD%E5%AD%97%E7%AC%AC034900%E8%99%9F; US DOSAGE AND ADMINISTRATION</t>
        </is>
      </c>
      <c r="J567" s="3" t="inlineStr">
        <is>
          <t>Open</t>
        </is>
      </c>
      <c r="K567" s="3" t="inlineStr"/>
    </row>
    <row r="568">
      <c r="A568" s="3" t="n">
        <v>751</v>
      </c>
      <c r="B568" s="3" t="inlineStr">
        <is>
          <t>Doxycycline (DOX04)</t>
        </is>
      </c>
      <c r="C568" s="8" t="inlineStr">
        <is>
          <t>Medium</t>
        </is>
      </c>
      <c r="D568" s="3" t="inlineStr">
        <is>
          <t>Dosing – pediatric</t>
        </is>
      </c>
      <c r="E568" s="3" t="inlineStr"/>
      <c r="F568" s="3" t="inlineStr">
        <is>
          <t>Add peds dose 4.4 mg/kg day 1 then 2.2 mg/kg; hepatic: caution, monitor LFTs</t>
        </is>
      </c>
      <c r="G568" s="3" t="inlineStr">
        <is>
          <t>(blank)</t>
        </is>
      </c>
      <c r="H568" s="3" t="inlineStr">
        <is>
          <t>The labels give paediatric dosing: US 2.2 mg/kg q12h for severe disease when under 45 kg; &gt;8 y 4.4 then 2.2 mg/kg/day; TW 仿單 4.4 then 2.2 mg/kg. For hepatic impairment the UK SmPC 4.4 says to use with caution, and the TW insert asks for LFT checks before and during therapy. Missing data, not a contradiction.</t>
        </is>
      </c>
      <c r="I568" s="3" t="inlineStr">
        <is>
          <t>US FDA label D&amp;A: https://dailymed.nlm.nih.gov/dailymed/drugInfo.cfm?setid=3e7cf78f-3b48-4614-9fa4-c6d1e0c05a35; UK SmPC 4.4: https://www.medicines.org.uk/emc/product/13082/smpc; TW 仿單: https://mcp.fda.gov.tw/im_detail_1/%E8%A1%9B%E7%BD%B2%E8%97%A5%E8%A3%BD%E5%AD%97%E7%AC%AC034900%E8%99%9F</t>
        </is>
      </c>
      <c r="J568" s="3" t="inlineStr">
        <is>
          <t>Open</t>
        </is>
      </c>
      <c r="K568" s="3" t="inlineStr"/>
    </row>
    <row r="569">
      <c r="A569" s="3" t="n">
        <v>756</v>
      </c>
      <c r="B569" s="3" t="inlineStr">
        <is>
          <t>Doxycycline (DOX04)</t>
        </is>
      </c>
      <c r="C569" s="8" t="inlineStr">
        <is>
          <t>Medium</t>
        </is>
      </c>
      <c r="D569" s="3" t="inlineStr">
        <is>
          <t>Dosing – pediatric</t>
        </is>
      </c>
      <c r="E569" s="3" t="inlineStr"/>
      <c r="F569" s="3" t="inlineStr">
        <is>
          <t>Add TW peds dosing and LFT/renal/BUN monitoring; hepatic caution</t>
        </is>
      </c>
      <c r="G569" s="3" t="inlineStr">
        <is>
          <t>(blank)</t>
        </is>
      </c>
      <c r="H569" s="3" t="inlineStr">
        <is>
          <t>The TW insert gives paediatric dosing (4.4 mg/kg day 1, then 2.2 mg/kg qd; severe 4.4 mg/kg/day) and requires liver, kidney and BUN checks before and during long-term use. UK SmPC 4.4: caution in hepatic impairment.</t>
        </is>
      </c>
      <c r="I569" s="3" t="inlineStr">
        <is>
          <t>TW 培力仿單 【用法用量】/注意事項3; UK SmPC 4.4</t>
        </is>
      </c>
      <c r="J569" s="3" t="inlineStr">
        <is>
          <t>Open</t>
        </is>
      </c>
      <c r="K569" s="3" t="inlineStr"/>
    </row>
    <row r="570">
      <c r="A570" s="3" t="n">
        <v>757</v>
      </c>
      <c r="B570" s="3" t="inlineStr">
        <is>
          <t>Doxycycline (DOX04)</t>
        </is>
      </c>
      <c r="C570" s="8" t="inlineStr">
        <is>
          <t>Medium</t>
        </is>
      </c>
      <c r="D570" s="3" t="inlineStr">
        <is>
          <t>Indication/coverage</t>
        </is>
      </c>
      <c r="E570" s="3" t="inlineStr"/>
      <c r="F570" s="3" t="inlineStr">
        <is>
          <t>Add rickettsial infections and TW licence indication wording</t>
        </is>
      </c>
      <c r="G570" s="3" t="inlineStr">
        <is>
          <t>Bacterial infections, anthrax, chlamydial infection, cholera, syphilis</t>
        </is>
      </c>
      <c r="H570" s="3" t="inlineStr">
        <is>
          <t>The TW licence indication is 革蘭氏陽性、陰性菌、立克次氏體及巨型濾過性病毒引起之感染症. US/UK list rickettsial infections first, plus respiratory, urinary, STI, plague, tularaemia, brucellosis and malaria prophylaxis. The hospital list leaves out rickettsial disease, the main indication for the stocked insert. Minor.</t>
        </is>
      </c>
      <c r="I570" s="3" t="inlineStr">
        <is>
          <t>TW 培力仿單 【適應症】; US INDICATIONS AND USAGE; UK SmPC 4.1</t>
        </is>
      </c>
      <c r="J570" s="3" t="inlineStr">
        <is>
          <t>Open</t>
        </is>
      </c>
      <c r="K570" s="3" t="inlineStr"/>
    </row>
    <row r="571">
      <c r="A571" s="3" t="n">
        <v>554</v>
      </c>
      <c r="B571" s="3" t="inlineStr">
        <is>
          <t>Emblaveo (Aztreonam-avibactam) (EMB01)</t>
        </is>
      </c>
      <c r="C571" s="8" t="inlineStr">
        <is>
          <t>Medium</t>
        </is>
      </c>
      <c r="D571" s="3" t="inlineStr">
        <is>
          <t>Adverse effects</t>
        </is>
      </c>
      <c r="E571" s="3" t="inlineStr"/>
      <c r="F571" s="3" t="inlineStr">
        <is>
          <t>Drug bag: add liver enzyme elevation (most common), hypokalemia, pyrexia</t>
        </is>
      </c>
      <c r="G571" s="3" t="inlineStr">
        <is>
          <t>貧血、暈眩、腹瀉、噁心、嘔吐 (anaemia, dizziness, diarrhoea, nausea, vomiting)</t>
        </is>
      </c>
      <c r="H571" s="3" t="inlineStr">
        <is>
          <t>The most common reactions are hepatic/transaminase elevations (14.5% US; ALT↑ 6.2% and AST↑ 5.2% UK), anaemia, diarrhoea, hypokalaemia and pyrexia. Dizziness is below 5% in the US label. The drug-bag text leaves out liver enzyme elevation, the most common reaction and one that needs monitoring.</t>
        </is>
      </c>
      <c r="I571" s="3" t="inlineStr">
        <is>
          <t>US FDA label 6.1 Table 5 — https://dailymed.nlm.nih.gov/dailymed/drugInfo.cfm?setid=be1a6c99-d4b3-46d7-9e99-6e5f9fab556a; UK SmPC 4.8 — https://www.medicines.org.uk/emc/product/15895/smpc</t>
        </is>
      </c>
      <c r="J571" s="3" t="inlineStr">
        <is>
          <t>Open</t>
        </is>
      </c>
      <c r="K571" s="3" t="inlineStr"/>
    </row>
    <row r="572">
      <c r="A572" s="3" t="n">
        <v>563</v>
      </c>
      <c r="B572" s="3" t="inlineStr">
        <is>
          <t>Emblaveo (Aztreonam-avibactam) (EMB01)</t>
        </is>
      </c>
      <c r="C572" s="8" t="inlineStr">
        <is>
          <t>Medium</t>
        </is>
      </c>
      <c r="D572" s="3" t="inlineStr">
        <is>
          <t>Adverse effects</t>
        </is>
      </c>
      <c r="E572" s="3" t="inlineStr"/>
      <c r="F572" s="3" t="inlineStr">
        <is>
          <t>Drug bag: add raised liver enzymes, hypokalemia, pyrexia</t>
        </is>
      </c>
      <c r="G572" s="3" t="inlineStr">
        <is>
          <t>貧血、暈眩、腹瀉、噁心、嘔吐</t>
        </is>
      </c>
      <c r="H572" s="3" t="inlineStr">
        <is>
          <t>Raised liver enzymes are the most frequent adverse reaction (US hepatic ADRs 14.5%; SmPC ALT 6.2%, AST 5.2%) but are left out. Hypokalaemia and pyrexia (5.8% each, US) are also left out. Dizziness, nausea and vomiting are each under 5% in US Trial 1.</t>
        </is>
      </c>
      <c r="I572" s="3" t="inlineStr">
        <is>
          <t>US FDA label §6.1 Table 5 — https://dailymed.nlm.nih.gov/dailymed/drugInfo.cfm?setid=be1a6c99-d4b3-46d7-9e99-6e5f9fab556a; UK SmPC 4.8 — https://www.medicines.org.uk/emc/product/15895/smpc</t>
        </is>
      </c>
      <c r="J572" s="3" t="inlineStr">
        <is>
          <t>Open</t>
        </is>
      </c>
      <c r="K572" s="3" t="inlineStr"/>
    </row>
    <row r="573">
      <c r="A573" s="3" t="n">
        <v>551</v>
      </c>
      <c r="B573" s="3" t="inlineStr">
        <is>
          <t>Emblaveo (Aztreonam-avibactam) (EMB01)</t>
        </is>
      </c>
      <c r="C573" s="8" t="inlineStr">
        <is>
          <t>Medium</t>
        </is>
      </c>
      <c r="D573" s="3" t="inlineStr">
        <is>
          <t>Dosing – renal/dialysis</t>
        </is>
      </c>
      <c r="E573" s="3" t="inlineStr"/>
      <c r="F573" s="3" t="inlineStr">
        <is>
          <t>Restore ≤ sign: avoid if CrCl ≤15 unless HD/RRT started</t>
        </is>
      </c>
      <c r="G573" s="3" t="inlineStr">
        <is>
          <t>不應在 CrCL 15 mL/min 病人中使用 (the ≤ sign is missing)</t>
        </is>
      </c>
      <c r="H573" s="3" t="inlineStr">
        <is>
          <t>Should not be used in patients with CrCL ≤ 15 mL/min unless haemodialysis or another form of renal replacement therapy is started.</t>
        </is>
      </c>
      <c r="I573" s="3" t="inlineStr">
        <is>
          <t>UK SmPC 4.2 Table 2 footnote d — https://www.medicines.org.uk/emc/product/15895/smpc</t>
        </is>
      </c>
      <c r="J573" s="3" t="inlineStr">
        <is>
          <t>Open</t>
        </is>
      </c>
      <c r="K573" s="3" t="inlineStr"/>
    </row>
    <row r="574">
      <c r="A574" s="3" t="n">
        <v>550</v>
      </c>
      <c r="B574" s="3" t="inlineStr">
        <is>
          <t>Emblaveo (Aztreonam-avibactam) (EMB01)</t>
        </is>
      </c>
      <c r="C574" s="8" t="inlineStr">
        <is>
          <t>Medium</t>
        </is>
      </c>
      <c r="D574" s="3" t="inlineStr">
        <is>
          <t>Indication/coverage</t>
        </is>
      </c>
      <c r="E574" s="3" t="inlineStr"/>
      <c r="F574" s="3" t="inlineStr">
        <is>
          <t>Add limited-options GNB indication; drop Enterobacteriaceae-only restriction; name source label</t>
        </is>
      </c>
      <c r="G574" s="3" t="inlineStr">
        <is>
          <t>cIAI (with metronidazole), HAP/VAP and cUTI, all limited to susceptible 腸桿菌科 (Enterobacteriaceae). The limited-options indication is missing.</t>
        </is>
      </c>
      <c r="H574" s="3" t="inlineStr">
        <is>
          <t>UK 4.1 lists cIAI, HAP/VAP, cUTI and infections due to aerobic Gram-negative organisms in adults with limited treatment options, and does not restrict them to Enterobacteriaceae. The US 1.1 approves cIAI only, in combination with metronidazole, for adults with limited or no alternatives. The page does not say which regulator's wording it follows.</t>
        </is>
      </c>
      <c r="I574" s="3" t="inlineStr">
        <is>
          <t>UK SmPC 4.1 — https://www.medicines.org.uk/emc/product/15895/smpc; US FDA label 1.1 — https://dailymed.nlm.nih.gov/dailymed/drugInfo.cfm?setid=be1a6c99-d4b3-46d7-9e99-6e5f9fab556a</t>
        </is>
      </c>
      <c r="J574" s="3" t="inlineStr">
        <is>
          <t>Open</t>
        </is>
      </c>
      <c r="K574" s="3" t="inlineStr"/>
    </row>
    <row r="575">
      <c r="A575" s="3" t="n">
        <v>560</v>
      </c>
      <c r="B575" s="3" t="inlineStr">
        <is>
          <t>Emblaveo (Aztreonam-avibactam) (EMB01)</t>
        </is>
      </c>
      <c r="C575" s="8" t="inlineStr">
        <is>
          <t>Medium</t>
        </is>
      </c>
      <c r="D575" s="3" t="inlineStr">
        <is>
          <t>Indication/coverage</t>
        </is>
      </c>
      <c r="E575" s="3" t="inlineStr"/>
      <c r="F575" s="3" t="inlineStr">
        <is>
          <t>Add limited-options GNB indication; remove Enterobacteriaceae restriction; cite source label</t>
        </is>
      </c>
      <c r="G575" s="3" t="inlineStr">
        <is>
          <t>cIAI (with metronidazole), HAP/VAP and cUTI, limited to susceptible Enterobacteriaceae</t>
        </is>
      </c>
      <c r="H575" s="3" t="inlineStr">
        <is>
          <t>UK 4.1 also includes infections due to aerobic Gram-negative organisms in adults with limited treatment options, and has no Enterobacteriaceae-only restriction. The US label approves cIAI only (≥18 y, limited or no alternative options). The page names no source label.</t>
        </is>
      </c>
      <c r="I575" s="3" t="inlineStr">
        <is>
          <t>UK SmPC 4.1 — https://www.medicines.org.uk/emc/product/15895/smpc; US FDA label §1.1 — https://dailymed.nlm.nih.gov/dailymed/drugInfo.cfm?setid=be1a6c99-d4b3-46d7-9e99-6e5f9fab556a</t>
        </is>
      </c>
      <c r="J575" s="3" t="inlineStr">
        <is>
          <t>Open</t>
        </is>
      </c>
      <c r="K575" s="3" t="inlineStr"/>
    </row>
    <row r="576">
      <c r="A576" s="3" t="n">
        <v>555</v>
      </c>
      <c r="B576" s="3" t="inlineStr">
        <is>
          <t>Emblaveo (Aztreonam-avibactam) (EMB01)</t>
        </is>
      </c>
      <c r="C576" s="8" t="inlineStr">
        <is>
          <t>Medium</t>
        </is>
      </c>
      <c r="D576" s="3" t="inlineStr">
        <is>
          <t>Pharmacokinetics/other</t>
        </is>
      </c>
      <c r="E576" s="3" t="inlineStr"/>
      <c r="F576" s="3" t="inlineStr">
        <is>
          <t>Add TFDA licence or 專案進口/臨採 note and link insert</t>
        </is>
      </c>
      <c r="G576" s="3" t="inlineStr">
        <is>
          <t>The 仿單 link is empty and no TFDA licence number (衛部藥輸字) is shown. The screen name 'Emblaveo 臨採' suggests a temporary purchase.</t>
        </is>
      </c>
      <c r="H576" s="3" t="inlineStr">
        <is>
          <t>I could not confirm Taiwan approval or find the TFDA insert (the mcp.fda.gov.tw/im search needs a CAPTCHA). The page should show the licence number or note that it is a 專案進口/臨採 import so the insert can be traced.</t>
        </is>
      </c>
      <c r="I576" s="3" t="inlineStr">
        <is>
          <t>TFDA insert search — https://mcp.fda.gov.tw/im (not accessible without CAPTCHA)</t>
        </is>
      </c>
      <c r="J576" s="3" t="inlineStr">
        <is>
          <t>Open</t>
        </is>
      </c>
      <c r="K576" s="3" t="inlineStr"/>
    </row>
    <row r="577">
      <c r="A577" s="3" t="n">
        <v>559</v>
      </c>
      <c r="B577" s="3" t="inlineStr">
        <is>
          <t>Emblaveo (Aztreonam-avibactam) (EMB01)</t>
        </is>
      </c>
      <c r="C577" s="8" t="inlineStr">
        <is>
          <t>Medium</t>
        </is>
      </c>
      <c r="D577" s="3" t="inlineStr">
        <is>
          <t>Pharmacokinetics/other</t>
        </is>
      </c>
      <c r="E577" s="3" t="inlineStr"/>
      <c r="F577" s="3" t="inlineStr">
        <is>
          <t>Obtain licence/import permit number to trace TW insert and verify renal table</t>
        </is>
      </c>
      <c r="G577" s="3" t="inlineStr">
        <is>
          <t>The 仿單 field is empty, there is no 衛部藥輸字 licence number, and the screen name includes 臨採</t>
        </is>
      </c>
      <c r="H577" s="3" t="inlineStr">
        <is>
          <t>The product cannot be linked to a TFDA insert. The page's Chinese indication wording, restricted to susceptible 腸桿菌科 (Enterobacteriaceae), is not in the UK SmPC and may come from a Taiwan insert or importer text that could not be checked. The pharmacist should get the licence or import-permit number from purchasing, so the TW insert can be compared, especially the renal table.</t>
        </is>
      </c>
      <c r="I577" s="3" t="inlineStr">
        <is>
          <t>TFDA insert search https://mcp.fda.gov.tw/im (CAPTCHA); UK SmPC 4.1 — https://www.medicines.org.uk/emc/product/15895/smpc</t>
        </is>
      </c>
      <c r="J577" s="3" t="inlineStr">
        <is>
          <t>Open</t>
        </is>
      </c>
      <c r="K577" s="3" t="inlineStr"/>
    </row>
    <row r="578">
      <c r="A578" s="3" t="n">
        <v>1168</v>
      </c>
      <c r="B578" s="3" t="inlineStr">
        <is>
          <t>Epbutol (Ethambutol) (EPB01)</t>
        </is>
      </c>
      <c r="C578" s="8" t="inlineStr">
        <is>
          <t>Medium</t>
        </is>
      </c>
      <c r="D578" s="3" t="inlineStr">
        <is>
          <t>Breastfeeding</t>
        </is>
      </c>
      <c r="E578" s="3" t="inlineStr">
        <is>
          <t>LactMed outdated</t>
        </is>
      </c>
      <c r="F578" s="3" t="inlineStr">
        <is>
          <t>Update to LactMed: low milk levels, compatible; breastfeeding not discouraged.</t>
        </is>
      </c>
      <c r="G578" s="3" t="inlineStr">
        <is>
          <t>Enters breast milk/use caution</t>
        </is>
      </c>
      <c r="H578" s="3" t="inlineStr">
        <is>
          <t>LactMed: compatible; low milk levels at ≤15 mg/kg/d; CDC says breastfeeding should not be discouraged. ATS 2016: breastfeeding is encouraged for non-infectious women on first-line drugs.</t>
        </is>
      </c>
      <c r="I578" s="3" t="inlineStr">
        <is>
          <t>LactMed NBK501335: https://www.ncbi.nlm.nih.gov/books/NBK501335/; ATS/CDC/IDSA 2016</t>
        </is>
      </c>
      <c r="J578" s="3" t="inlineStr">
        <is>
          <t>Open</t>
        </is>
      </c>
      <c r="K578" s="3" t="inlineStr"/>
    </row>
    <row r="579">
      <c r="A579" s="3" t="n">
        <v>1177</v>
      </c>
      <c r="B579" s="3" t="inlineStr">
        <is>
          <t>Epbutol (Ethambutol) (EPB01)</t>
        </is>
      </c>
      <c r="C579" s="8" t="inlineStr">
        <is>
          <t>Medium</t>
        </is>
      </c>
      <c r="D579" s="3" t="inlineStr">
        <is>
          <t>Breastfeeding</t>
        </is>
      </c>
      <c r="E579" s="3" t="inlineStr">
        <is>
          <t>LactMed outdated</t>
        </is>
      </c>
      <c r="F579" s="3" t="inlineStr">
        <is>
          <t>Replace 'use caution' with LactMed: low levels, breastfeeding not discouraged.</t>
        </is>
      </c>
      <c r="G579" s="3" t="inlineStr">
        <is>
          <t>Enters breast milk/use caution</t>
        </is>
      </c>
      <c r="H579" s="3" t="inlineStr">
        <is>
          <t>LactMed: low milk levels at ≤15 mg/kg/day, no adverse effects expected; CDC says breastfeeding should not be discouraged. ATS 2016: breastfeeding encouraged in noninfectious mothers on first-line drugs.</t>
        </is>
      </c>
      <c r="I579" s="3" t="inlineStr">
        <is>
          <t>LactMed NBK501335; ATS 2016 (PMID 27516382)</t>
        </is>
      </c>
      <c r="J579" s="3" t="inlineStr">
        <is>
          <t>Open</t>
        </is>
      </c>
      <c r="K579" s="3" t="inlineStr"/>
    </row>
    <row r="580">
      <c r="A580" s="3" t="n">
        <v>1165</v>
      </c>
      <c r="B580" s="3" t="inlineStr">
        <is>
          <t>Epbutol (Ethambutol) (EPB01)</t>
        </is>
      </c>
      <c r="C580" s="8" t="inlineStr">
        <is>
          <t>Medium</t>
        </is>
      </c>
      <c r="D580" s="3" t="inlineStr">
        <is>
          <t>Dosing – adult</t>
        </is>
      </c>
      <c r="E580" s="3" t="inlineStr"/>
      <c r="F580" s="3" t="inlineStr">
        <is>
          <t>Flag twice-weekly dosing as not generally recommended (ATS 2016); prefer daily or thrice-weekly.</t>
        </is>
      </c>
      <c r="G580" s="3" t="inlineStr">
        <is>
          <t>Twice-weekly weight-band doses listed as a routine option</t>
        </is>
      </c>
      <c r="H580" s="3" t="inlineStr">
        <is>
          <t>Not in any label. ATS/CDC/IDSA 2016: twice-weekly dosing is 'not generally recommended'. If intermittent, thrice-weekly is preferred over twice-weekly; twice-weekly only after 2 weeks of daily therapy in HIV-negative, low-relapse-risk patients.</t>
        </is>
      </c>
      <c r="I580" s="3" t="inlineStr">
        <is>
          <t>ATS/CDC/IDSA 2016 (PMID 27516382) Recommendations 3c/4b: https://www.idsociety.org/practice-guideline/treatment-of-drug-susceptible-tb/</t>
        </is>
      </c>
      <c r="J580" s="3" t="inlineStr">
        <is>
          <t>Open</t>
        </is>
      </c>
      <c r="K580" s="3" t="inlineStr"/>
    </row>
    <row r="581">
      <c r="A581" s="3" t="n">
        <v>1176</v>
      </c>
      <c r="B581" s="3" t="inlineStr">
        <is>
          <t>Epbutol (Ethambutol) (EPB01)</t>
        </is>
      </c>
      <c r="C581" s="8" t="inlineStr">
        <is>
          <t>Medium</t>
        </is>
      </c>
      <c r="D581" s="3" t="inlineStr">
        <is>
          <t>Dosing – adult</t>
        </is>
      </c>
      <c r="E581" s="3" t="inlineStr"/>
      <c r="F581" s="3" t="inlineStr">
        <is>
          <t>Present daily dosing as preferred; restrict TIW/BIW per ATS 2016 recommendations.</t>
        </is>
      </c>
      <c r="G581" s="3" t="inlineStr">
        <is>
          <t>Lists once-daily, three-times-weekly and twice-weekly regimens as equal options, with no restrictions</t>
        </is>
      </c>
      <c r="H581" s="3" t="inlineStr">
        <is>
          <t>No label has intermittent dosing (US: 'once every 24-hour basis only'; UK and 仿單: once daily). ATS 2016 recommends daily dosing (Rec 3a). TIW only if HIV-negative and low relapse risk (3b). BIW only when daily/TIW DOT is not feasible, after 2 weeks of daily dosing, in low-risk HIV-negative patients (3c). Prefer TIW over BIW in the continuation phase (4b), because missed BIW doses make the regimen equivalent to once weekly, which is inferior.</t>
        </is>
      </c>
      <c r="I581" s="3" t="inlineStr">
        <is>
          <t>US FDA DOSAGE AND ADMINISTRATION; ATS/CDC/IDSA 2016 Rec 3a–3c, 4b (PMID 27516382)</t>
        </is>
      </c>
      <c r="J581" s="3" t="inlineStr">
        <is>
          <t>Open</t>
        </is>
      </c>
      <c r="K581" s="3" t="inlineStr"/>
    </row>
    <row r="582">
      <c r="A582" s="3" t="n">
        <v>1170</v>
      </c>
      <c r="B582" s="3" t="inlineStr">
        <is>
          <t>Epbutol (Ethambutol) (EPB01)</t>
        </is>
      </c>
      <c r="C582" s="8" t="inlineStr">
        <is>
          <t>Medium</t>
        </is>
      </c>
      <c r="D582" s="3" t="inlineStr">
        <is>
          <t>Dosing – pediatric</t>
        </is>
      </c>
      <c r="E582" s="3" t="inlineStr"/>
      <c r="F582" s="3" t="inlineStr">
        <is>
          <t>Fill paediatric dose (UK 25 mg/kg ×60 d then 15 mg/kg) and hepatic LFT monitoring.</t>
        </is>
      </c>
      <c r="G582" s="3" t="inlineStr">
        <is>
          <t>(blank)</t>
        </is>
      </c>
      <c r="H582" s="3" t="inlineStr">
        <is>
          <t>Pediatric: US not recommended &lt;13 y; UK 25 mg/kg ×60 d → 15 mg/kg (prophylaxis 15 mg/kg). Hepatic: no adjustment, but monitor LFT (hepatotoxicity warning).</t>
        </is>
      </c>
      <c r="I582" s="3" t="inlineStr">
        <is>
          <t>US label Pediatric Use; UK SmPC 4.2</t>
        </is>
      </c>
      <c r="J582" s="3" t="inlineStr">
        <is>
          <t>Open</t>
        </is>
      </c>
      <c r="K582" s="3" t="inlineStr"/>
    </row>
    <row r="583">
      <c r="A583" s="3" t="n">
        <v>1180</v>
      </c>
      <c r="B583" s="3" t="inlineStr">
        <is>
          <t>Epbutol (Ethambutol) (EPB01)</t>
        </is>
      </c>
      <c r="C583" s="8" t="inlineStr">
        <is>
          <t>Medium</t>
        </is>
      </c>
      <c r="D583" s="3" t="inlineStr">
        <is>
          <t>Dosing – pediatric</t>
        </is>
      </c>
      <c r="E583" s="3" t="inlineStr"/>
      <c r="F583" s="3" t="inlineStr">
        <is>
          <t>Add paediatric guidance: UK dose 25→15 mg/kg, US not &lt;13 y, ATS allows with vision monitoring.</t>
        </is>
      </c>
      <c r="G583" s="3" t="inlineStr">
        <is>
          <t>(blank); contraindication lists 'young children'</t>
        </is>
      </c>
      <c r="H583" s="3" t="inlineStr">
        <is>
          <t>US: not recommended &lt;13 y. UK §4.2 gives a paediatric dose of 25 mg/kg × 60 d then 15 mg/kg. ATS 2016/AAP: can be used routinely in children with monthly vision testing. The P4 page states neither.</t>
        </is>
      </c>
      <c r="I583" s="3" t="inlineStr">
        <is>
          <t>US FDA Pediatric Use; UK SmPC §4.2; ATS 2016 (PMID 27516382)</t>
        </is>
      </c>
      <c r="J583" s="3" t="inlineStr">
        <is>
          <t>Open</t>
        </is>
      </c>
      <c r="K583" s="3" t="inlineStr"/>
    </row>
    <row r="584">
      <c r="A584" s="3" t="n">
        <v>1416</v>
      </c>
      <c r="B584" s="3" t="inlineStr">
        <is>
          <t>Epclusa (Sofosbuvir/Velpatasvir) (EPC01)</t>
        </is>
      </c>
      <c r="C584" s="8" t="inlineStr">
        <is>
          <t>Medium</t>
        </is>
      </c>
      <c r="D584" s="3" t="inlineStr">
        <is>
          <t>Breastfeeding</t>
        </is>
      </c>
      <c r="E584" s="3" t="inlineStr">
        <is>
          <t>LactMed outdated</t>
        </is>
      </c>
      <c r="F584" s="3" t="inlineStr">
        <is>
          <t>Update per LactMed: low milk levels, not a reason to stop breastfeeding.</t>
        </is>
      </c>
      <c r="G584" s="3" t="inlineStr">
        <is>
          <t>Infant risk cannot be ruled out.</t>
        </is>
      </c>
      <c r="H584" s="3" t="inlineStr">
        <is>
          <t>LactMed: low milk levels (RID 0.014% SOF, 0.14% VEL); adverse infant effects not expected; not a reason to stop breastfeeding. UK SmPC still advises against use while breastfeeding.</t>
        </is>
      </c>
      <c r="I584" s="3" t="inlineStr">
        <is>
          <t>LactMed NBK500824 / NBK500838 — https://www.ncbi.nlm.nih.gov/books/NBK500824/ ; https://www.ncbi.nlm.nih.gov/books/NBK500838/</t>
        </is>
      </c>
      <c r="J584" s="3" t="inlineStr">
        <is>
          <t>Open</t>
        </is>
      </c>
      <c r="K584" s="3" t="inlineStr"/>
    </row>
    <row r="585">
      <c r="A585" s="3" t="n">
        <v>1411</v>
      </c>
      <c r="B585" s="3" t="inlineStr">
        <is>
          <t>Epclusa (Sofosbuvir/Velpatasvir) (EPC01)</t>
        </is>
      </c>
      <c r="C585" s="8" t="inlineStr">
        <is>
          <t>Medium</t>
        </is>
      </c>
      <c r="D585" s="3" t="inlineStr">
        <is>
          <t>Dosing – pediatric</t>
        </is>
      </c>
      <c r="E585" s="3" t="inlineStr"/>
      <c r="F585" s="3" t="inlineStr">
        <is>
          <t>Add paediatric weight-based dosing for ≥3 y (US/UK); TW ≥12 y/≥30 kg.</t>
        </is>
      </c>
      <c r="G585" s="3" t="inlineStr">
        <is>
          <t>Safety and effectiveness of sofosbuvir/velpatasvir are not established in pediatric patients</t>
        </is>
      </c>
      <c r="H585" s="3" t="inlineStr">
        <is>
          <t>Approved for children aged 3 and over, weight-based (≥30 kg: 400/100 mg; 17–&lt;30 kg: 200/50 mg; &lt;17 kg: 150/37.5 mg pellets). Not established only under 3 years.</t>
        </is>
      </c>
      <c r="I585" s="3" t="inlineStr">
        <is>
          <t>US FDA label §1, §2.4, §8.4; UK SmPC §4.1–4.2</t>
        </is>
      </c>
      <c r="J585" s="3" t="inlineStr">
        <is>
          <t>Open</t>
        </is>
      </c>
      <c r="K585" s="3" t="inlineStr"/>
    </row>
    <row r="586">
      <c r="A586" s="3" t="n">
        <v>1419</v>
      </c>
      <c r="B586" s="3" t="inlineStr">
        <is>
          <t>Epclusa (Sofosbuvir/Velpatasvir) (EPC01)</t>
        </is>
      </c>
      <c r="C586" s="8" t="inlineStr">
        <is>
          <t>Medium</t>
        </is>
      </c>
      <c r="D586" s="3" t="inlineStr">
        <is>
          <t>Dosing – pediatric</t>
        </is>
      </c>
      <c r="E586" s="3" t="inlineStr"/>
      <c r="F586" s="3" t="inlineStr">
        <is>
          <t>Add TW paediatric dosing ≥12 y/≥30 kg 400/100 mg daily; US/UK ≥3 y weight-based.</t>
        </is>
      </c>
      <c r="G586" s="3" t="inlineStr">
        <is>
          <t>Safety and effectiveness of sofosbuvir/velpatasvir are not established in pediatric patients</t>
        </is>
      </c>
      <c r="H586" s="3" t="inlineStr">
        <is>
          <t>TW仿單 §4.1/§4.2: approved for ≥12 y and ≥30 kg, 1 tab 400/100 mg QD × 12 wk. FDA §1/§2.4 and SmPC §4.1/§4.2: approved ≥3 y with weight-based dosing.</t>
        </is>
      </c>
      <c r="I586" s="3" t="inlineStr">
        <is>
          <t>TW仿單 §4.1/§4.2; FDA §2.4; UK SmPC https://www.medicines.org.uk/emc/product/7294/smpc §4.2</t>
        </is>
      </c>
      <c r="J586" s="3" t="inlineStr">
        <is>
          <t>Open</t>
        </is>
      </c>
      <c r="K586" s="3" t="inlineStr"/>
    </row>
    <row r="587">
      <c r="A587" s="3" t="n">
        <v>1410</v>
      </c>
      <c r="B587" s="3" t="inlineStr">
        <is>
          <t>Epclusa (Sofosbuvir/Velpatasvir) (EPC01)</t>
        </is>
      </c>
      <c r="C587" s="8" t="inlineStr">
        <is>
          <t>Medium</t>
        </is>
      </c>
      <c r="D587" s="3" t="inlineStr">
        <is>
          <t>Dosing – renal/dialysis</t>
        </is>
      </c>
      <c r="E587" s="3" t="inlineStr">
        <is>
          <t>Renal table outdated</t>
        </is>
      </c>
      <c r="F587" s="3" t="inlineStr">
        <is>
          <t>State no dose adjustment in any renal impairment including dialysis.</t>
        </is>
      </c>
      <c r="G587" s="3" t="inlineStr">
        <is>
          <t>eGFR &lt;30 / ESRD incl. HD: 'There are no dosage adjustments provided in the manufacturer's labeling. However, sofosbuvir and metabolite accumulate in patients with severe renal impairment.'</t>
        </is>
      </c>
      <c r="H587" s="3" t="inlineStr">
        <is>
          <t>US label: no dose adjustment for mild, moderate or severe renal impairment, including ESRD requiring dialysis (Trial 4062, n=59). UK: usable without adjustment in eGFR &lt;30/ESRD when there is no other option.</t>
        </is>
      </c>
      <c r="I587" s="3" t="inlineStr">
        <is>
          <t>US FDA label §2.6, §8.6 — https://dailymed.nlm.nih.gov/dailymed/drugInfo.cfm?setid=7f30631a-ee3b-4cfe-866b-964df3f0a44f; UK SmPC §4.2 — https://www.medicines.org.uk/emc/product/7294/smpc</t>
        </is>
      </c>
      <c r="J587" s="3" t="inlineStr">
        <is>
          <t>Open</t>
        </is>
      </c>
      <c r="K587" s="3" t="inlineStr"/>
    </row>
    <row r="588">
      <c r="A588" s="3" t="n">
        <v>1418</v>
      </c>
      <c r="B588" s="3" t="inlineStr">
        <is>
          <t>Epclusa (Sofosbuvir/Velpatasvir) (EPC01)</t>
        </is>
      </c>
      <c r="C588" s="8" t="inlineStr">
        <is>
          <t>Medium</t>
        </is>
      </c>
      <c r="D588" s="3" t="inlineStr">
        <is>
          <t>Dosing – renal/dialysis</t>
        </is>
      </c>
      <c r="E588" s="3" t="inlineStr">
        <is>
          <t>Renal table outdated</t>
        </is>
      </c>
      <c r="F588" s="3" t="inlineStr">
        <is>
          <t>State no dose adjustment for any renal impairment including dialysis (TW/FDA).</t>
        </is>
      </c>
      <c r="G588" s="3" t="inlineStr">
        <is>
          <t>eGFR ≥30: no adjustment; eGFR &lt;30, ESRD (including HD): no dosage adjustments provided in the manufacturer's labeling; sofosbuvir and metabolite accumulate in severe renal impairment</t>
        </is>
      </c>
      <c r="H588" s="3" t="inlineStr">
        <is>
          <t>No dose adjustment for any degree of renal impairment, including patients on dialysis (TW仿單 §4.2/§4.4 for the stocked product; FDA §2.6/§8.6). UK SmPC: no adjustment, but limited data for eGFR &lt;30/ESRD; use only if no other option.</t>
        </is>
      </c>
      <c r="I588" s="3" t="inlineStr">
        <is>
          <t>TW仿單 衛部藥輸字第027547號 https://mcp.fda.gov.tw/insert/pdfcasefile/3a8aef69-745a-4a7b-b2e1-14fd2093e234; FDA https://dailymed.nlm.nih.gov/dailymed/drugInfo.cfm?setid=7f30631a-ee3b-4cfe-866b-964df3f0a44f</t>
        </is>
      </c>
      <c r="J588" s="3" t="inlineStr">
        <is>
          <t>Open</t>
        </is>
      </c>
      <c r="K588" s="3" t="inlineStr"/>
    </row>
    <row r="589">
      <c r="A589" s="3" t="n">
        <v>1412</v>
      </c>
      <c r="B589" s="3" t="inlineStr">
        <is>
          <t>Epclusa (Sofosbuvir/Velpatasvir) (EPC01)</t>
        </is>
      </c>
      <c r="C589" s="8" t="inlineStr">
        <is>
          <t>Medium</t>
        </is>
      </c>
      <c r="D589" s="3" t="inlineStr">
        <is>
          <t>Indication/coverage</t>
        </is>
      </c>
      <c r="E589" s="3" t="inlineStr"/>
      <c r="F589" s="3" t="inlineStr">
        <is>
          <t>Extend indication to children (≥3 y US/UK; ≥12 y/≥30 kg TW).</t>
        </is>
      </c>
      <c r="G589" s="3" t="inlineStr">
        <is>
          <t>Chronic hepatitis C genotype 1–6 'in adults' with or without compensated cirrhosis, or with ribavirin if decompensated</t>
        </is>
      </c>
      <c r="H589" s="3" t="inlineStr">
        <is>
          <t>Indicated for adults and children aged 3 and over</t>
        </is>
      </c>
      <c r="I589" s="3" t="inlineStr">
        <is>
          <t>US FDA label §1; UK SmPC §4.1</t>
        </is>
      </c>
      <c r="J589" s="3" t="inlineStr">
        <is>
          <t>Open</t>
        </is>
      </c>
      <c r="K589" s="3" t="inlineStr"/>
    </row>
    <row r="590">
      <c r="A590" s="3" t="n">
        <v>1413</v>
      </c>
      <c r="B590" s="3" t="inlineStr">
        <is>
          <t>Epclusa (Sofosbuvir/Velpatasvir) (EPC01)</t>
        </is>
      </c>
      <c r="C590" s="8" t="inlineStr">
        <is>
          <t>Medium</t>
        </is>
      </c>
      <c r="D590" s="3" t="inlineStr">
        <is>
          <t>Pharmacokinetics/other</t>
        </is>
      </c>
      <c r="E590" s="3" t="inlineStr"/>
      <c r="F590" s="3" t="inlineStr">
        <is>
          <t>Correct class to NS5B polymerase inhibitor + NS5A inhibitor, not protease inhibitor.</t>
        </is>
      </c>
      <c r="G590" s="3" t="inlineStr">
        <is>
          <t>HCV Protease Inhibitors</t>
        </is>
      </c>
      <c r="H590" s="3" t="inlineStr">
        <is>
          <t>NS5B nucleotide polymerase inhibitor (sofosbuvir) + NS5A inhibitor (velpatasvir). Neither is an NS3/4A protease inhibitor.</t>
        </is>
      </c>
      <c r="I590" s="3" t="inlineStr">
        <is>
          <t>US FDA label §1, §12.4</t>
        </is>
      </c>
      <c r="J590" s="3" t="inlineStr">
        <is>
          <t>Open</t>
        </is>
      </c>
      <c r="K590" s="3" t="inlineStr"/>
    </row>
    <row r="591">
      <c r="A591" s="3" t="n">
        <v>1420</v>
      </c>
      <c r="B591" s="3" t="inlineStr">
        <is>
          <t>Epclusa (Sofosbuvir/Velpatasvir) (EPC01)</t>
        </is>
      </c>
      <c r="C591" s="8" t="inlineStr">
        <is>
          <t>Medium</t>
        </is>
      </c>
      <c r="D591" s="3" t="inlineStr">
        <is>
          <t>Pharmacokinetics/other</t>
        </is>
      </c>
      <c r="E591" s="3" t="inlineStr"/>
      <c r="F591" s="3" t="inlineStr">
        <is>
          <t>Correct class to NS5B/NS5A inhibitors; not a protease inhibitor.</t>
        </is>
      </c>
      <c r="G591" s="3" t="inlineStr">
        <is>
          <t>HCV Protease Inhibitors</t>
        </is>
      </c>
      <c r="H591" s="3" t="inlineStr">
        <is>
          <t>Sofosbuvir is a nucleotide NS5B polymerase inhibitor and velpatasvir is an NS5A inhibitor. Neither is a protease inhibitor; the page's own 藥理 field says this correctly.</t>
        </is>
      </c>
      <c r="I591" s="3" t="inlineStr">
        <is>
          <t>FDA §1/§12.4; SmPC §5.1; TW仿單 §5.1</t>
        </is>
      </c>
      <c r="J591" s="3" t="inlineStr">
        <is>
          <t>Open</t>
        </is>
      </c>
      <c r="K591" s="3" t="inlineStr"/>
    </row>
    <row r="592">
      <c r="A592" s="3" t="n">
        <v>1426</v>
      </c>
      <c r="B592" s="3" t="inlineStr">
        <is>
          <t>Epclusa (Sofosbuvir/Velpatasvir) (EPC01)</t>
        </is>
      </c>
      <c r="C592" s="8" t="inlineStr">
        <is>
          <t>Medium</t>
        </is>
      </c>
      <c r="D592" s="3" t="inlineStr">
        <is>
          <t>Pregnancy</t>
        </is>
      </c>
      <c r="E592" s="3" t="inlineStr"/>
      <c r="F592" s="3" t="inlineStr">
        <is>
          <t>Note TW not recommended in pregnancy/breastfeeding and RBV combination contraindicated in pregnancy.</t>
        </is>
      </c>
      <c r="G592" s="3" t="inlineStr">
        <is>
          <t>'Fetal risk cannot be ruled out' / 'Infant risk cannot be ruled out'</t>
        </is>
      </c>
      <c r="H592" s="3" t="inlineStr">
        <is>
          <t>Not wrong, but incomplete for the stocked product. TW仿單 §4.6: not recommended in pregnancy as a precaution and should not be used during breastfeeding (不可使用). The pregnancy entry omits that the RBV combination is contraindicated in pregnancy and in male partners of pregnant women (FDA §8.1). LactMed regards treatment as not a reason to stop breastfeeding.</t>
        </is>
      </c>
      <c r="I592" s="3" t="inlineStr">
        <is>
          <t>TW仿單 §4.6; FDA §8.1; LactMed NBK500824/NBK500838</t>
        </is>
      </c>
      <c r="J592" s="3" t="inlineStr">
        <is>
          <t>Open</t>
        </is>
      </c>
      <c r="K592" s="3" t="inlineStr"/>
    </row>
    <row r="593">
      <c r="A593" s="3" t="n">
        <v>851</v>
      </c>
      <c r="B593" s="3" t="inlineStr">
        <is>
          <t>Eraxis (Anidulafungin) (ERA01)</t>
        </is>
      </c>
      <c r="C593" s="8" t="inlineStr">
        <is>
          <t>Medium</t>
        </is>
      </c>
      <c r="D593" s="3" t="inlineStr">
        <is>
          <t>Breastfeeding</t>
        </is>
      </c>
      <c r="E593" s="3" t="inlineStr">
        <is>
          <t>LactMed outdated</t>
        </is>
      </c>
      <c r="F593" s="3" t="inlineStr">
        <is>
          <t>Update per LactMed 2024: low milk levels, not a reason to stop breastfeeding</t>
        </is>
      </c>
      <c r="G593" s="3" t="inlineStr">
        <is>
          <t>Excretion in breast milk unknown/use caution</t>
        </is>
      </c>
      <c r="H593" s="3" t="inlineStr">
        <is>
          <t>LactMed (rev 2024-04-15): human milk levels are low (0.24 mg/L at 5 h, undetectable by 38 h after stopping). Infant exposure is small, and the drug is not a reason to stop breastfeeding.</t>
        </is>
      </c>
      <c r="I593" s="3" t="inlineStr">
        <is>
          <t>LactMed NBK592191 https://www.ncbi.nlm.nih.gov/books/NBK592191/</t>
        </is>
      </c>
      <c r="J593" s="3" t="inlineStr">
        <is>
          <t>Open</t>
        </is>
      </c>
      <c r="K593" s="3" t="inlineStr"/>
    </row>
    <row r="594">
      <c r="A594" s="3" t="n">
        <v>861</v>
      </c>
      <c r="B594" s="3" t="inlineStr">
        <is>
          <t>Eraxis (Anidulafungin) (ERA01)</t>
        </is>
      </c>
      <c r="C594" s="8" t="inlineStr">
        <is>
          <t>Medium</t>
        </is>
      </c>
      <c r="D594" s="3" t="inlineStr">
        <is>
          <t>Breastfeeding</t>
        </is>
      </c>
      <c r="E594" s="3" t="inlineStr">
        <is>
          <t>LactMed outdated</t>
        </is>
      </c>
      <c r="F594" s="3" t="inlineStr">
        <is>
          <t>Update per LactMed 2024: compatible with breastfeeding</t>
        </is>
      </c>
      <c r="G594" s="3" t="inlineStr">
        <is>
          <t>Excretion in breast milk unknown/use caution</t>
        </is>
      </c>
      <c r="H594" s="3" t="inlineStr">
        <is>
          <t>LactMed (rev. 2024-04-15) now has human milk data: low levels, no adverse infant effects expected, not a reason to stop breastfeeding.</t>
        </is>
      </c>
      <c r="I594" s="3" t="inlineStr">
        <is>
          <t>LactMed NBK592191 https://www.ncbi.nlm.nih.gov/books/NBK592191/</t>
        </is>
      </c>
      <c r="J594" s="3" t="inlineStr">
        <is>
          <t>Open</t>
        </is>
      </c>
      <c r="K594" s="3" t="inlineStr"/>
    </row>
    <row r="595">
      <c r="A595" s="3" t="n">
        <v>854</v>
      </c>
      <c r="B595" s="3" t="inlineStr">
        <is>
          <t>Eraxis (Anidulafungin) (ERA01)</t>
        </is>
      </c>
      <c r="C595" s="8" t="inlineStr">
        <is>
          <t>Medium</t>
        </is>
      </c>
      <c r="D595" s="3" t="inlineStr">
        <is>
          <t>Dosing – pediatric</t>
        </is>
      </c>
      <c r="E595" s="3" t="inlineStr"/>
      <c r="F595" s="3" t="inlineStr">
        <is>
          <t>Add peds dose ≥1 mo: 3 mg/kg (max 200) LD, then 1.5 mg/kg (max 100) daily</t>
        </is>
      </c>
      <c r="G595" s="3" t="inlineStr">
        <is>
          <t>(blank)</t>
        </is>
      </c>
      <c r="H595" s="3" t="inlineStr">
        <is>
          <t>≥1 month: 3 mg/kg (max 200 mg) loading dose, then 1.5 mg/kg (max 100 mg) once daily (TW insert §3, US §2.2, UK §4.2).</t>
        </is>
      </c>
      <c r="I595" s="3" t="inlineStr">
        <is>
          <t>Taiwan insert §3 小兒病人 https://mcp.fda.gov.tw/im_detail_1/%E8%A1%9B%E7%BD%B2%E8%97%A5%E8%BC%B8%E5%AD%97%E7%AC%AC024758%E8%99%9F</t>
        </is>
      </c>
      <c r="J595" s="3" t="inlineStr">
        <is>
          <t>Open</t>
        </is>
      </c>
      <c r="K595" s="3" t="inlineStr"/>
    </row>
    <row r="596">
      <c r="A596" s="3" t="n">
        <v>860</v>
      </c>
      <c r="B596" s="3" t="inlineStr">
        <is>
          <t>Eraxis (Anidulafungin) (ERA01)</t>
        </is>
      </c>
      <c r="C596" s="8" t="inlineStr">
        <is>
          <t>Medium</t>
        </is>
      </c>
      <c r="D596" s="3" t="inlineStr">
        <is>
          <t>Dosing – pediatric</t>
        </is>
      </c>
      <c r="E596" s="3" t="inlineStr"/>
      <c r="F596" s="3" t="inlineStr">
        <is>
          <t>Add peds dose ≥1 mo: 3 mg/kg LD (max 200), then 1.5 mg/kg daily (max 100)</t>
        </is>
      </c>
      <c r="G596" s="3" t="inlineStr">
        <is>
          <t>(blank)</t>
        </is>
      </c>
      <c r="H596" s="3" t="inlineStr">
        <is>
          <t>≥1 month: 3 mg/kg (max 200 mg) D1 then 1.5 mg/kg (max 100 mg) QD; not approved for &lt;1 month.</t>
        </is>
      </c>
      <c r="I596" s="3" t="inlineStr">
        <is>
          <t>TW §3.1 https://mcp.fda.gov.tw/im_detail_1/%E8%A1%9B%E7%BD%B2%E8%97%A5%E8%BC%B8%E5%AD%97%E7%AC%AC024758%E8%99%9F; US §2.2</t>
        </is>
      </c>
      <c r="J596" s="3" t="inlineStr">
        <is>
          <t>Open</t>
        </is>
      </c>
      <c r="K596" s="3" t="inlineStr"/>
    </row>
    <row r="597">
      <c r="A597" s="3" t="n">
        <v>852</v>
      </c>
      <c r="B597" s="3" t="inlineStr">
        <is>
          <t>Eraxis (Anidulafungin) (ERA01)</t>
        </is>
      </c>
      <c r="C597" s="8" t="inlineStr">
        <is>
          <t>Medium</t>
        </is>
      </c>
      <c r="D597" s="3" t="inlineStr">
        <is>
          <t>Indication/coverage</t>
        </is>
      </c>
      <c r="E597" s="3" t="inlineStr"/>
      <c r="F597" s="3" t="inlineStr">
        <is>
          <t>Remove/qualify esophageal candidiasis (US only, not 'refractory'); align with 2021 TW insert</t>
        </is>
      </c>
      <c r="G597" s="3" t="inlineStr">
        <is>
          <t>Lists 'Candidiasis, esophageal, refractory disease: Treatment of esophageal candidiasis in adults'</t>
        </is>
      </c>
      <c r="H597" s="3" t="inlineStr">
        <is>
          <t>The TW insert for the stocked product (衛署藥輸字第024758號) approves only invasive candidiasis in adults and children ≥1 month and notes a higher esophageal relapse rate. The UK SmPC also omits esophageal. Only the US label lists it, for adults, and the US label does not say 'refractory'. The '#仿單變更2021' tag on the hospital page suggests this field was not updated after the 2021 TW insert change.</t>
        </is>
      </c>
      <c r="I597" s="3" t="inlineStr">
        <is>
          <t>Taiwan insert §2 適應症 https://mcp.fda.gov.tw/im_detail_1/%E8%A1%9B%E7%BD%B2%E8%97%A5%E8%BC%B8%E5%AD%97%E7%AC%AC024758%E8%99%9F; US FDA label §1.2 https://dailymed.nlm.nih.gov/dailymed/drugInfo.cfm?setid=a88d9010-55fb-4a02-baff-042cd27688ea</t>
        </is>
      </c>
      <c r="J597" s="3" t="inlineStr">
        <is>
          <t>Open</t>
        </is>
      </c>
      <c r="K597" s="3" t="inlineStr"/>
    </row>
    <row r="598">
      <c r="A598" s="3" t="n">
        <v>855</v>
      </c>
      <c r="B598" s="3" t="inlineStr">
        <is>
          <t>Eraxis (Anidulafungin) (ERA01)</t>
        </is>
      </c>
      <c r="C598" s="8" t="inlineStr">
        <is>
          <t>Medium</t>
        </is>
      </c>
      <c r="D598" s="3" t="inlineStr">
        <is>
          <t>Indication/coverage</t>
        </is>
      </c>
      <c r="E598" s="3" t="inlineStr"/>
      <c r="F598" s="3" t="inlineStr">
        <is>
          <t>Bag label: adults and children ≥1 month; neutropenia not an exclusion (confirm NHI restriction)</t>
        </is>
      </c>
      <c r="G598" s="3" t="inlineStr">
        <is>
          <t>治療非白血球低下之成人念珠菌感染之菌血症、腹膜炎、腹腔內膿瘍</t>
        </is>
      </c>
      <c r="H598" s="3" t="inlineStr">
        <is>
          <t>The label indication covers adults and children ≥1 month. Neutropenia is not an exclusion; the label only says neutropenic patients were studied in limited numbers. The wording may reflect an NHI reimbursement restriction, which was not checked, so please confirm.</t>
        </is>
      </c>
      <c r="I598" s="3" t="inlineStr">
        <is>
          <t>Taiwan insert §2 適應症 https://mcp.fda.gov.tw/im_detail_1/%E8%A1%9B%E7%BD%B2%E8%97%A5%E8%BC%B8%E5%AD%97%E7%AC%AC024758%E8%99%9F</t>
        </is>
      </c>
      <c r="J598" s="3" t="inlineStr">
        <is>
          <t>Open</t>
        </is>
      </c>
      <c r="K598" s="3" t="inlineStr"/>
    </row>
    <row r="599">
      <c r="A599" s="3" t="n">
        <v>858</v>
      </c>
      <c r="B599" s="3" t="inlineStr">
        <is>
          <t>Eraxis (Anidulafungin) (ERA01)</t>
        </is>
      </c>
      <c r="C599" s="8" t="inlineStr">
        <is>
          <t>Medium</t>
        </is>
      </c>
      <c r="D599" s="3" t="inlineStr">
        <is>
          <t>Indication/coverage</t>
        </is>
      </c>
      <c r="E599" s="3" t="inlineStr"/>
      <c r="F599" s="3" t="inlineStr">
        <is>
          <t>Remove 'refractory'; mark esophageal indication as US-only, not TW-approved</t>
        </is>
      </c>
      <c r="G599" s="3" t="inlineStr">
        <is>
          <t>Includes 'Candidiasis, esophageal, refractory disease: treatment of esophageal candidiasis in adults'</t>
        </is>
      </c>
      <c r="H599" s="3" t="inlineStr">
        <is>
          <t>The TW insert (the stocked product) approves only invasive candidiasis in adults and children ≥1 month and notes a high esophageal relapse rate; the UK SmPC also omits esophageal. Only the US label lists esophageal candidiasis, and it says nothing about refractory disease. The 'refractory' wording comes from IDSA guidance, not a label.</t>
        </is>
      </c>
      <c r="I599" s="3" t="inlineStr">
        <is>
          <t>TW §2 適應症 https://mcp.fda.gov.tw/im_detail_1/%E8%A1%9B%E7%BD%B2%E8%97%A5%E8%BC%B8%E5%AD%97%E7%AC%AC024758%E8%99%9F; US §1.2 https://dailymed.nlm.nih.gov/dailymed/drugInfo.cfm?setid=a88d9010-55fb-4a02-baff-042cd27688ea; UK §4.1 https://www.medicines.org.uk/emc/product/454/smpc</t>
        </is>
      </c>
      <c r="J599" s="3" t="inlineStr">
        <is>
          <t>Open</t>
        </is>
      </c>
      <c r="K599" s="3" t="inlineStr"/>
    </row>
    <row r="600">
      <c r="A600" s="3" t="n">
        <v>859</v>
      </c>
      <c r="B600" s="3" t="inlineStr">
        <is>
          <t>Eraxis (Anidulafungin) (ERA01)</t>
        </is>
      </c>
      <c r="C600" s="8" t="inlineStr">
        <is>
          <t>Medium</t>
        </is>
      </c>
      <c r="D600" s="3" t="inlineStr">
        <is>
          <t>Indication/coverage</t>
        </is>
      </c>
      <c r="E600" s="3" t="inlineStr"/>
      <c r="F600" s="3" t="inlineStr">
        <is>
          <t>Bag label: include children ≥1 month; remove non-neutropenic restriction</t>
        </is>
      </c>
      <c r="G600" s="3" t="inlineStr">
        <is>
          <t>治療非白血球低下之成人念珠菌感染之菌血症、腹膜炎、腹腔內膿瘍 (adults only, non-neutropenic)</t>
        </is>
      </c>
      <c r="H600" s="3" t="inlineStr">
        <is>
          <t>The TW insert (the 2021 version noted as #仿單變更2021 on the hospital page) approves adults AND children ≥1 month. Neutropenic patients are a limitation (studied in too few patients), not an exclusion.</t>
        </is>
      </c>
      <c r="I600" s="3" t="inlineStr">
        <is>
          <t>TW §2, §6.4 https://mcp.fda.gov.tw/im_detail_1/%E8%A1%9B%E7%BD%B2%E8%97%A5%E8%BC%B8%E5%AD%97%E7%AC%AC024758%E8%99%9F</t>
        </is>
      </c>
      <c r="J600" s="3" t="inlineStr">
        <is>
          <t>Open</t>
        </is>
      </c>
      <c r="K600" s="3" t="inlineStr"/>
    </row>
    <row r="601">
      <c r="A601" s="3" t="n">
        <v>372</v>
      </c>
      <c r="B601" s="3" t="inlineStr">
        <is>
          <t>Ertapenem (ERT01)</t>
        </is>
      </c>
      <c r="C601" s="8" t="inlineStr">
        <is>
          <t>Medium</t>
        </is>
      </c>
      <c r="D601" s="3" t="inlineStr">
        <is>
          <t>Adverse effects</t>
        </is>
      </c>
      <c r="E601" s="3" t="inlineStr">
        <is>
          <t>Missing SCAR (SJS/TEN/DRESS)</t>
        </is>
      </c>
      <c r="F601" s="3" t="inlineStr">
        <is>
          <t>Use stocked insert ADR rates; add post-marketing SJS/TEN</t>
        </is>
      </c>
      <c r="G601" s="3" t="inlineStr">
        <is>
          <t>Adults: diarrhea 5.5%, infused vein complication 3.7%, nausea 3.1%, headache 2.2%, vaginitis 2.1%, seizures 0.5%. Pediatrics: diarrhea 6.5%, infusion site pain 5.5%, erythema 2.6%, vomiting 2.1%</t>
        </is>
      </c>
      <c r="H601" s="3" t="inlineStr">
        <is>
          <t>These figures come from the US INVANZ label. The stocked SLC insert gives adults diarrhea 4.3%, infused vein complication 3.9%, nausea 2.9%, headache 2.1%, drug-related seizures 0.2%; pediatrics diarrhea 5.5%, infusion site pain 5.5%, erythema 2.6%. It also lists SJS/TEN post-marketing, which the hospital page omits.</t>
        </is>
      </c>
      <c r="I601" s="3" t="inlineStr">
        <is>
          <t>TW insert 8.2, 8.3; US label 6.1</t>
        </is>
      </c>
      <c r="J601" s="3" t="inlineStr">
        <is>
          <t>Open</t>
        </is>
      </c>
      <c r="K601" s="3" t="inlineStr"/>
    </row>
    <row r="602">
      <c r="A602" s="3" t="n">
        <v>361</v>
      </c>
      <c r="B602" s="3" t="inlineStr">
        <is>
          <t>Ertapenem (ERT01)</t>
        </is>
      </c>
      <c r="C602" s="8" t="inlineStr">
        <is>
          <t>Medium</t>
        </is>
      </c>
      <c r="D602" s="3" t="inlineStr">
        <is>
          <t>Dosing – renal/dialysis</t>
        </is>
      </c>
      <c r="E602" s="3" t="inlineStr"/>
      <c r="F602" s="3" t="inlineStr">
        <is>
          <t>Fix encoding: '?' should read ≥13 years and CrCl ≤30 mL/min/1.73 m²</t>
        </is>
      </c>
      <c r="G602" s="3" t="inlineStr">
        <is>
          <t>'≥13 years' and 'CrCl ≤30' display as '?' on the site</t>
        </is>
      </c>
      <c r="H602" s="3" t="inlineStr">
        <is>
          <t>≥13 years; CrCl ≤30 mL/min/1.73 m2</t>
        </is>
      </c>
      <c r="I602" s="3" t="inlineStr">
        <is>
          <t>US FDA label §2.2, §2.4; TW 仿單 3.1</t>
        </is>
      </c>
      <c r="J602" s="3" t="inlineStr">
        <is>
          <t>Open</t>
        </is>
      </c>
      <c r="K602" s="3" t="inlineStr"/>
    </row>
    <row r="603">
      <c r="A603" s="3" t="n">
        <v>370</v>
      </c>
      <c r="B603" s="3" t="inlineStr">
        <is>
          <t>Ertapenem (ERT01)</t>
        </is>
      </c>
      <c r="C603" s="8" t="inlineStr">
        <is>
          <t>Medium</t>
        </is>
      </c>
      <c r="D603" s="3" t="inlineStr">
        <is>
          <t>Dosing – renal/dialysis</t>
        </is>
      </c>
      <c r="E603" s="3" t="inlineStr"/>
      <c r="F603" s="3" t="inlineStr">
        <is>
          <t>Fix '?' encoding: ≥13 y, CrCl ≤30, ESRD ≤10, given ≥6 h before HD</t>
        </is>
      </c>
      <c r="G603" s="3" t="inlineStr">
        <is>
          <t>'(1)?13 years'; 'CrCl ?30 mL/min/1.73 m2 or ESRD (CrCl ?10 ...)'; 'if given ?6 hours before HD'</t>
        </is>
      </c>
      <c r="H603" s="3" t="inlineStr">
        <is>
          <t>≥13 years; CrCl ≤30; ESRD CrCl ≤10; given ≥6 hours before HD (no supplement). The ≥/≤ characters are shown as '?'.</t>
        </is>
      </c>
      <c r="I603" s="3" t="inlineStr">
        <is>
          <t>US label 2.2, 2.4, 2.5; TW insert 3.1, 3.3</t>
        </is>
      </c>
      <c r="J603" s="3" t="inlineStr">
        <is>
          <t>Open</t>
        </is>
      </c>
      <c r="K603" s="3" t="inlineStr"/>
    </row>
    <row r="604">
      <c r="A604" s="3" t="n">
        <v>357</v>
      </c>
      <c r="B604" s="3" t="inlineStr">
        <is>
          <t>Ertapenem (ERT01)</t>
        </is>
      </c>
      <c r="C604" s="8" t="inlineStr">
        <is>
          <t>Medium</t>
        </is>
      </c>
      <c r="D604" s="3" t="inlineStr">
        <is>
          <t>Indication/coverage</t>
        </is>
      </c>
      <c r="E604" s="3" t="inlineStr"/>
      <c r="F604" s="3" t="inlineStr">
        <is>
          <t>Change to complicated intra-abdominal infection, moderate to severe</t>
        </is>
      </c>
      <c r="G604" s="3" t="inlineStr">
        <is>
          <t>Intra-abdominal infection, 'mild to moderate'</t>
        </is>
      </c>
      <c r="H604" s="3" t="inlineStr">
        <is>
          <t>Complicated intra-abdominal infections; US/TW indication covers 'moderate to severe infections'</t>
        </is>
      </c>
      <c r="I604" s="3" t="inlineStr">
        <is>
          <t>US FDA label §1 'moderate to severe infections', §1.1; TW 仿單 2 「中度至重度感染…複雜的腹腔內感染」</t>
        </is>
      </c>
      <c r="J604" s="3" t="inlineStr">
        <is>
          <t>Open</t>
        </is>
      </c>
      <c r="K604" s="3" t="inlineStr"/>
    </row>
    <row r="605">
      <c r="A605" s="3" t="n">
        <v>359</v>
      </c>
      <c r="B605" s="3" t="inlineStr">
        <is>
          <t>Ertapenem (ERT01)</t>
        </is>
      </c>
      <c r="C605" s="8" t="inlineStr">
        <is>
          <t>Medium</t>
        </is>
      </c>
      <c r="D605" s="3" t="inlineStr">
        <is>
          <t>Indication/coverage</t>
        </is>
      </c>
      <c r="E605" s="3" t="inlineStr"/>
      <c r="F605" s="3" t="inlineStr">
        <is>
          <t>Flag diabetic foot and colorectal prophylaxis as not in stocked TW product insert (US/UK only)</t>
        </is>
      </c>
      <c r="G605" s="3" t="inlineStr">
        <is>
          <t>Lists both indications for the TW-licensed SLC product</t>
        </is>
      </c>
      <c r="H605" s="3" t="inlineStr">
        <is>
          <t>The stocked product's TW 仿單 section 2 does not list them; they appear only in its clinical-trial sections. They are approved in the US (§1.2, §1.6) and UK (4.1).</t>
        </is>
      </c>
      <c r="I605" s="3" t="inlineStr">
        <is>
          <t>TW 仿單 2 適應症 vs US FDA label §1 and UK SmPC 4.1</t>
        </is>
      </c>
      <c r="J605" s="3" t="inlineStr">
        <is>
          <t>Open</t>
        </is>
      </c>
      <c r="K605" s="3" t="inlineStr"/>
    </row>
    <row r="606">
      <c r="A606" s="3" t="n">
        <v>366</v>
      </c>
      <c r="B606" s="3" t="inlineStr">
        <is>
          <t>Ertapenem (ERT01)</t>
        </is>
      </c>
      <c r="C606" s="8" t="inlineStr">
        <is>
          <t>Medium</t>
        </is>
      </c>
      <c r="D606" s="3" t="inlineStr">
        <is>
          <t>Indication/coverage</t>
        </is>
      </c>
      <c r="E606" s="3" t="inlineStr"/>
      <c r="F606" s="3" t="inlineStr">
        <is>
          <t>Change to complicated IAI, moderate to severe</t>
        </is>
      </c>
      <c r="G606" s="3" t="inlineStr">
        <is>
          <t>Intra-abdominal infection, mild to moderate</t>
        </is>
      </c>
      <c r="H606" s="3" t="inlineStr">
        <is>
          <t>Complicated intra-abdominal infections, moderate to severe.</t>
        </is>
      </c>
      <c r="I606" s="3" t="inlineStr">
        <is>
          <t>US label 1 ('moderate to severe infections'), 1.1; TW insert 2 (中度至重度感染; 複雜的腹腔內感染)</t>
        </is>
      </c>
      <c r="J606" s="3" t="inlineStr">
        <is>
          <t>Open</t>
        </is>
      </c>
      <c r="K606" s="3" t="inlineStr"/>
    </row>
    <row r="607">
      <c r="A607" s="3" t="n">
        <v>367</v>
      </c>
      <c r="B607" s="3" t="inlineStr">
        <is>
          <t>Ertapenem (ERT01)</t>
        </is>
      </c>
      <c r="C607" s="8" t="inlineStr">
        <is>
          <t>Medium</t>
        </is>
      </c>
      <c r="D607" s="3" t="inlineStr">
        <is>
          <t>Indication/coverage</t>
        </is>
      </c>
      <c r="E607" s="3" t="inlineStr"/>
      <c r="F607" s="3" t="inlineStr">
        <is>
          <t>Specify diabetic foot infection without osteomyelitis; cSSSI wording</t>
        </is>
      </c>
      <c r="G607" s="3" t="inlineStr">
        <is>
          <t>Diabetic foot infection, moderate to severe; Skin and soft tissue infection, moderate to severe</t>
        </is>
      </c>
      <c r="H607" s="3" t="inlineStr">
        <is>
          <t>Complicated skin and skin structure infections, including diabetic foot infections WITHOUT osteomyelitis (not studied with osteomyelitis). UK: diabetic foot infections of the skin and soft tissue.</t>
        </is>
      </c>
      <c r="I607" s="3" t="inlineStr">
        <is>
          <t>US label 1.2; UK SmPC 4.1/4.4; TW insert 2</t>
        </is>
      </c>
      <c r="J607" s="3" t="inlineStr">
        <is>
          <t>Open</t>
        </is>
      </c>
      <c r="K607" s="3" t="inlineStr"/>
    </row>
    <row r="608">
      <c r="A608" s="3" t="n">
        <v>368</v>
      </c>
      <c r="B608" s="3" t="inlineStr">
        <is>
          <t>Ertapenem (ERT01)</t>
        </is>
      </c>
      <c r="C608" s="8" t="inlineStr">
        <is>
          <t>Medium</t>
        </is>
      </c>
      <c r="D608" s="3" t="inlineStr">
        <is>
          <t>Indication/coverage</t>
        </is>
      </c>
      <c r="E608" s="3" t="inlineStr"/>
      <c r="F608" s="3" t="inlineStr">
        <is>
          <t>Mark diabetic foot and colorectal prophylaxis as US/UK-only, not in stocked SLC insert</t>
        </is>
      </c>
      <c r="G608" s="3" t="inlineStr">
        <is>
          <t>Lists diabetic foot infection and surgical prophylaxis (colorectal surgery)</t>
        </is>
      </c>
      <c r="H608" s="3" t="inlineStr">
        <is>
          <t>The insert of the product actually stocked (SLC, 衛部藥製字第059078號) lists only cIAI, cSSSI, CAP, cUTI incl. pyelonephritis and acute pelvic infection in Section 2. Diabetic foot and colorectal prophylaxis are approved only in the US/UK INVANZ labels.</t>
        </is>
      </c>
      <c r="I608" s="3" t="inlineStr">
        <is>
          <t>TW insert 2 適應症 (TFDA 059078); US label 1.2/1.6; UK SmPC 4.1</t>
        </is>
      </c>
      <c r="J608" s="3" t="inlineStr">
        <is>
          <t>Open</t>
        </is>
      </c>
      <c r="K608" s="3" t="inlineStr"/>
    </row>
    <row r="609">
      <c r="A609" s="3" t="n">
        <v>734</v>
      </c>
      <c r="B609" s="3" t="inlineStr">
        <is>
          <t>Erythromycin (ERY03)</t>
        </is>
      </c>
      <c r="C609" s="8" t="inlineStr">
        <is>
          <t>Medium</t>
        </is>
      </c>
      <c r="D609" s="3" t="inlineStr">
        <is>
          <t>Dosing – adult</t>
        </is>
      </c>
      <c r="E609" s="3" t="inlineStr"/>
      <c r="F609" s="3" t="inlineStr">
        <is>
          <t>Align with TW insert 250 mg q4–6h; add US note q12h not &gt;1 g/day</t>
        </is>
      </c>
      <c r="G609" s="3" t="inlineStr">
        <is>
          <t>250–500 mg every 6–12 h; max 4 g/day</t>
        </is>
      </c>
      <c r="H609" s="3" t="inlineStr">
        <is>
          <t>The TW insert for the stocked product says 1 cap (250 mg) every 4–6 h, doubled for severe infection. The hospital range follows US-style dosing and does not carry the US label's limit that q12h dosing is not recommended above 1 g/day.</t>
        </is>
      </c>
      <c r="I609" s="3" t="inlineStr">
        <is>
          <t>TW 仿單 §3 https://mcp.fda.gov.tw/im_detail_1/%E8%A1%9B%E7%BD%B2%E8%97%A5%E8%A3%BD%E5%AD%97%E7%AC%AC000106%E8%99%9F; US DailyMed DOSAGE AND ADMINISTRATION</t>
        </is>
      </c>
      <c r="J609" s="3" t="inlineStr">
        <is>
          <t>Open</t>
        </is>
      </c>
      <c r="K609" s="3" t="inlineStr"/>
    </row>
    <row r="610">
      <c r="A610" s="3" t="n">
        <v>735</v>
      </c>
      <c r="B610" s="3" t="inlineStr">
        <is>
          <t>Erythromycin (ERY03)</t>
        </is>
      </c>
      <c r="C610" s="8" t="inlineStr">
        <is>
          <t>Medium</t>
        </is>
      </c>
      <c r="D610" s="3" t="inlineStr">
        <is>
          <t>Dosing – pediatric</t>
        </is>
      </c>
      <c r="E610" s="3" t="inlineStr"/>
      <c r="F610" s="3" t="inlineStr">
        <is>
          <t>Remove unsourced mg/day caps; cite label 30–50 mg/kg/day (double if severe); add neonatal IHPS warning</t>
        </is>
      </c>
      <c r="G610" s="3" t="inlineStr">
        <is>
          <t>30–50 mg/kg/day divided q6–8h; max 2,000 mg/day (4,000 mg/day if severe)</t>
        </is>
      </c>
      <c r="H610" s="3" t="inlineStr">
        <is>
          <t>The US label gives 30–50 mg/kg/day in divided doses, 'may be doubled' for severe infection, with no mg/day cap. The UK SmPC gives fixed doses by age band (infants 500 mg/day, 2–8 y 1 g/day, over 8 y 2 g/day). The 2 g/day and 4 g/day caps are not in the labels. Neither label is shown on the hospital page, nor is the IHPS warning for neonates.</t>
        </is>
      </c>
      <c r="I610" s="3" t="inlineStr">
        <is>
          <t>US DailyMed DOSAGE AND ADMINISTRATION (CHILDREN), PRECAUTIONS General; UK SmPC 4.2, 4.4</t>
        </is>
      </c>
      <c r="J610" s="3" t="inlineStr">
        <is>
          <t>Open</t>
        </is>
      </c>
      <c r="K610" s="3" t="inlineStr"/>
    </row>
    <row r="611">
      <c r="A611" s="3" t="n">
        <v>731</v>
      </c>
      <c r="B611" s="3" t="inlineStr">
        <is>
          <t>Erythromycin (ERY03)</t>
        </is>
      </c>
      <c r="C611" s="8" t="inlineStr">
        <is>
          <t>Medium</t>
        </is>
      </c>
      <c r="D611" s="3" t="inlineStr">
        <is>
          <t>Indication/coverage</t>
        </is>
      </c>
      <c r="E611" s="3" t="inlineStr"/>
      <c r="F611" s="3" t="inlineStr">
        <is>
          <t>Note colorectal prep regimen is guideline-based and uses erythromycin base, not estolate</t>
        </is>
      </c>
      <c r="G611" s="3" t="inlineStr">
        <is>
          <t>Colorectal decontamination, in conjunction with other agents, prior to surgical intervention</t>
        </is>
      </c>
      <c r="H611" s="3" t="inlineStr">
        <is>
          <t>This is not in the US label or the TW insert. UK SmPC 4.1 lists generic 'Prophylaxis: pre- and post-operative...', so it is partly label-supported (the brief said none of the three labels support it). The guideline regimen (ASHP/IDSA 2013, PMID 23327981) uses erythromycin base, not the estolate the hospital stocks.</t>
        </is>
      </c>
      <c r="I611" s="3" t="inlineStr">
        <is>
          <t>UK SmPC 4.1; US DailyMed INDICATIONS AND USAGE; TW 仿單 §2</t>
        </is>
      </c>
      <c r="J611" s="3" t="inlineStr">
        <is>
          <t>Open</t>
        </is>
      </c>
      <c r="K611" s="3" t="inlineStr"/>
    </row>
    <row r="612">
      <c r="A612" s="3" t="n">
        <v>1023</v>
      </c>
      <c r="B612" s="3" t="inlineStr">
        <is>
          <t>Famvir (Famciclovir) (FAM01)</t>
        </is>
      </c>
      <c r="C612" s="8" t="inlineStr">
        <is>
          <t>Medium</t>
        </is>
      </c>
      <c r="D612" s="3" t="inlineStr">
        <is>
          <t>Adverse effects</t>
        </is>
      </c>
      <c r="E612" s="3" t="inlineStr">
        <is>
          <t>Missing SCAR (SJS/TEN/DRESS)</t>
        </is>
      </c>
      <c r="F612" s="3" t="inlineStr">
        <is>
          <t>Add CNS effects, thrombocytopenia, LFT/cholestatic jaundice, SJS/TEN/EM, anaphylaxis, acute renal failure</t>
        </is>
      </c>
      <c r="G612" s="3" t="inlineStr">
        <is>
          <t>Headache, dizziness, nausea, abdominal pain, diarrhea, pruritus</t>
        </is>
      </c>
      <c r="H612" s="3" t="inlineStr">
        <is>
          <t>Leaves out label-listed CNS effects (confusion/somnolence in the elderly, hallucinations, seizure), thrombocytopenia, abnormal LFTs/cholestatic jaundice, SJS/TEN/EM, anaphylaxis, and acute renal failure when the dose is not renally adjusted.</t>
        </is>
      </c>
      <c r="I612" s="3" t="inlineStr">
        <is>
          <t>SmPC 4.8; FDA 5.1, 6.2</t>
        </is>
      </c>
      <c r="J612" s="3" t="inlineStr">
        <is>
          <t>Open</t>
        </is>
      </c>
      <c r="K612" s="3" t="inlineStr"/>
    </row>
    <row r="613">
      <c r="A613" s="3" t="n">
        <v>1011</v>
      </c>
      <c r="B613" s="3" t="inlineStr">
        <is>
          <t>Famvir (Famciclovir) (FAM01)</t>
        </is>
      </c>
      <c r="C613" s="8" t="inlineStr">
        <is>
          <t>Medium</t>
        </is>
      </c>
      <c r="D613" s="3" t="inlineStr">
        <is>
          <t>Breastfeeding</t>
        </is>
      </c>
      <c r="E613" s="3" t="inlineStr">
        <is>
          <t>LactMed outdated</t>
        </is>
      </c>
      <c r="F613" s="3" t="inlineStr">
        <is>
          <t>Replace 'Avoided' with LactMed: no data, prefer acyclovir/valacyclovir esp. neonates</t>
        </is>
      </c>
      <c r="G613" s="3" t="inlineStr">
        <is>
          <t>Avoided</t>
        </is>
      </c>
      <c r="H613" s="3" t="inlineStr">
        <is>
          <t>LactMed: no published experience; other agents (acyclovir, valacyclovir) may be preferred, especially for newborn or preterm infants. FDA 8.2: weigh benefits against risks. UK: discontinuation may be considered. TW: not to be used unless benefit outweighs risk. None of them states an absolute 'avoid'.</t>
        </is>
      </c>
      <c r="I613" s="3" t="inlineStr">
        <is>
          <t>LactMed NBK501220 — https://www.ncbi.nlm.nih.gov/books/NBK501220/; TW 仿單 授乳 — https://mcp.fda.gov.tw/insert/pdfcasefile/i_04a54732-34c4-4625-b7ff-206556a81038</t>
        </is>
      </c>
      <c r="J613" s="3" t="inlineStr">
        <is>
          <t>Open</t>
        </is>
      </c>
      <c r="K613" s="3" t="inlineStr"/>
    </row>
    <row r="614">
      <c r="A614" s="3" t="n">
        <v>1020</v>
      </c>
      <c r="B614" s="3" t="inlineStr">
        <is>
          <t>Famvir (Famciclovir) (FAM01)</t>
        </is>
      </c>
      <c r="C614" s="8" t="inlineStr">
        <is>
          <t>Medium</t>
        </is>
      </c>
      <c r="D614" s="3" t="inlineStr">
        <is>
          <t>Breastfeeding</t>
        </is>
      </c>
      <c r="E614" s="3" t="inlineStr">
        <is>
          <t>LactMed outdated</t>
        </is>
      </c>
      <c r="F614" s="3" t="inlineStr">
        <is>
          <t>Replace 'Avoided' with LactMed/TW wording; suggest acyclovir/valacyclovir as alternatives</t>
        </is>
      </c>
      <c r="G614" s="3" t="inlineStr">
        <is>
          <t>Avoided</t>
        </is>
      </c>
      <c r="H614" s="3" t="inlineStr">
        <is>
          <t>LactMed: no published experience; other agents may be preferred, especially for newborn/preterm infants. TW仿單: only if benefit &gt; risk. SmPC: discontinuing breastfeeding may be considered. The hospital's wording is stricter than every source and gives no alternative (acyclovir/valacyclovir).</t>
        </is>
      </c>
      <c r="I614" s="3" t="inlineStr">
        <is>
          <t>LactMed NBK501220 https://www.ncbi.nlm.nih.gov/books/NBK501220/</t>
        </is>
      </c>
      <c r="J614" s="3" t="inlineStr">
        <is>
          <t>Open</t>
        </is>
      </c>
      <c r="K614" s="3" t="inlineStr"/>
    </row>
    <row r="615">
      <c r="A615" s="3" t="n">
        <v>1007</v>
      </c>
      <c r="B615" s="3" t="inlineStr">
        <is>
          <t>Famvir (Famciclovir) (FAM01)</t>
        </is>
      </c>
      <c r="C615" s="8" t="inlineStr">
        <is>
          <t>Medium</t>
        </is>
      </c>
      <c r="D615" s="3" t="inlineStr">
        <is>
          <t>Dosing – adult</t>
        </is>
      </c>
      <c r="E615" s="3" t="inlineStr"/>
      <c r="F615" s="3" t="inlineStr">
        <is>
          <t>State TW-stocked-product zoster dose 250 mg TID ×7 d; label 500 mg q8h as US/UK dose</t>
        </is>
      </c>
      <c r="G615" s="3" t="inlineStr">
        <is>
          <t>500 mg every 8 hours for 7 days</t>
        </is>
      </c>
      <c r="H615" s="3" t="inlineStr">
        <is>
          <t>TW 仿單 for the stocked product (FAMVIR 250 mg, 022179): 成人每次 250 毫克，一天三次，連續治療七天. 500 mg q8h is the US FDA / UK SmPC dose.</t>
        </is>
      </c>
      <c r="I615" s="3" t="inlineStr">
        <is>
          <t>TW 仿單 2022 用法與用量 — https://mcp.fda.gov.tw/insert/pdfcasefile/i_04a54732-34c4-4625-b7ff-206556a81038; FDA §2.1 — https://dailymed.nlm.nih.gov/dailymed/drugInfo.cfm?setid=2c44b8d2-3b70-4e8b-af03-2e917178f761</t>
        </is>
      </c>
      <c r="J615" s="3" t="inlineStr">
        <is>
          <t>Open</t>
        </is>
      </c>
      <c r="K615" s="3" t="inlineStr"/>
    </row>
    <row r="616">
      <c r="A616" s="3" t="n">
        <v>1009</v>
      </c>
      <c r="B616" s="3" t="inlineStr">
        <is>
          <t>Famvir (Famciclovir) (FAM01)</t>
        </is>
      </c>
      <c r="C616" s="8" t="inlineStr">
        <is>
          <t>Medium</t>
        </is>
      </c>
      <c r="D616" s="3" t="inlineStr">
        <is>
          <t>Dosing – adult</t>
        </is>
      </c>
      <c r="E616" s="3" t="inlineStr"/>
      <c r="F616" s="3" t="inlineStr">
        <is>
          <t>Mark 500 mg then 250 mg BID as CDC guideline/off-label; note 125 mg not feasible with 250 mg tablet</t>
        </is>
      </c>
      <c r="G616" s="3" t="inlineStr">
        <is>
          <t>1 g BID × 1 d or 500 mg once then 250 mg BID × 2 d or 125 mg BID × 5 d</t>
        </is>
      </c>
      <c r="H616" s="3" t="inlineStr">
        <is>
          <t>No label has '500 mg once then 250 mg BID × 2 d'; it comes from CDC STI Guidelines 2021 and should be marked as guideline/off-label. The labels give FDA 1 g BID × 1 d and TW/UK 125 mg BID × 5 d. Also, 125 mg doses cannot be given with the only stocked strength (250 mg tablet).</t>
        </is>
      </c>
      <c r="I616" s="3" t="inlineStr">
        <is>
          <t>CDC STI Treatment Guidelines 2021, PMID 34292926 — https://pubmed.ncbi.nlm.nih.gov/34292926/; TW 仿單 — https://mcp.fda.gov.tw/insert/pdfcasefile/i_04a54732-34c4-4625-b7ff-206556a81038</t>
        </is>
      </c>
      <c r="J616" s="3" t="inlineStr">
        <is>
          <t>Open</t>
        </is>
      </c>
      <c r="K616" s="3" t="inlineStr"/>
    </row>
    <row r="617">
      <c r="A617" s="3" t="n">
        <v>1016</v>
      </c>
      <c r="B617" s="3" t="inlineStr">
        <is>
          <t>Famvir (Famciclovir) (FAM01)</t>
        </is>
      </c>
      <c r="C617" s="8" t="inlineStr">
        <is>
          <t>Medium</t>
        </is>
      </c>
      <c r="D617" s="3" t="inlineStr">
        <is>
          <t>Dosing – adult</t>
        </is>
      </c>
      <c r="E617" s="3" t="inlineStr"/>
      <c r="F617" s="3" t="inlineStr">
        <is>
          <t>Reconcile zoster dose with stocked TW insert (250 mg TID ×7 d) or flag as US/UK dose</t>
        </is>
      </c>
      <c r="G617" s="3" t="inlineStr">
        <is>
          <t>500 mg every 8 hours for 7 days</t>
        </is>
      </c>
      <c r="H617" s="3" t="inlineStr">
        <is>
          <t>Stocked product TW仿單 (2016 and 2022): 成人每次 250 毫克，一天三次，連續治療七天. FDA 2.1 and SmPC 4.2 give 500 mg q8h/TID ×7 d. The hospital follows the foreign labels, not the insert of the product it stocks.</t>
        </is>
      </c>
      <c r="I617" s="3" t="inlineStr">
        <is>
          <t>TW仿單 2022 https://mcp.fda.gov.tw/insert/pdfcasefile/i_04a54732-34c4-4625-b7ff-206556a81038 ; FDA https://dailymed.nlm.nih.gov/dailymed/drugInfo.cfm?setid=2c44b8d2-3b70-4e8b-af03-2e917178f761</t>
        </is>
      </c>
      <c r="J617" s="3" t="inlineStr">
        <is>
          <t>Open</t>
        </is>
      </c>
      <c r="K617" s="3" t="inlineStr"/>
    </row>
    <row r="618">
      <c r="A618" s="3" t="n">
        <v>1013</v>
      </c>
      <c r="B618" s="3" t="inlineStr">
        <is>
          <t>Famvir (Famciclovir) (FAM01)</t>
        </is>
      </c>
      <c r="C618" s="8" t="inlineStr">
        <is>
          <t>Medium</t>
        </is>
      </c>
      <c r="D618" s="3" t="inlineStr">
        <is>
          <t>Indication/coverage</t>
        </is>
      </c>
      <c r="E618" s="3" t="inlineStr"/>
      <c r="F618" s="3" t="inlineStr">
        <is>
          <t>Add suppression indication to 臨床用途; mark labialis/HIV as US-only; fix 庖→疱</t>
        </is>
      </c>
      <c r="G618" s="3" t="inlineStr">
        <is>
          <t>Indications follow the US label (zoster, herpes labialis, recurrent GH, HIV recurrent mucocutaneous HSV); 臨床用途 '帶狀庖疹及生殖器庖疹急性感染'</t>
        </is>
      </c>
      <c r="H618" s="3" t="inlineStr">
        <is>
          <t>TW 適應症 = 帶狀疱疹及生殖器疱疹急性感染，抑制反覆性生殖器疱疹復發. The hospital's 臨床用途 omits the suppression indication even though its dosing section lists suppression; herpes labialis and the HIV indication are in the US label but not in the TW licence. The hospital text also writes 庖 where the insert has 疱.</t>
        </is>
      </c>
      <c r="I618" s="3" t="inlineStr">
        <is>
          <t>TW 仿單 適應症 — https://mcp.fda.gov.tw/insert/pdfcasefile/i_04a54732-34c4-4625-b7ff-206556a81038</t>
        </is>
      </c>
      <c r="J618" s="3" t="inlineStr">
        <is>
          <t>Open</t>
        </is>
      </c>
      <c r="K618" s="3" t="inlineStr"/>
    </row>
    <row r="619">
      <c r="A619" s="3" t="n">
        <v>1024</v>
      </c>
      <c r="B619" s="3" t="inlineStr">
        <is>
          <t>Famvir (Famciclovir) (FAM01)</t>
        </is>
      </c>
      <c r="C619" s="8" t="inlineStr">
        <is>
          <t>Medium</t>
        </is>
      </c>
      <c r="D619" s="3" t="inlineStr">
        <is>
          <t>Indication/coverage</t>
        </is>
      </c>
      <c r="E619" s="3" t="inlineStr"/>
      <c r="F619" s="3" t="inlineStr">
        <is>
          <t>Add suppression of recurrent genital herpes and first-episode genital herpes indications</t>
        </is>
      </c>
      <c r="G619" s="3" t="inlineStr">
        <is>
          <t>Zoster, labialis, recurrent genital herpes (immunocompetent), recurrent orolabial/genital HSV in HIV</t>
        </is>
      </c>
      <c r="H619" s="3" t="inlineStr">
        <is>
          <t>Leaves out suppression of recurrent genital herpes, an indication in TW, FDA and SmPC (the hospital lists it only in its dosing section). Also leaves out the TW/SmPC indication for first-episode genital herpes.</t>
        </is>
      </c>
      <c r="I619" s="3" t="inlineStr">
        <is>
          <t>TW仿單 適應症; FDA 1.1; SmPC 4.1</t>
        </is>
      </c>
      <c r="J619" s="3" t="inlineStr">
        <is>
          <t>Open</t>
        </is>
      </c>
      <c r="K619" s="3" t="inlineStr"/>
    </row>
    <row r="620">
      <c r="A620" s="3" t="n">
        <v>1014</v>
      </c>
      <c r="B620" s="3" t="inlineStr">
        <is>
          <t>Famvir (Famciclovir) (FAM01)</t>
        </is>
      </c>
      <c r="C620" s="8" t="inlineStr">
        <is>
          <t>Medium</t>
        </is>
      </c>
      <c r="D620" s="3" t="inlineStr">
        <is>
          <t>Pharmacokinetics/other</t>
        </is>
      </c>
      <c r="E620" s="3" t="inlineStr"/>
      <c r="F620" s="3" t="inlineStr">
        <is>
          <t>Verify stock; insert says white round 'FV'/'250', no score line</t>
        </is>
      </c>
      <c r="G620" s="3" t="inlineStr">
        <is>
          <t>標記1 'EX, 26'; 剝痕 Y</t>
        </is>
      </c>
      <c r="H620" s="3" t="inlineStr">
        <is>
          <t>The TW insert describes the 250 mg tablet as white, round, biconvex, bevelled edge, imprinted 'FV' on one side and '250' on the other, and mentions no score line. The hospital's imprint and score fields should be checked against the physical stock.</t>
        </is>
      </c>
      <c r="I620" s="3" t="inlineStr">
        <is>
          <t>TW 仿單 2022 性狀與組成 — https://mcp.fda.gov.tw/insert/pdfcasefile/i_04a54732-34c4-4625-b7ff-206556a81038</t>
        </is>
      </c>
      <c r="J620" s="3" t="inlineStr">
        <is>
          <t>Open</t>
        </is>
      </c>
      <c r="K620" s="3" t="inlineStr"/>
    </row>
    <row r="621">
      <c r="A621" s="3" t="n">
        <v>1022</v>
      </c>
      <c r="B621" s="3" t="inlineStr">
        <is>
          <t>Famvir (Famciclovir) (FAM01)</t>
        </is>
      </c>
      <c r="C621" s="8" t="inlineStr">
        <is>
          <t>Medium</t>
        </is>
      </c>
      <c r="D621" s="3" t="inlineStr">
        <is>
          <t>Pharmacokinetics/other</t>
        </is>
      </c>
      <c r="E621" s="3" t="inlineStr"/>
      <c r="F621" s="3" t="inlineStr">
        <is>
          <t>Check stocked tablet; update imprint to 'FV'/'250' per TW insert</t>
        </is>
      </c>
      <c r="G621" s="3" t="inlineStr">
        <is>
          <t>標記1: 'EX, 26'</t>
        </is>
      </c>
      <c r="H621" s="3" t="inlineStr">
        <is>
          <t>TW仿單 (2016 and 2022): 250 毫克膜衣錠 白色圓形雙凸錠，一面印有 'FV' 另一面印有 '250'. Pharmacy should check the actual tablet in stock: either the appearance record is wrong or the stocked tablet differs from the registered description.</t>
        </is>
      </c>
      <c r="I621" s="3" t="inlineStr">
        <is>
          <t>TW仿單 2022 性狀與組成 https://mcp.fda.gov.tw/insert/pdfcasefile/i_04a54732-34c4-4625-b7ff-206556a81038</t>
        </is>
      </c>
      <c r="J621" s="3" t="inlineStr">
        <is>
          <t>Open</t>
        </is>
      </c>
      <c r="K621" s="3" t="inlineStr"/>
    </row>
    <row r="622">
      <c r="A622" s="3" t="n">
        <v>538</v>
      </c>
      <c r="B622" s="3" t="inlineStr">
        <is>
          <t>Fetroja (Cefiderocol) (FET01)</t>
        </is>
      </c>
      <c r="C622" s="8" t="inlineStr">
        <is>
          <t>Medium</t>
        </is>
      </c>
      <c r="D622" s="3" t="inlineStr">
        <is>
          <t>Administration/compatibility</t>
        </is>
      </c>
      <c r="E622" s="3" t="inlineStr"/>
      <c r="F622" s="3" t="inlineStr">
        <is>
          <t>Add stability: reconstituted vial 1 h RT; diluted bag 6 h RT or 24 h refrigerated</t>
        </is>
      </c>
      <c r="G622" s="3" t="inlineStr">
        <is>
          <t>Text is cut off: 'Store reconstituted solutions of FETROJA at room temperature' with no time limit given</t>
        </is>
      </c>
      <c r="H622" s="3" t="inlineStr">
        <is>
          <t>US §2.5 says the reconstituted vial can be held up to 1 h at room temperature, and the diluted bag is stable 6 h at room temperature or 24 h refrigerated. This is reported for the hospital's benefit only; storage details are not to be added to Notion.</t>
        </is>
      </c>
      <c r="I622" s="3" t="inlineStr">
        <is>
          <t>US FDA label §2.5 https://dailymed.nlm.nih.gov/dailymed/drugInfo.cfm?setid=75c0c785-38e0-4049-a6fb-b77581f5b35c</t>
        </is>
      </c>
      <c r="J622" s="3" t="inlineStr">
        <is>
          <t>Open</t>
        </is>
      </c>
      <c r="K622" s="3" t="inlineStr"/>
    </row>
    <row r="623">
      <c r="A623" s="3" t="n">
        <v>546</v>
      </c>
      <c r="B623" s="3" t="inlineStr">
        <is>
          <t>Fetroja (Cefiderocol) (FET01)</t>
        </is>
      </c>
      <c r="C623" s="8" t="inlineStr">
        <is>
          <t>Medium</t>
        </is>
      </c>
      <c r="D623" s="3" t="inlineStr">
        <is>
          <t>Administration/compatibility</t>
        </is>
      </c>
      <c r="E623" s="3" t="inlineStr"/>
      <c r="F623" s="3" t="inlineStr">
        <is>
          <t>Complete stability: vial 1 h RT; bag 6 h RT or 24 h 2–8 °C</t>
        </is>
      </c>
      <c r="G623" s="3" t="inlineStr">
        <is>
          <t>'Store reconstituted solutions of FETROJA at room temperature' (cut off; no time limit given)</t>
        </is>
      </c>
      <c r="H623" s="3" t="inlineStr">
        <is>
          <t>US 2.5: reconstituted vial up to 1 hour at room temperature; diluted bag 6 h at room temperature, or 24 h at 2-8 °C protected from light, then completed within 6 h. This is a hospital-site completeness issue only; storage content is not to be added to Notion.</t>
        </is>
      </c>
      <c r="I623" s="3" t="inlineStr">
        <is>
          <t>US FDA label §2.5 — https://dailymed.nlm.nih.gov/dailymed/drugInfo.cfm?setid=75c0c785-38e0-4049-a6fb-b77581f5b35c</t>
        </is>
      </c>
      <c r="J623" s="3" t="inlineStr">
        <is>
          <t>Open</t>
        </is>
      </c>
      <c r="K623" s="3" t="inlineStr"/>
    </row>
    <row r="624">
      <c r="A624" s="3" t="n">
        <v>531</v>
      </c>
      <c r="B624" s="3" t="inlineStr">
        <is>
          <t>Fetroja (Cefiderocol) (FET01)</t>
        </is>
      </c>
      <c r="C624" s="8" t="inlineStr">
        <is>
          <t>Medium</t>
        </is>
      </c>
      <c r="D624" s="3" t="inlineStr">
        <is>
          <t>Adverse effects</t>
        </is>
      </c>
      <c r="E624" s="3" t="inlineStr"/>
      <c r="F624" s="3" t="inlineStr">
        <is>
          <t>Restore truncated ADR list: diarrhea 8.2%, vomiting, nausea; HABP: LFTs 16%, hypokalemia 11%</t>
        </is>
      </c>
      <c r="G624" s="3" t="inlineStr">
        <is>
          <t>Text is cut off mid-sentence: '...1% to 10%: Cardiovascular: Acute myocardial infarction ('</t>
        </is>
      </c>
      <c r="H624" s="3" t="inlineStr">
        <is>
          <t>Full AE lists are in US §6.1–6.2, TW §8 and UK §4.8. The most common AEs are diarrhoea 8.2%, vomiting 3.6%, nausea 3.3%, cough 2% (TW/UK); HABP/VABP: liver tests 16%, hypokalaemia 11%. Myocardial infarction is only a &lt;4% 'other' reaction in the US HABP/VABP trial.</t>
        </is>
      </c>
      <c r="I624" s="3" t="inlineStr">
        <is>
          <t>US FDA label §6 https://dailymed.nlm.nih.gov/dailymed/drugInfo.cfm?setid=75c0c785-38e0-4049-a6fb-b77581f5b35c; TW 仿單 §8.1 https://mcp.fda.gov.tw/im_detail_1/%E8%A1%9B%E9%83%A8%E8%97%A5%E8%BC%B8%E5%AD%97%E7%AC%AC028637%E8%99%9F</t>
        </is>
      </c>
      <c r="J624" s="3" t="inlineStr">
        <is>
          <t>Open</t>
        </is>
      </c>
      <c r="K624" s="3" t="inlineStr"/>
    </row>
    <row r="625">
      <c r="A625" s="3" t="n">
        <v>545</v>
      </c>
      <c r="B625" s="3" t="inlineStr">
        <is>
          <t>Fetroja (Cefiderocol) (FET01)</t>
        </is>
      </c>
      <c r="C625" s="8" t="inlineStr">
        <is>
          <t>Medium</t>
        </is>
      </c>
      <c r="D625" s="3" t="inlineStr">
        <is>
          <t>Adverse effects</t>
        </is>
      </c>
      <c r="E625" s="3" t="inlineStr"/>
      <c r="F625" s="3" t="inlineStr">
        <is>
          <t>Restore truncated ADR list with label frequencies; MI only &lt;4% HABP/VABP</t>
        </is>
      </c>
      <c r="G625" s="3" t="inlineStr">
        <is>
          <t>'&gt;10%: Hypokalemia (2% to 11%)… Increased liver enzymes (2% to 16%) 1% to 10%: Cardiovascular: Acute myocardial infarction (' (cut off)</t>
        </is>
      </c>
      <c r="H625" s="3" t="inlineStr">
        <is>
          <t>Label frequencies are from a full table: TW 8.1 gives diarrhoea 8.2%, vomiting 3.6%, nausea 3.3%, cough 2%. In US Table 5, myocardial infarction is listed only among HABP/VABP reactions occurring in fewer than 4% of patients.</t>
        </is>
      </c>
      <c r="I625" s="3" t="inlineStr">
        <is>
          <t>Taiwan insert §8; US FDA label §6.1</t>
        </is>
      </c>
      <c r="J625" s="3" t="inlineStr">
        <is>
          <t>Open</t>
        </is>
      </c>
      <c r="K625" s="3" t="inlineStr"/>
    </row>
    <row r="626">
      <c r="A626" s="3" t="n">
        <v>536</v>
      </c>
      <c r="B626" s="3" t="inlineStr">
        <is>
          <t>Fetroja (Cefiderocol) (FET01)</t>
        </is>
      </c>
      <c r="C626" s="8" t="inlineStr">
        <is>
          <t>Medium</t>
        </is>
      </c>
      <c r="D626" s="3" t="inlineStr">
        <is>
          <t>Dosing – adult</t>
        </is>
      </c>
      <c r="E626" s="3" t="inlineStr"/>
      <c r="F626" s="3" t="inlineStr">
        <is>
          <t>Label duration 7–14 days; mark shorter durations as guideline-based</t>
        </is>
      </c>
      <c r="G626" s="3" t="inlineStr">
        <is>
          <t>HAP/VAP: 'treatment is typically given for 7 days'; cUTI: 'total duration is 5 to 7 days (7 days if therapy is completed with cefiderocol)'</t>
        </is>
      </c>
      <c r="H626" s="3" t="inlineStr">
        <is>
          <t>Label duration is 7–14 days for cUTI and HABP/VABP (US §2.1, TW §3.1). UK gives cUTI 5–10 days and HAP/VAP 7–14 days (up to 21). The hospital durations follow tertiary/guideline sources, not the stocked product's label, and are not marked as such.</t>
        </is>
      </c>
      <c r="I626" s="3" t="inlineStr">
        <is>
          <t>US FDA label §2.1; TW 仿單 §3.1; UK SmPC §4.2</t>
        </is>
      </c>
      <c r="J626" s="3" t="inlineStr">
        <is>
          <t>Open</t>
        </is>
      </c>
      <c r="K626" s="3" t="inlineStr"/>
    </row>
    <row r="627">
      <c r="A627" s="3" t="n">
        <v>541</v>
      </c>
      <c r="B627" s="3" t="inlineStr">
        <is>
          <t>Fetroja (Cefiderocol) (FET01)</t>
        </is>
      </c>
      <c r="C627" s="8" t="inlineStr">
        <is>
          <t>Medium</t>
        </is>
      </c>
      <c r="D627" s="3" t="inlineStr">
        <is>
          <t>Dosing – adult</t>
        </is>
      </c>
      <c r="E627" s="3" t="inlineStr"/>
      <c r="F627" s="3" t="inlineStr">
        <is>
          <t>Duration 7–14 days per US/TW label; note guideline source for shorter</t>
        </is>
      </c>
      <c r="G627" s="3" t="inlineStr">
        <is>
          <t>HAP/VAP: 'treatment is typically given for 7 days'; cUTI: 'total duration is 5 to 7 days'</t>
        </is>
      </c>
      <c r="H627" s="3" t="inlineStr">
        <is>
          <t>US §2.1 and TW §3.1: 7 to 14 days, guided by clinical status. UK §4.2: cUTI 5-10 d; HAP/VAP 7-14 d, up to 21 d. The hospital's shorter durations are not from the stocked product's label.</t>
        </is>
      </c>
      <c r="I627" s="3" t="inlineStr">
        <is>
          <t>Taiwan insert §3.1 — https://mcp.fda.gov.tw/im_detail_1/%E8%A1%9B%E9%83%A8%E8%97%A5%E8%BC%B8%E5%AD%97%E7%AC%AC028637%E8%99%9F; US FDA label §2.1</t>
        </is>
      </c>
      <c r="J627" s="3" t="inlineStr">
        <is>
          <t>Open</t>
        </is>
      </c>
      <c r="K627" s="3" t="inlineStr"/>
    </row>
    <row r="628">
      <c r="A628" s="3" t="n">
        <v>533</v>
      </c>
      <c r="B628" s="3" t="inlineStr">
        <is>
          <t>Fetroja (Cefiderocol) (FET01)</t>
        </is>
      </c>
      <c r="C628" s="8" t="inlineStr">
        <is>
          <t>Medium</t>
        </is>
      </c>
      <c r="D628" s="3" t="inlineStr">
        <is>
          <t>Dosing – pediatric</t>
        </is>
      </c>
      <c r="E628" s="3" t="inlineStr"/>
      <c r="F628" s="3" t="inlineStr">
        <is>
          <t>Replace truncated text: safety/efficacy &lt;18 y not established</t>
        </is>
      </c>
      <c r="G628" s="3" t="inlineStr">
        <is>
          <t>Text is cut off at 'Limited data available ... Infants ' with no dose shown</t>
        </is>
      </c>
      <c r="H628" s="3" t="inlineStr">
        <is>
          <t>Safety and efficacy below 18 years are not established in any label (US §8.4, TW §3.3, UK §4.2)</t>
        </is>
      </c>
      <c r="I628" s="3" t="inlineStr">
        <is>
          <t>US FDA label §8.4; TW 仿單 §3.3; UK SmPC §4.2 https://www.medicines.org.uk/emc/product/11771/smpc</t>
        </is>
      </c>
      <c r="J628" s="3" t="inlineStr">
        <is>
          <t>Open</t>
        </is>
      </c>
      <c r="K628" s="3" t="inlineStr"/>
    </row>
    <row r="629">
      <c r="A629" s="3" t="n">
        <v>544</v>
      </c>
      <c r="B629" s="3" t="inlineStr">
        <is>
          <t>Fetroja (Cefiderocol) (FET01)</t>
        </is>
      </c>
      <c r="C629" s="8" t="inlineStr">
        <is>
          <t>Medium</t>
        </is>
      </c>
      <c r="D629" s="3" t="inlineStr">
        <is>
          <t>Dosing – pediatric</t>
        </is>
      </c>
      <c r="E629" s="3" t="inlineStr"/>
      <c r="F629" s="3" t="inlineStr">
        <is>
          <t>State &lt;18 y not established; mark any pediatric dosing as off-label</t>
        </is>
      </c>
      <c r="G629" s="3" t="inlineStr">
        <is>
          <t>'Systemic infections, due to multidrug-resistant gram-negative bacilli: Limited data available… Infants ' (cut off mid-text)</t>
        </is>
      </c>
      <c r="H629" s="3" t="inlineStr">
        <is>
          <t>All labels: safety and efficacy below 18 years not established; no approved paediatric dose (TW 3.3, US 8.4, UK 4.2). Any paediatric dosing shown is off-label and should say so.</t>
        </is>
      </c>
      <c r="I629" s="3" t="inlineStr">
        <is>
          <t>Taiwan insert §3.3 小兒; US FDA label §8.4</t>
        </is>
      </c>
      <c r="J629" s="3" t="inlineStr">
        <is>
          <t>Open</t>
        </is>
      </c>
      <c r="K629" s="3" t="inlineStr"/>
    </row>
    <row r="630">
      <c r="A630" s="3" t="n">
        <v>535</v>
      </c>
      <c r="B630" s="3" t="inlineStr">
        <is>
          <t>Fetroja (Cefiderocol) (FET01)</t>
        </is>
      </c>
      <c r="C630" s="8" t="inlineStr">
        <is>
          <t>Medium</t>
        </is>
      </c>
      <c r="D630" s="3" t="inlineStr">
        <is>
          <t>Indication/coverage</t>
        </is>
      </c>
      <c r="E630" s="3" t="inlineStr"/>
      <c r="F630" s="3" t="inlineStr">
        <is>
          <t>Mark uncomplicated cystitis off-label; reserve per IDSA 2026 only when no alternatives</t>
        </is>
      </c>
      <c r="G630" s="3" t="inlineStr">
        <is>
          <t>Lists 'Cystitis, acute uncomplicated ... (off-label use): IV 2 g q8h for 5 to 7 days'</t>
        </is>
      </c>
      <c r="H630" s="3" t="inlineStr">
        <is>
          <t>Approved indications are cUTI including pyelonephritis and HABP/VABP (US/TW), or limited-option aerobic GNB infections (UK). Uncomplicated cystitis is in no label. IDSA 2026 Q3.1 says IV agents including cefiderocol should be kept for uUTI only when resistance, availability or intolerance rule out other options.</t>
        </is>
      </c>
      <c r="I630" s="3" t="inlineStr">
        <is>
          <t>US FDA label §1; TW 仿單 §2; IDSA 2026 AMR Guidance Q3.1 https://www.idsociety.org/practice-guideline/amr-guidance/</t>
        </is>
      </c>
      <c r="J630" s="3" t="inlineStr">
        <is>
          <t>Open</t>
        </is>
      </c>
      <c r="K630" s="3" t="inlineStr"/>
    </row>
    <row r="631">
      <c r="A631" s="3" t="n">
        <v>540</v>
      </c>
      <c r="B631" s="3" t="inlineStr">
        <is>
          <t>Fetroja (Cefiderocol) (FET01)</t>
        </is>
      </c>
      <c r="C631" s="8" t="inlineStr">
        <is>
          <t>Medium</t>
        </is>
      </c>
      <c r="D631" s="3" t="inlineStr">
        <is>
          <t>Indication/coverage</t>
        </is>
      </c>
      <c r="E631" s="3" t="inlineStr"/>
      <c r="F631" s="3" t="inlineStr">
        <is>
          <t>Flag uncomplicated cystitis as off-label, reserve for no other options</t>
        </is>
      </c>
      <c r="G631" s="3" t="inlineStr">
        <is>
          <t>Urinary tract infection: Cystitis, acute uncomplicated… (off-label use): IV 2 g q8h for 5 to 7 days</t>
        </is>
      </c>
      <c r="H631" s="3" t="inlineStr">
        <is>
          <t>No label approves uncomplicated cystitis. Approved uses are cUTI including pyelonephritis, and HABP/VABP (US §1, TW §2); UK §4.1 covers aerobic Gram-negative infections with limited treatment options. IDSA 2026 Q3.1 says to keep IV agents such as cefiderocol for uUTI only when other options are excluded.</t>
        </is>
      </c>
      <c r="I631" s="3" t="inlineStr">
        <is>
          <t>US FDA label §1 — https://dailymed.nlm.nih.gov/dailymed/drugInfo.cfm?setid=75c0c785-38e0-4049-a6fb-b77581f5b35c; Taiwan insert §2</t>
        </is>
      </c>
      <c r="J631" s="3" t="inlineStr">
        <is>
          <t>Open</t>
        </is>
      </c>
      <c r="K631" s="3" t="inlineStr"/>
    </row>
    <row r="632">
      <c r="A632" s="3" t="n">
        <v>379</v>
      </c>
      <c r="B632" s="3" t="inlineStr">
        <is>
          <t>Flumarin (Flomoxef) (FLU05)</t>
        </is>
      </c>
      <c r="C632" s="8" t="inlineStr">
        <is>
          <t>Medium</t>
        </is>
      </c>
      <c r="D632" s="3" t="inlineStr">
        <is>
          <t>Breastfeeding</t>
        </is>
      </c>
      <c r="E632" s="3" t="inlineStr"/>
      <c r="F632" s="3" t="inlineStr">
        <is>
          <t>Replace 'not recommended' with insert data: milk ≤0.5 µg/mL after 1 g IV; no label recommendation</t>
        </is>
      </c>
      <c r="G632" s="3" t="inlineStr">
        <is>
          <t>Not recommended</t>
        </is>
      </c>
      <c r="H632" s="3" t="inlineStr">
        <is>
          <t>The insert gives no breastfeeding recommendation. It reports a mean milk concentration ≤0.5 µg/mL after 1 g IV (n=5). LactMed has no flomoxef record.</t>
        </is>
      </c>
      <c r="I632" s="3" t="inlineStr">
        <is>
          <t>Taiwan insert, 【體內藥物動力學】二.分佈 and 【使用注意事項】八, https://mcp.fda.gov.tw/insert/pdfcasefile/f00601dd-69fd-4c6e-a282-74a0922a818d</t>
        </is>
      </c>
      <c r="J632" s="3" t="inlineStr">
        <is>
          <t>Open</t>
        </is>
      </c>
      <c r="K632" s="3" t="inlineStr"/>
    </row>
    <row r="633">
      <c r="A633" s="3" t="n">
        <v>386</v>
      </c>
      <c r="B633" s="3" t="inlineStr">
        <is>
          <t>Flumarin (Flomoxef) (FLU05)</t>
        </is>
      </c>
      <c r="C633" s="8" t="inlineStr">
        <is>
          <t>Medium</t>
        </is>
      </c>
      <c r="D633" s="3" t="inlineStr">
        <is>
          <t>Breastfeeding</t>
        </is>
      </c>
      <c r="E633" s="3" t="inlineStr"/>
      <c r="F633" s="3" t="inlineStr">
        <is>
          <t>Replace 'not recommended' with insert PK data (milk ≤0.5 µg/mL); no LactMed entry</t>
        </is>
      </c>
      <c r="G633" s="3" t="inlineStr">
        <is>
          <t>not recommended</t>
        </is>
      </c>
      <c r="H633" s="3" t="inlineStr">
        <is>
          <t>No lactation recommendation. PK only: mean breast-milk level ≤0.5 µg/mL after 1 g IV (n=5). There is no LactMed entry.</t>
        </is>
      </c>
      <c r="I633" s="3" t="inlineStr">
        <is>
          <t>Taiwan insert Flumarin 1g, 體內藥物動力學 二 分佈 and 使用注意事項 八 — https://mcp.fda.gov.tw/insert/pdfcasefile/f00601dd-69fd-4c6e-a282-74a0922a818d</t>
        </is>
      </c>
      <c r="J633" s="3" t="inlineStr">
        <is>
          <t>Open</t>
        </is>
      </c>
      <c r="K633" s="3" t="inlineStr"/>
    </row>
    <row r="634">
      <c r="A634" s="3" t="n">
        <v>380</v>
      </c>
      <c r="B634" s="3" t="inlineStr">
        <is>
          <t>Flumarin (Flomoxef) (FLU05)</t>
        </is>
      </c>
      <c r="C634" s="8" t="inlineStr">
        <is>
          <t>Medium</t>
        </is>
      </c>
      <c r="D634" s="3" t="inlineStr">
        <is>
          <t>Indication/coverage</t>
        </is>
      </c>
      <c r="E634" s="3" t="inlineStr"/>
      <c r="F634" s="3" t="inlineStr">
        <is>
          <t>Add E. coli, H. influenzae, gonococcus; state Enterococcus excluded; Pseudomonas claim not label-based</t>
        </is>
      </c>
      <c r="G634" s="3" t="inlineStr">
        <is>
          <t>Spectrum list that omits E. coli, H. influenzae and gonococcus, does not state that Enterococcus is excluded, and says 'ineffective against Pseudomonas'</t>
        </is>
      </c>
      <c r="H634" s="3" t="inlineStr">
        <is>
          <t>Staphylococcus, Streptococcus (Enterococcus excluded), pneumococcus, Peptostreptococcus, B. catarrhalis, gonococcus, E. coli, Klebsiella, Proteus, H. influenzae, Bacteroides. Pseudomonas is not mentioned, so the 'ineffective' claim is plausible but not label-stated.</t>
        </is>
      </c>
      <c r="I634" s="3" t="inlineStr">
        <is>
          <t>Taiwan insert, 【適應症】 and 【藥理作用】1, https://mcp.fda.gov.tw/insert/pdfcasefile/f00601dd-69fd-4c6e-a282-74a0922a818d</t>
        </is>
      </c>
      <c r="J634" s="3" t="inlineStr">
        <is>
          <t>Open</t>
        </is>
      </c>
      <c r="K634" s="3" t="inlineStr"/>
    </row>
    <row r="635">
      <c r="A635" s="3" t="n">
        <v>387</v>
      </c>
      <c r="B635" s="3" t="inlineStr">
        <is>
          <t>Flumarin (Flomoxef) (FLU05)</t>
        </is>
      </c>
      <c r="C635" s="8" t="inlineStr">
        <is>
          <t>Medium</t>
        </is>
      </c>
      <c r="D635" s="3" t="inlineStr">
        <is>
          <t>Indication/coverage</t>
        </is>
      </c>
      <c r="E635" s="3" t="inlineStr"/>
      <c r="F635" s="3" t="inlineStr">
        <is>
          <t>Add E. coli, H. influenzae, gonococcus; note Enterococcus excluded</t>
        </is>
      </c>
      <c r="G635" s="3" t="inlineStr">
        <is>
          <t>Organism list omits E. coli, H. influenzae and gonococcus, does not state that Enterococcus is excluded, and says 'ineffective against Pseudomonas'</t>
        </is>
      </c>
      <c r="H635" s="3" t="inlineStr">
        <is>
          <t>The organism list includes 大腸菌, Influenzae 菌 and 淋菌, and says 鏈球菌屬（腸球菌除外）. Pseudomonas is not mentioned either way; the claim is plausible but not label-stated.</t>
        </is>
      </c>
      <c r="I635" s="3" t="inlineStr">
        <is>
          <t>Taiwan insert Flumarin 1g, 【適應症】 — https://mcp.fda.gov.tw/insert/pdfcasefile/f00601dd-69fd-4c6e-a282-74a0922a818d</t>
        </is>
      </c>
      <c r="J635" s="3" t="inlineStr">
        <is>
          <t>Open</t>
        </is>
      </c>
      <c r="K635" s="3" t="inlineStr"/>
    </row>
    <row r="636">
      <c r="A636" s="3" t="n">
        <v>937</v>
      </c>
      <c r="B636" s="3" t="inlineStr">
        <is>
          <t>Flusine (Flucytosine) (FLU07)</t>
        </is>
      </c>
      <c r="C636" s="8" t="inlineStr">
        <is>
          <t>Medium</t>
        </is>
      </c>
      <c r="D636" s="3" t="inlineStr">
        <is>
          <t>Dosing – adult</t>
        </is>
      </c>
      <c r="E636" s="3" t="inlineStr"/>
      <c r="F636" s="3" t="inlineStr">
        <is>
          <t>Add TW dose 100–200 mg/kg/day and requirement to combine with amphotericin B</t>
        </is>
      </c>
      <c r="G636" s="3" t="inlineStr">
        <is>
          <t>Usual dosage range: 50-150 mg/kg/day in divided doses every 6 hours</t>
        </is>
      </c>
      <c r="H636" s="3" t="inlineStr">
        <is>
          <t>This is the US capsule label dose. The TW insert for the product actually stocked (Flusine tab) says 100–200 mg/kg/day. The hospital entry also does not say that flucytosine must be combined with amphotericin B for systemic candidiasis and cryptococcosis because resistance emerges (US D&amp;A / INDICATIONS).</t>
        </is>
      </c>
      <c r="I636" s="3" t="inlineStr">
        <is>
          <t>TW 仿單 §3.1; US label DOSAGE AND ADMINISTRATION</t>
        </is>
      </c>
      <c r="J636" s="3" t="inlineStr">
        <is>
          <t>Open</t>
        </is>
      </c>
      <c r="K636" s="3" t="inlineStr"/>
    </row>
    <row r="637">
      <c r="A637" s="3" t="n">
        <v>946</v>
      </c>
      <c r="B637" s="3" t="inlineStr">
        <is>
          <t>Flusine (Flucytosine) (FLU07)</t>
        </is>
      </c>
      <c r="C637" s="8" t="inlineStr">
        <is>
          <t>Medium</t>
        </is>
      </c>
      <c r="D637" s="3" t="inlineStr">
        <is>
          <t>Dosing – adult</t>
        </is>
      </c>
      <c r="E637" s="3" t="inlineStr"/>
      <c r="F637" s="3" t="inlineStr">
        <is>
          <t>Add TW 100–200 mg/kg/day dose and amphotericin B combination requirement</t>
        </is>
      </c>
      <c r="G637" s="3" t="inlineStr">
        <is>
          <t>Usual dosage range: 50-150 mg/kg/day in divided doses every 6 hours (US value only)</t>
        </is>
      </c>
      <c r="H637" s="3" t="inlineStr">
        <is>
          <t>The TW insert for the product actually stocked (Flusine 500 mg tab) states 每天每公斤體重服 100-200 毫克. The site omits the local label dose and the requirement to combine with amphotericin B.</t>
        </is>
      </c>
      <c r="I637" s="3" t="inlineStr">
        <is>
          <t>TW 仿單 §3.1 https://mcp.fda.gov.tw/im_detail_1/%E8%A1%9B%E7%BD%B2%E8%97%A5%E8%A3%BD%E5%AD%97%E7%AC%AC048355%E8%99%9F</t>
        </is>
      </c>
      <c r="J637" s="3" t="inlineStr">
        <is>
          <t>Open</t>
        </is>
      </c>
      <c r="K637" s="3" t="inlineStr"/>
    </row>
    <row r="638">
      <c r="A638" s="3" t="n">
        <v>942</v>
      </c>
      <c r="B638" s="3" t="inlineStr">
        <is>
          <t>Flusine (Flucytosine) (FLU07)</t>
        </is>
      </c>
      <c r="C638" s="8" t="inlineStr">
        <is>
          <t>Medium</t>
        </is>
      </c>
      <c r="D638" s="3" t="inlineStr">
        <is>
          <t>Dosing – pediatric</t>
        </is>
      </c>
      <c r="E638" s="3" t="inlineStr"/>
      <c r="F638" s="3" t="inlineStr">
        <is>
          <t>Add pediatric note: not studied; neonates 25–200 mg/kg/day with level monitoring</t>
        </is>
      </c>
      <c r="G638" s="3" t="inlineStr">
        <is>
          <t>(blank)</t>
        </is>
      </c>
      <c r="H638" s="3" t="inlineStr">
        <is>
          <t>US label: not systematically studied in pediatric patients. Neonates have been treated with 25–200 mg/kg/day. The neonatal half-life is about 7.4 h, and some infants had levels above 100 mcg/mL, so levels should be monitored. TW: no information.</t>
        </is>
      </c>
      <c r="I638" s="3" t="inlineStr">
        <is>
          <t>US label Pediatric Use / Pharmacokinetics in Pediatric Patients; TW 仿單 §6.4</t>
        </is>
      </c>
      <c r="J638" s="3" t="inlineStr">
        <is>
          <t>Open</t>
        </is>
      </c>
      <c r="K638" s="3" t="inlineStr"/>
    </row>
    <row r="639">
      <c r="A639" s="3" t="n">
        <v>941</v>
      </c>
      <c r="B639" s="3" t="inlineStr">
        <is>
          <t>Flusine (Flucytosine) (FLU07)</t>
        </is>
      </c>
      <c r="C639" s="8" t="inlineStr">
        <is>
          <t>Medium</t>
        </is>
      </c>
      <c r="D639" s="3" t="inlineStr">
        <is>
          <t>Indication/coverage</t>
        </is>
      </c>
      <c r="E639" s="3" t="inlineStr"/>
      <c r="F639" s="3" t="inlineStr">
        <is>
          <t>Add TW indications incl. chromomycosis; state which label is followed</t>
        </is>
      </c>
      <c r="G639" s="3" t="inlineStr">
        <is>
          <t>Treatment of susceptible fungal infections caused by Candida or Cryptococcus</t>
        </is>
      </c>
      <c r="H639" s="3" t="inlineStr">
        <is>
          <t>This matches the US label. The TW insert for Flusine, however, lists 白色黴菌病、黴菌性肺炎及產色黴菌病 (candidiasis, fungal pneumonia, chromomycosis) and does not name Cryptococcus. The hospital entry leaves out chromomycosis and does not say which label it follows.</t>
        </is>
      </c>
      <c r="I639" s="3" t="inlineStr">
        <is>
          <t>TW 仿單 §2; US label INDICATIONS AND USAGE</t>
        </is>
      </c>
      <c r="J639" s="3" t="inlineStr">
        <is>
          <t>Open</t>
        </is>
      </c>
      <c r="K639" s="3" t="inlineStr"/>
    </row>
    <row r="640">
      <c r="A640" s="3" t="n">
        <v>952</v>
      </c>
      <c r="B640" s="3" t="inlineStr">
        <is>
          <t>Flusine (Flucytosine) (FLU07)</t>
        </is>
      </c>
      <c r="C640" s="8" t="inlineStr">
        <is>
          <t>Medium</t>
        </is>
      </c>
      <c r="D640" s="3" t="inlineStr">
        <is>
          <t>Indication/coverage</t>
        </is>
      </c>
      <c r="E640" s="3" t="inlineStr"/>
      <c r="F640" s="3" t="inlineStr">
        <is>
          <t>Add chromomycosis (TW); state serious-infection restriction and amphotericin B combination</t>
        </is>
      </c>
      <c r="G640" s="3" t="inlineStr">
        <is>
          <t>Treatment of susceptible fungal infections caused by Candida or Cryptococcus</t>
        </is>
      </c>
      <c r="H640" s="3" t="inlineStr">
        <is>
          <t>The TW insert lists 白色黴菌病、黴菌性肺炎及產色黴菌病; chromomycosis is omitted on the site. The US label restricts use to serious infections and requires combination with amphotericin B for systemic candidiasis and cryptococcosis.</t>
        </is>
      </c>
      <c r="I640" s="3" t="inlineStr">
        <is>
          <t>TW 仿單 §2; US label INDICATIONS AND USAGE</t>
        </is>
      </c>
      <c r="J640" s="3" t="inlineStr">
        <is>
          <t>Open</t>
        </is>
      </c>
      <c r="K640" s="3" t="inlineStr"/>
    </row>
    <row r="641">
      <c r="A641" s="3" t="n">
        <v>904</v>
      </c>
      <c r="B641" s="3" t="inlineStr">
        <is>
          <t>Fungizone (Amphotericin B deoxycholate) (FUN01)</t>
        </is>
      </c>
      <c r="C641" s="8" t="inlineStr">
        <is>
          <t>Medium</t>
        </is>
      </c>
      <c r="D641" s="3" t="inlineStr">
        <is>
          <t>Adverse effects</t>
        </is>
      </c>
      <c r="E641" s="3" t="inlineStr"/>
      <c r="F641" s="3" t="inlineStr">
        <is>
          <t>Bag ADRs: add infusion fever/chills, hypotension, nephrotoxicity, hypokalaemia/hypomagnesaemia, anaemia, phlebitis</t>
        </is>
      </c>
      <c r="G641" s="3" t="inlineStr">
        <is>
          <t>腹瀉、頭痛、消化不良、噁心、嘔吐、胃痛、食慾差等 (GI symptoms and headache only)</t>
        </is>
      </c>
      <c r="H641" s="3" t="inlineStr">
        <is>
          <t>The most common reactions also include fever with shaking chills during infusion, hypotension, tachypnoea, injection-site pain/thrombophlebitis, anaemia, and decreased renal function with hypokalaemia (and hypomagnesaemia). Nephrotoxicity is the dose-limiting toxicity. Note: the source brief said the label listed only 'stomach upset and headache'; the actual list is these seven GI/headache items.</t>
        </is>
      </c>
      <c r="I641" s="3" t="inlineStr">
        <is>
          <t>US label ADVERSE REACTIONS https://dailymed.nlm.nih.gov/dailymed/drugInfo.cfm?setid=a0a54943-9ce4-4f3e-b681-a1a9144c16ce ; UK SmPC 4.8 https://www.medicines.org.uk/emc/product/10716/smpc ; TW 仿單 7</t>
        </is>
      </c>
      <c r="J641" s="3" t="inlineStr">
        <is>
          <t>Open</t>
        </is>
      </c>
      <c r="K641" s="3" t="inlineStr"/>
    </row>
    <row r="642">
      <c r="A642" s="3" t="n">
        <v>913</v>
      </c>
      <c r="B642" s="3" t="inlineStr">
        <is>
          <t>Fungizone (Amphotericin B deoxycholate) (FUN01)</t>
        </is>
      </c>
      <c r="C642" s="8" t="inlineStr">
        <is>
          <t>Medium</t>
        </is>
      </c>
      <c r="D642" s="3" t="inlineStr">
        <is>
          <t>Adverse effects</t>
        </is>
      </c>
      <c r="E642" s="3" t="inlineStr"/>
      <c r="F642" s="3" t="inlineStr">
        <is>
          <t>Bag ADRs: add infusion reactions, renal impairment, hypokalaemia/hypomagnesaemia, anaemia, phlebitis</t>
        </is>
      </c>
      <c r="G642" s="3" t="inlineStr">
        <is>
          <t>腹瀉、頭痛、消化不良、噁心、嘔吐、胃痛、食慾差等</t>
        </is>
      </c>
      <c r="H642" s="3" t="inlineStr">
        <is>
          <t>The most common and most important effects are missing: infusion reactions (fever, chills/rigors, hypotension), kidney impairment, hypokalaemia/hypomagnesaemia, anaemia and phlebitis. UK SmPC 4.8 rates hypokalaemia, chills/pyrexia, hypotension, dyspnoea and renal function abnormalities as very common.</t>
        </is>
      </c>
      <c r="I642" s="3" t="inlineStr">
        <is>
          <t>UK SmPC 4.8 https://www.medicines.org.uk/emc/product/10716/smpc; US label ADVERSE REACTIONS https://dailymed.nlm.nih.gov/dailymed/drugInfo.cfm?setid=a0a54943-9ce4-4f3e-b681-a1a9144c16ce</t>
        </is>
      </c>
      <c r="J642" s="3" t="inlineStr">
        <is>
          <t>Open</t>
        </is>
      </c>
      <c r="K642" s="3" t="inlineStr"/>
    </row>
    <row r="643">
      <c r="A643" s="3" t="n">
        <v>910</v>
      </c>
      <c r="B643" s="3" t="inlineStr">
        <is>
          <t>Fungizone (Amphotericin B deoxycholate) (FUN01)</t>
        </is>
      </c>
      <c r="C643" s="8" t="inlineStr">
        <is>
          <t>Medium</t>
        </is>
      </c>
      <c r="D643" s="3" t="inlineStr">
        <is>
          <t>Breastfeeding</t>
        </is>
      </c>
      <c r="E643" s="3" t="inlineStr">
        <is>
          <t>LactMed outdated</t>
        </is>
      </c>
      <c r="F643" s="3" t="inlineStr">
        <is>
          <t>Add LactMed view: acceptable while breastfeeding (protein-bound, not orally absorbed)</t>
        </is>
      </c>
      <c r="G643" s="3" t="inlineStr">
        <is>
          <t>Breast-feeding not recommended by the manufacturer</t>
        </is>
      </c>
      <c r="H643" s="3" t="inlineStr">
        <is>
          <t>This matches the labels (US/UK/TW: advise to discontinue nursing). LactMed, however, says most reviewers consider it acceptable while breastfeeding (highly protein-bound, large molecule, not absorbed orally). The hospital page does not mention the LactMed view.</t>
        </is>
      </c>
      <c r="I643" s="3" t="inlineStr">
        <is>
          <t>LactMed NBK501321 https://www.ncbi.nlm.nih.gov/books/NBK501321/</t>
        </is>
      </c>
      <c r="J643" s="3" t="inlineStr">
        <is>
          <t>Open</t>
        </is>
      </c>
      <c r="K643" s="3" t="inlineStr"/>
    </row>
    <row r="644">
      <c r="A644" s="3" t="n">
        <v>919</v>
      </c>
      <c r="B644" s="3" t="inlineStr">
        <is>
          <t>Fungizone (Amphotericin B deoxycholate) (FUN01)</t>
        </is>
      </c>
      <c r="C644" s="8" t="inlineStr">
        <is>
          <t>Medium</t>
        </is>
      </c>
      <c r="D644" s="3" t="inlineStr">
        <is>
          <t>Breastfeeding</t>
        </is>
      </c>
      <c r="E644" s="3" t="inlineStr">
        <is>
          <t>LactMed outdated</t>
        </is>
      </c>
      <c r="F644" s="3" t="inlineStr">
        <is>
          <t>Add LactMed: considered acceptable during breastfeeding; note both views</t>
        </is>
      </c>
      <c r="G644" s="3" t="inlineStr">
        <is>
          <t>Because of the potential for toxicity, breast-feeding is not recommended by the manufacturer</t>
        </is>
      </c>
      <c r="H644" s="3" t="inlineStr">
        <is>
          <t>This matches the labels (advise stopping nursing), but LactMed considers use acceptable (highly protein-bound, large molecule, not absorbed orally). The page should note both views.</t>
        </is>
      </c>
      <c r="I644" s="3" t="inlineStr">
        <is>
          <t>LactMed NBK501321 https://www.ncbi.nlm.nih.gov/books/NBK501321/; US label Nursing Mothers https://dailymed.nlm.nih.gov/dailymed/drugInfo.cfm?setid=a0a54943-9ce4-4f3e-b681-a1a9144c16ce</t>
        </is>
      </c>
      <c r="J644" s="3" t="inlineStr">
        <is>
          <t>Open</t>
        </is>
      </c>
      <c r="K644" s="3" t="inlineStr"/>
    </row>
    <row r="645">
      <c r="A645" s="3" t="n">
        <v>907</v>
      </c>
      <c r="B645" s="3" t="inlineStr">
        <is>
          <t>Fungizone (Amphotericin B deoxycholate) (FUN01)</t>
        </is>
      </c>
      <c r="C645" s="8" t="inlineStr">
        <is>
          <t>Medium</t>
        </is>
      </c>
      <c r="D645" s="3" t="inlineStr">
        <is>
          <t>Indication/coverage</t>
        </is>
      </c>
      <c r="E645" s="3" t="inlineStr"/>
      <c r="F645" s="3" t="inlineStr">
        <is>
          <t>Add TW febrile-neutropenia empirical indication and US limitation on non-invasive infections</t>
        </is>
      </c>
      <c r="G645" s="3" t="inlineStr">
        <is>
          <t>Life-threatening fungal infections (US list) plus leishmaniasis; no febrile-neutropenia indication; no limitation statement</t>
        </is>
      </c>
      <c r="H645" s="3" t="inlineStr">
        <is>
          <t>The TW insert of the stocked product also lists empirical therapy for presumed fungal infection in febrile severe neutropenia (ANC &lt;500 or WBC &lt;1000/mm³ for 96 h, fever &gt;38 °C). The US boxed warning also says it should not be used for non-invasive infections (oral thrush, vaginal or oesophageal candidiasis with normal neutrophils).</t>
        </is>
      </c>
      <c r="I645" s="3" t="inlineStr">
        <is>
          <t>TW 仿單 2 https://mcp.fda.gov.tw/insert/pdfcasefile/i_fc98beb7-e474-4ca5-a89f-8df7b30688a5 ; US boxed WARNING</t>
        </is>
      </c>
      <c r="J645" s="3" t="inlineStr">
        <is>
          <t>Open</t>
        </is>
      </c>
      <c r="K645" s="3" t="inlineStr"/>
    </row>
    <row r="646">
      <c r="A646" s="3" t="n">
        <v>917</v>
      </c>
      <c r="B646" s="3" t="inlineStr">
        <is>
          <t>Fungizone (Amphotericin B deoxycholate) (FUN01)</t>
        </is>
      </c>
      <c r="C646" s="8" t="inlineStr">
        <is>
          <t>Medium</t>
        </is>
      </c>
      <c r="D646" s="3" t="inlineStr">
        <is>
          <t>Indication/coverage</t>
        </is>
      </c>
      <c r="E646" s="3" t="inlineStr"/>
      <c r="F646" s="3" t="inlineStr">
        <is>
          <t>Add TW empirical therapy for febrile severe neutropenia</t>
        </is>
      </c>
      <c r="G646" s="3" t="inlineStr">
        <is>
          <t>Follows the US label list. It leaves out the Taiwan-approved empirical therapy for febrile severe neutropenia.</t>
        </is>
      </c>
      <c r="H646" s="3" t="inlineStr">
        <is>
          <t>Taiwan insert 2: '黴菌病性感染症、對發燒的重度嗜中性白血球缺乏症患者可能罹患黴菌感染症之經驗療法' (ANC &lt;500 or WBC &lt;1000/mm3 for 96 h with fever &gt;38 °C).</t>
        </is>
      </c>
      <c r="I646" s="3" t="inlineStr">
        <is>
          <t>Taiwan insert 2 適應症 https://mcp.fda.gov.tw/insert/pdfcasefile/i_fc98beb7-e474-4ca5-a89f-8df7b30688a5</t>
        </is>
      </c>
      <c r="J646" s="3" t="inlineStr">
        <is>
          <t>Open</t>
        </is>
      </c>
      <c r="K646" s="3" t="inlineStr"/>
    </row>
    <row r="647">
      <c r="A647" s="3" t="n">
        <v>1032</v>
      </c>
      <c r="B647" s="3" t="inlineStr">
        <is>
          <t>Ganciclovir (GAN03)</t>
        </is>
      </c>
      <c r="C647" s="8" t="inlineStr">
        <is>
          <t>Medium</t>
        </is>
      </c>
      <c r="D647" s="3" t="inlineStr">
        <is>
          <t>Administration/compatibility</t>
        </is>
      </c>
      <c r="E647" s="3" t="inlineStr"/>
      <c r="F647" s="3" t="inlineStr">
        <is>
          <t>Replace US powder text: ready 50 mg/mL solution, store &lt;25℃, diluted 24 h at 2–8℃</t>
        </is>
      </c>
      <c r="G647" s="3" t="inlineStr">
        <is>
          <t>'Reconstituted solution in the vial is stable at room temperature for 12 hours'; premixed bags; store 15–30℃</t>
        </is>
      </c>
      <c r="H647" s="3" t="inlineStr">
        <is>
          <t>GAN03 is a ready-made 50 mg/mL solution (no reconstitution). Its 仿單 says store below 25℃ and that the diluted infusion is stable 24 h at 2–8℃. The hospital text describes the US lyophilized powder product.</t>
        </is>
      </c>
      <c r="I647" s="3" t="inlineStr">
        <is>
          <t>Taiwan 仿單 §1.3, §3.2, §13.3–13.4</t>
        </is>
      </c>
      <c r="J647" s="3" t="inlineStr">
        <is>
          <t>Open</t>
        </is>
      </c>
      <c r="K647" s="3" t="inlineStr"/>
    </row>
    <row r="648">
      <c r="A648" s="3" t="n">
        <v>1043</v>
      </c>
      <c r="B648" s="3" t="inlineStr">
        <is>
          <t>Ganciclovir (GAN03)</t>
        </is>
      </c>
      <c r="C648" s="8" t="inlineStr">
        <is>
          <t>Medium</t>
        </is>
      </c>
      <c r="D648" s="3" t="inlineStr">
        <is>
          <t>Administration/compatibility</t>
        </is>
      </c>
      <c r="E648" s="3" t="inlineStr"/>
      <c r="F648" s="3" t="inlineStr">
        <is>
          <t>Replace powder reconstitution text; store &lt;25℃; diluted 2–8℃ ≤24 h (hospital DB only)</t>
        </is>
      </c>
      <c r="G648" s="3" t="inlineStr">
        <is>
          <t>'Store intact vials and premixed solution bags at 25°C; excursions 15–30°C. Reconstituted solution in the vial is stable at room temperature for 12 hours'; 藥袋: 請置於 15-30℃</t>
        </is>
      </c>
      <c r="H648" s="3" t="inlineStr">
        <is>
          <t>GAN03 is a ready-to-use 50 mg/mL solution with no reconstitution step; the 12-h reconstitution text applies to the US lyophilised powder. TW 仿單 13.3: store below 25°C (儲存於25℃以下); diluted infusion at 2–8°C ≤24 h. This is a hospital-database issue only; storage is not to be added to Notion.</t>
        </is>
      </c>
      <c r="I648" s="3" t="inlineStr">
        <is>
          <t>TW 仿單 1.3/1.4, 3.2, 13.3 https://mcp.fda.gov.tw/im_detail_1/%E8%A1%9B%E9%83%A8%E8%97%A5%E8%BC%B8%E5%AD%97%E7%AC%AC028514%E8%99%9F</t>
        </is>
      </c>
      <c r="J648" s="3" t="inlineStr">
        <is>
          <t>Open</t>
        </is>
      </c>
      <c r="K648" s="3" t="inlineStr"/>
    </row>
    <row r="649">
      <c r="A649" s="3" t="n">
        <v>1031</v>
      </c>
      <c r="B649" s="3" t="inlineStr">
        <is>
          <t>Ganciclovir (GAN03)</t>
        </is>
      </c>
      <c r="C649" s="8" t="inlineStr">
        <is>
          <t>Medium</t>
        </is>
      </c>
      <c r="D649" s="3" t="inlineStr">
        <is>
          <t>Adverse effects</t>
        </is>
      </c>
      <c r="E649" s="3" t="inlineStr"/>
      <c r="F649" s="3" t="inlineStr">
        <is>
          <t>Add neutropenia, anaemia, thrombocytopenia to bag label side effects</t>
        </is>
      </c>
      <c r="G649" s="3" t="inlineStr">
        <is>
          <t>腹瀉、食慾差、噁心、嘔吐、消化不良、頭痛、無力等 (no blood-count effects)</t>
        </is>
      </c>
      <c r="H649" s="3" t="inlineStr">
        <is>
          <t>The most serious and most frequent reactions are haematologic: neutropenia (26%), anaemia (20%) and thrombocytopenia. The patient bag label omits them.</t>
        </is>
      </c>
      <c r="I649" s="3" t="inlineStr">
        <is>
          <t>UK SmPC §4.8; Taiwan 仿單 §8.1 表2; US FDA §5.1</t>
        </is>
      </c>
      <c r="J649" s="3" t="inlineStr">
        <is>
          <t>Open</t>
        </is>
      </c>
      <c r="K649" s="3" t="inlineStr"/>
    </row>
    <row r="650">
      <c r="A650" s="3" t="n">
        <v>1042</v>
      </c>
      <c r="B650" s="3" t="inlineStr">
        <is>
          <t>Ganciclovir (GAN03)</t>
        </is>
      </c>
      <c r="C650" s="8" t="inlineStr">
        <is>
          <t>Medium</t>
        </is>
      </c>
      <c r="D650" s="3" t="inlineStr">
        <is>
          <t>Adverse effects</t>
        </is>
      </c>
      <c r="E650" s="3" t="inlineStr"/>
      <c r="F650" s="3" t="inlineStr">
        <is>
          <t>Add myelosuppression to bag label; note do not start if ANC &lt;500, plt &lt;25k, Hb &lt;8</t>
        </is>
      </c>
      <c r="G650" s="3" t="inlineStr">
        <is>
          <t>腹瀉、食慾差、噁心、嘔吐、消化不良、頭痛、無力等</t>
        </is>
      </c>
      <c r="H650" s="3" t="inlineStr">
        <is>
          <t>All labels say the most serious and frequent ADRs are haematological: neutropenia, anaemia and thrombocytopenia. Do not start if ANC &lt;500, platelets &lt;25,000 or Hb &lt;8. The patient drug-bag text leaves out myelosuppression entirely.</t>
        </is>
      </c>
      <c r="I650" s="3" t="inlineStr">
        <is>
          <t>TW 仿單 8.1; UK SmPC 4.8; US FDA label 5.1</t>
        </is>
      </c>
      <c r="J650" s="3" t="inlineStr">
        <is>
          <t>Open</t>
        </is>
      </c>
      <c r="K650" s="3" t="inlineStr"/>
    </row>
    <row r="651">
      <c r="A651" s="3" t="n">
        <v>1026</v>
      </c>
      <c r="B651" s="3" t="inlineStr">
        <is>
          <t>Ganciclovir (GAN03)</t>
        </is>
      </c>
      <c r="C651" s="8" t="inlineStr">
        <is>
          <t>Medium</t>
        </is>
      </c>
      <c r="D651" s="3" t="inlineStr">
        <is>
          <t>Contraindication/warning</t>
        </is>
      </c>
      <c r="E651" s="3" t="inlineStr"/>
      <c r="F651" s="3" t="inlineStr">
        <is>
          <t>Limit contraindication to ganciclovir/valganciclovir/excipients; move acyclovir to cross-hypersensitivity caution</t>
        </is>
      </c>
      <c r="G651" s="3" t="inlineStr">
        <is>
          <t>Hypersensitivity to ganciclovir, valganciclovir, acyclovir, or any component of the formulation</t>
        </is>
      </c>
      <c r="H651" s="3" t="inlineStr">
        <is>
          <t>Contraindicated only for ganciclovir, valganciclovir or excipient hypersensitivity (UK also lists breastfeeding). Aciclovir/penciclovir cross-hypersensitivity is a caution only.</t>
        </is>
      </c>
      <c r="I651" s="3" t="inlineStr">
        <is>
          <t>US FDA §4; UK SmPC §4.3/§4.4 https://www.medicines.org.uk/emc/product/10242/smpc; Taiwan 仿單 §4 and §5.1 交叉過敏反應</t>
        </is>
      </c>
      <c r="J651" s="3" t="inlineStr">
        <is>
          <t>Open</t>
        </is>
      </c>
      <c r="K651" s="3" t="inlineStr"/>
    </row>
    <row r="652">
      <c r="A652" s="3" t="n">
        <v>1037</v>
      </c>
      <c r="B652" s="3" t="inlineStr">
        <is>
          <t>Ganciclovir (GAN03)</t>
        </is>
      </c>
      <c r="C652" s="8" t="inlineStr">
        <is>
          <t>Medium</t>
        </is>
      </c>
      <c r="D652" s="3" t="inlineStr">
        <is>
          <t>Contraindication/warning</t>
        </is>
      </c>
      <c r="E652" s="3" t="inlineStr"/>
      <c r="F652" s="3" t="inlineStr">
        <is>
          <t>Remove acyclovir from contraindications (caution only); add UK breastfeeding contraindication</t>
        </is>
      </c>
      <c r="G652" s="3" t="inlineStr">
        <is>
          <t>Hypersensitivity to ganciclovir, valganciclovir, acyclovir, or any component of the formulation</t>
        </is>
      </c>
      <c r="H652" s="3" t="inlineStr">
        <is>
          <t>The contraindication is hypersensitivity to ganciclovir, valganciclovir or excipients only. Aciclovir/penciclovir hypersensitivity is a caution (possible cross-hypersensitivity). UK SmPC 4.3 also lists breastfeeding as a contraindication, which the hospital page omits.</t>
        </is>
      </c>
      <c r="I652" s="3" t="inlineStr">
        <is>
          <t>TW 仿單 4 禁忌 and 5.1 交叉過敏反應; US FDA label 4; UK SmPC 4.3/4.4 https://www.medicines.org.uk/emc/product/10242/smpc</t>
        </is>
      </c>
      <c r="J652" s="3" t="inlineStr">
        <is>
          <t>Open</t>
        </is>
      </c>
      <c r="K652" s="3" t="inlineStr"/>
    </row>
    <row r="653">
      <c r="A653" s="3" t="n">
        <v>1034</v>
      </c>
      <c r="B653" s="3" t="inlineStr">
        <is>
          <t>Ganciclovir (GAN03)</t>
        </is>
      </c>
      <c r="C653" s="8" t="inlineStr">
        <is>
          <t>Medium</t>
        </is>
      </c>
      <c r="D653" s="3" t="inlineStr">
        <is>
          <t>Dosing – pediatric</t>
        </is>
      </c>
      <c r="E653" s="3" t="inlineStr"/>
      <c r="F653" s="3" t="inlineStr">
        <is>
          <t>Add UK paediatric prophylaxis dose (3 × BSA × Schwartz CrCl); note FDA/TW not established</t>
        </is>
      </c>
      <c r="G653" s="3" t="inlineStr">
        <is>
          <t>(empty)</t>
        </is>
      </c>
      <c r="H653" s="3" t="inlineStr">
        <is>
          <t>UK SmPC gives pediatric universal-prophylaxis dosing (3 × BSA × Schwartz CrCl, birth–≤16 y). FDA and Taiwan say pediatric safety is not established.</t>
        </is>
      </c>
      <c r="I653" s="3" t="inlineStr">
        <is>
          <t>UK SmPC §4.2; US FDA §8.4; Taiwan 仿單 §3.3</t>
        </is>
      </c>
      <c r="J653" s="3" t="inlineStr">
        <is>
          <t>Open</t>
        </is>
      </c>
      <c r="K653" s="3" t="inlineStr"/>
    </row>
    <row r="654">
      <c r="A654" s="3" t="n">
        <v>1027</v>
      </c>
      <c r="B654" s="3" t="inlineStr">
        <is>
          <t>Ganciclovir (GAN03)</t>
        </is>
      </c>
      <c r="C654" s="8" t="inlineStr">
        <is>
          <t>Medium</t>
        </is>
      </c>
      <c r="D654" s="3" t="inlineStr">
        <is>
          <t>Indication/coverage</t>
        </is>
      </c>
      <c r="E654" s="3" t="inlineStr"/>
      <c r="F654" s="3" t="inlineStr">
        <is>
          <t>Change bag use to CMV only; remove herpes/zoster (in vitro only)</t>
        </is>
      </c>
      <c r="G654" s="3" t="inlineStr">
        <is>
          <t>抗病毒藥物 (皰疹病毒、帶狀泡疹、巨細胞病毒)</t>
        </is>
      </c>
      <c r="H654" s="3" t="inlineStr">
        <is>
          <t>All three labels approve CMV only. HSV/VZV activity is in vitro only, and 'clinical studies have been limited to … CMV infection'.</t>
        </is>
      </c>
      <c r="I654" s="3" t="inlineStr">
        <is>
          <t>US FDA §1; UK SmPC §4.1 &amp; §5.1; Taiwan 仿單 §2</t>
        </is>
      </c>
      <c r="J654" s="3" t="inlineStr">
        <is>
          <t>Open</t>
        </is>
      </c>
      <c r="K654" s="3" t="inlineStr"/>
    </row>
    <row r="655">
      <c r="A655" s="3" t="n">
        <v>1030</v>
      </c>
      <c r="B655" s="3" t="inlineStr">
        <is>
          <t>Ganciclovir (GAN03)</t>
        </is>
      </c>
      <c r="C655" s="8" t="inlineStr">
        <is>
          <t>Medium</t>
        </is>
      </c>
      <c r="D655" s="3" t="inlineStr">
        <is>
          <t>Indication/coverage</t>
        </is>
      </c>
      <c r="E655" s="3" t="inlineStr"/>
      <c r="F655" s="3" t="inlineStr">
        <is>
          <t>Note prophylaxis is FDA/UK-approved but outside TW licence for GAN03</t>
        </is>
      </c>
      <c r="G655" s="3" t="inlineStr">
        <is>
          <t>CMV prophylaxis in transplant recipients + CMV retinitis treatment</t>
        </is>
      </c>
      <c r="H655" s="3" t="inlineStr">
        <is>
          <t>The stocked product's Taiwan insert lists only 治療免疫功能缺乏之巨細胞病毒感染症 (no prophylaxis). Prophylaxis is approved in the FDA label (§1.2) and UK SmPC (§4.1), so it counts as approved under the database rule, but the hospital page should note that it is off the local 仿單.</t>
        </is>
      </c>
      <c r="I655" s="3" t="inlineStr">
        <is>
          <t>Taiwan 仿單 §2; US FDA §1.2; UK SmPC §4.1</t>
        </is>
      </c>
      <c r="J655" s="3" t="inlineStr">
        <is>
          <t>Open</t>
        </is>
      </c>
      <c r="K655" s="3" t="inlineStr"/>
    </row>
    <row r="656">
      <c r="A656" s="3" t="n">
        <v>1038</v>
      </c>
      <c r="B656" s="3" t="inlineStr">
        <is>
          <t>Ganciclovir (GAN03)</t>
        </is>
      </c>
      <c r="C656" s="8" t="inlineStr">
        <is>
          <t>Medium</t>
        </is>
      </c>
      <c r="D656" s="3" t="inlineStr">
        <is>
          <t>Indication/coverage</t>
        </is>
      </c>
      <c r="E656" s="3" t="inlineStr"/>
      <c r="F656" s="3" t="inlineStr">
        <is>
          <t>Restrict bag 臨床用途 to CMV indications; remove herpes/zoster</t>
        </is>
      </c>
      <c r="G656" s="3" t="inlineStr">
        <is>
          <t>抗病毒藥物 (皰疹病毒、帶狀泡疹、巨細胞病毒)</t>
        </is>
      </c>
      <c r="H656" s="3" t="inlineStr">
        <is>
          <t>All labelled indications are CMV only: treatment of CMV infection in immunocompromised patients (TW), CMV retinitis treatment and transplant prevention (FDA), and CMV treatment, pre-emptive therapy and prophylaxis (UK). HSV/VZV activity is in vitro only, and clinical studies were limited to CMV (SmPC 5.1). The patient drug bag implies unapproved uses.</t>
        </is>
      </c>
      <c r="I656" s="3" t="inlineStr">
        <is>
          <t>TW 仿單 2 適應症; US FDA label §1; UK SmPC 4.1 and 5.1</t>
        </is>
      </c>
      <c r="J656" s="3" t="inlineStr">
        <is>
          <t>Open</t>
        </is>
      </c>
      <c r="K656" s="3" t="inlineStr"/>
    </row>
    <row r="657">
      <c r="A657" s="3" t="n">
        <v>1041</v>
      </c>
      <c r="B657" s="3" t="inlineStr">
        <is>
          <t>Ganciclovir (GAN03)</t>
        </is>
      </c>
      <c r="C657" s="8" t="inlineStr">
        <is>
          <t>Medium</t>
        </is>
      </c>
      <c r="D657" s="3" t="inlineStr">
        <is>
          <t>Indication/coverage</t>
        </is>
      </c>
      <c r="E657" s="3" t="inlineStr"/>
      <c r="F657" s="3" t="inlineStr">
        <is>
          <t>Note prophylaxis is outside TW licence for GAN03 (FDA/UK approved)</t>
        </is>
      </c>
      <c r="G657" s="3" t="inlineStr">
        <is>
          <t>Lists 'Cytomegalovirus, transplant recipients, prophylaxis' and CMV retinitis treatment</t>
        </is>
      </c>
      <c r="H657" s="3" t="inlineStr">
        <is>
          <t>The stocked product's TW 仿單 approves only '治療免疫功能缺乏之巨細胞病毒感染症'. Prophylaxis is approved in the FDA and UK labels, so it counts as approved under the database rule. The page should still say that prophylaxis is outside the TW licence for GAN03.</t>
        </is>
      </c>
      <c r="I657" s="3" t="inlineStr">
        <is>
          <t>TW 仿單 2 適應症 https://mcp.fda.gov.tw/im_detail_1/%E8%A1%9B%E9%83%A8%E8%97%A5%E8%BC%B8%E5%AD%97%E7%AC%AC028514%E8%99%9F</t>
        </is>
      </c>
      <c r="J657" s="3" t="inlineStr">
        <is>
          <t>Open</t>
        </is>
      </c>
      <c r="K657" s="3" t="inlineStr"/>
    </row>
    <row r="658">
      <c r="A658" s="3" t="n">
        <v>646</v>
      </c>
      <c r="B658" s="3" t="inlineStr">
        <is>
          <t>Gentamicin (GEN04)</t>
        </is>
      </c>
      <c r="C658" s="8" t="inlineStr">
        <is>
          <t>Medium</t>
        </is>
      </c>
      <c r="D658" s="3" t="inlineStr">
        <is>
          <t>Adverse effects</t>
        </is>
      </c>
      <c r="E658" s="3" t="inlineStr">
        <is>
          <t>Missing SCAR (SJS/TEN/DRESS)</t>
        </is>
      </c>
      <c r="F658" s="3" t="inlineStr">
        <is>
          <t>Add sulfite reactions, m.1555A&gt;G ototoxicity, SJS/TEN and CDAD</t>
        </is>
      </c>
      <c r="G658" s="3" t="inlineStr">
        <is>
          <t>Neuromuscular blockade, ototoxicity, nephrotoxicity, respiratory paralysis only</t>
        </is>
      </c>
      <c r="H658" s="3" t="inlineStr">
        <is>
          <t>The stocked product's TW insert also warns of sodium bisulfite (sulfite) allergic reactions/asthma and higher ototoxicity risk with m.1555A&gt;G even at therapeutic levels. UK SmPC 4.4 adds SJS/TEN and CDAD.</t>
        </is>
      </c>
      <c r="I658" s="3" t="inlineStr">
        <is>
          <t>https://mcp.fda.gov.tw/im_detail_1/%E8%A1%9B%E7%BD%B2%E8%97%A5%E8%A3%BD%E5%AD%97%E7%AC%AC008956%E8%99%9F (5.1.16, 5.1.17); https://www.medicines.org.uk/emc/product/14742/smpc (4.4)</t>
        </is>
      </c>
      <c r="J658" s="3" t="inlineStr">
        <is>
          <t>Open</t>
        </is>
      </c>
      <c r="K658" s="3" t="inlineStr"/>
    </row>
    <row r="659">
      <c r="A659" s="3" t="n">
        <v>642</v>
      </c>
      <c r="B659" s="3" t="inlineStr">
        <is>
          <t>Gentamicin (GEN04)</t>
        </is>
      </c>
      <c r="C659" s="8" t="inlineStr">
        <is>
          <t>Medium</t>
        </is>
      </c>
      <c r="D659" s="3" t="inlineStr">
        <is>
          <t>Breastfeeding</t>
        </is>
      </c>
      <c r="E659" s="3" t="inlineStr">
        <is>
          <t>LactMed outdated</t>
        </is>
      </c>
      <c r="F659" s="3" t="inlineStr">
        <is>
          <t>Add LactMed infant GI-flora monitoring and UK infant serum-level advice</t>
        </is>
      </c>
      <c r="G659" s="3" t="inlineStr">
        <is>
          <t>'Infant risk is minimal. [MDX]' (Micromedex only)</t>
        </is>
      </c>
      <c r="H659" s="3" t="inlineStr">
        <is>
          <t>LactMed: poorly excreted; monitor the infant for GI-flora effects (diarrhea, thrush, bloody stool). UK SmPC 4.6: excreted in milk; if the infant's gut mucosa is eroded, check infant serum level (&gt;1 µg/mL → stop).</t>
        </is>
      </c>
      <c r="I659" s="3" t="inlineStr">
        <is>
          <t>https://www.ncbi.nlm.nih.gov/books/NBK500832/; https://www.medicines.org.uk/emc/product/14742/smpc (4.6)</t>
        </is>
      </c>
      <c r="J659" s="3" t="inlineStr">
        <is>
          <t>Open</t>
        </is>
      </c>
      <c r="K659" s="3" t="inlineStr"/>
    </row>
    <row r="660">
      <c r="A660" s="3" t="n">
        <v>648</v>
      </c>
      <c r="B660" s="3" t="inlineStr">
        <is>
          <t>Gentamicin (GEN04)</t>
        </is>
      </c>
      <c r="C660" s="8" t="inlineStr">
        <is>
          <t>Medium</t>
        </is>
      </c>
      <c r="D660" s="3" t="inlineStr">
        <is>
          <t>Breastfeeding</t>
        </is>
      </c>
      <c r="E660" s="3" t="inlineStr">
        <is>
          <t>LactMed outdated</t>
        </is>
      </c>
      <c r="F660" s="3" t="inlineStr">
        <is>
          <t>Add infant GI monitoring and infant serum check advice (LactMed/UK)</t>
        </is>
      </c>
      <c r="G660" s="3" t="inlineStr">
        <is>
          <t>Infant risk is minimal. [MDX] (Micromedex only)</t>
        </is>
      </c>
      <c r="H660" s="3" t="inlineStr">
        <is>
          <t>LactMed: poorly excreted, but monitor the infant for GI-flora effects (diarrhea, thrush, bloody stool); no data for once-daily regimens. UK SmPC 4.6: check the infant's serum level if the gut mucosa is eroded; stop breastfeeding or gentamicin if it is &gt;1 µg/mL.</t>
        </is>
      </c>
      <c r="I660" s="3" t="inlineStr">
        <is>
          <t>LactMed NBK500832 – https://www.ncbi.nlm.nih.gov/books/NBK500832/; UK SmPC 4.6 – https://www.medicines.org.uk/emc/product/14742/smpc</t>
        </is>
      </c>
      <c r="J660" s="3" t="inlineStr">
        <is>
          <t>Open</t>
        </is>
      </c>
      <c r="K660" s="3" t="inlineStr"/>
    </row>
    <row r="661">
      <c r="A661" s="3" t="n">
        <v>651</v>
      </c>
      <c r="B661" s="3" t="inlineStr">
        <is>
          <t>Gentamicin (GEN04)</t>
        </is>
      </c>
      <c r="C661" s="8" t="inlineStr">
        <is>
          <t>Medium</t>
        </is>
      </c>
      <c r="D661" s="3" t="inlineStr">
        <is>
          <t>Dosing – adult</t>
        </is>
      </c>
      <c r="E661" s="3" t="inlineStr"/>
      <c r="F661" s="3" t="inlineStr">
        <is>
          <t>Show label doses (TW 40 mg IM 2-3×/day; US 3-5 mg/kg/day); mark database regimens as off-label</t>
        </is>
      </c>
      <c r="G661" s="3" t="inlineStr">
        <is>
          <t>Conventional 3–5 mg/kg/day q8h; extended-interval 5–7 mg/kg QD; synergy, endocarditis and meningitis regimens (drug-reference database content, not the label)</t>
        </is>
      </c>
      <c r="H661" s="3" t="inlineStr">
        <is>
          <t>The stocked product's TW insert approves IM 40 mg 2–3×/day for 7–10 days (≤10 days) and IV infusion over 0.5–2 h. The US label gives 3 mg/kg/day (up to 5 mg/kg/day in 3–4 doses). The site does not say these are off-label doses and does not cite the stocked product's label dose.</t>
        </is>
      </c>
      <c r="I661" s="3" t="inlineStr">
        <is>
          <t>TW insert 3.1 – https://mcp.fda.gov.tw/im_detail_1/%E8%A1%9B%E7%BD%B2%E8%97%A5%E8%A3%BD%E5%AD%97%E7%AC%AC008956%E8%99%9F; US FDA label D&amp;A – https://dailymed.nlm.nih.gov/dailymed/drugInfo.cfm?setid=977180b3-a222-4282-d485-4a3217674305</t>
        </is>
      </c>
      <c r="J661" s="3" t="inlineStr">
        <is>
          <t>Open</t>
        </is>
      </c>
      <c r="K661" s="3" t="inlineStr"/>
    </row>
    <row r="662">
      <c r="A662" s="3" t="n">
        <v>641</v>
      </c>
      <c r="B662" s="3" t="inlineStr">
        <is>
          <t>Gentamicin (GEN04)</t>
        </is>
      </c>
      <c r="C662" s="8" t="inlineStr">
        <is>
          <t>Medium</t>
        </is>
      </c>
      <c r="D662" s="3" t="inlineStr">
        <is>
          <t>Dosing – renal/dialysis</t>
        </is>
      </c>
      <c r="E662" s="3" t="inlineStr"/>
      <c r="F662" s="3" t="inlineStr">
        <is>
          <t>Add label renal guidance (SCr×8 h interval; HD 1-1.7 mg/kg post-HD) and cite database source</t>
        </is>
      </c>
      <c r="G662" s="3" t="inlineStr">
        <is>
          <t>Conventional: GFR 10–50 q12–48h, GFR &lt;10 q48–72h; extended-interval CrCl 40–59 q36h, 20–39 q48h; IHD/CRRT mg/kg tiers</t>
        </is>
      </c>
      <c r="H662" s="3" t="inlineStr">
        <is>
          <t>US label: interval ≈ SCr × 8 h, or usual dose ÷ SCr q8h (Table 2); HD 1–1.7 mg/kg after each dialysis. UK SmPC: CrCl 10–30 q24h, 5–10 q48h, &lt;5 after HD. The hospital tiers come from a drug-reference database, not the product label, and the labels do not contain them.</t>
        </is>
      </c>
      <c r="I662" s="3" t="inlineStr">
        <is>
          <t>https://dailymed.nlm.nih.gov/dailymed/drugInfo.cfm?setid=977180b3-a222-4282-d485-4a3217674305; https://www.medicines.org.uk/emc/product/14742/smpc (4.2)</t>
        </is>
      </c>
      <c r="J662" s="3" t="inlineStr">
        <is>
          <t>Open</t>
        </is>
      </c>
      <c r="K662" s="3" t="inlineStr"/>
    </row>
    <row r="663">
      <c r="A663" s="3" t="n">
        <v>901</v>
      </c>
      <c r="B663" s="3" t="inlineStr">
        <is>
          <t>Icomein (Itraconazole) (ICO01)</t>
        </is>
      </c>
      <c r="C663" s="8" t="inlineStr">
        <is>
          <t>Medium</t>
        </is>
      </c>
      <c r="D663" s="3" t="inlineStr">
        <is>
          <t>Administration/compatibility</t>
        </is>
      </c>
      <c r="E663" s="3" t="inlineStr"/>
      <c r="F663" s="3" t="inlineStr">
        <is>
          <t>Add: take right after full meal, swallow whole; acidic drink with acid suppression; separate antacids</t>
        </is>
      </c>
      <c r="G663" s="3" t="inlineStr">
        <is>
          <t>(blank) — no food or administration instruction</t>
        </is>
      </c>
      <c r="H663" s="3" t="inlineStr">
        <is>
          <t>Take immediately after a full meal and swallow whole. Absorption falls with acid suppression: take with an acidic drink; antacids ≥1 h before or ≥2 h after (TW).</t>
        </is>
      </c>
      <c r="I663" s="3" t="inlineStr">
        <is>
          <t>TW §3.1, §5.1.9; FDA DOSAGE AND ADMINISTRATION, PRECAUTIONS General</t>
        </is>
      </c>
      <c r="J663" s="3" t="inlineStr">
        <is>
          <t>Open</t>
        </is>
      </c>
      <c r="K663" s="3" t="inlineStr"/>
    </row>
    <row r="664">
      <c r="A664" s="3" t="n">
        <v>886</v>
      </c>
      <c r="B664" s="3" t="inlineStr">
        <is>
          <t>Icomein (Itraconazole) (ICO01)</t>
        </is>
      </c>
      <c r="C664" s="8" t="inlineStr">
        <is>
          <t>Medium</t>
        </is>
      </c>
      <c r="D664" s="3" t="inlineStr">
        <is>
          <t>Contraindication/warning</t>
        </is>
      </c>
      <c r="E664" s="3" t="inlineStr">
        <is>
          <t>Interaction list incomplete</t>
        </is>
      </c>
      <c r="F664" s="3" t="inlineStr">
        <is>
          <t>Replace blanket CYP3A4 contraindication with label list (methadone, dofetilide, simvastatin, oral midazolam, ergots, etc.)</t>
        </is>
      </c>
      <c r="G664" s="3" t="inlineStr">
        <is>
          <t>Concomitant use with CYP3A4 substrates</t>
        </is>
      </c>
      <c r="H664" s="3" t="inlineStr">
        <is>
          <t>Only specific CYP3A4 substrates are contraindicated, e.g. methadone, quinidine, dofetilide, pimozide, lovastatin/simvastatin, oral midazolam/triazolam, ergot alkaloids, felodipine/nisoldipine, ticagrelor. Many other substrates are 'not recommended' or 'use with caution'.</t>
        </is>
      </c>
      <c r="I664" s="3" t="inlineStr">
        <is>
          <t>US label CONTRAINDICATIONS Drug Interactions; Taiwan insert §4, §7 (hospital wording per source brief)</t>
        </is>
      </c>
      <c r="J664" s="3" t="inlineStr">
        <is>
          <t>Open</t>
        </is>
      </c>
      <c r="K664" s="3" t="inlineStr"/>
    </row>
    <row r="665">
      <c r="A665" s="3" t="n">
        <v>893</v>
      </c>
      <c r="B665" s="3" t="inlineStr">
        <is>
          <t>Icomein (Itraconazole) (ICO01)</t>
        </is>
      </c>
      <c r="C665" s="8" t="inlineStr">
        <is>
          <t>Medium</t>
        </is>
      </c>
      <c r="D665" s="3" t="inlineStr">
        <is>
          <t>Contraindication/warning</t>
        </is>
      </c>
      <c r="E665" s="3" t="inlineStr">
        <is>
          <t>Interaction list incomplete</t>
        </is>
      </c>
      <c r="F665" s="3" t="inlineStr">
        <is>
          <t>Narrow contraindication to label-listed CYP3A4 substrates; others 'not recommended'/caution</t>
        </is>
      </c>
      <c r="G665" s="3" t="inlineStr">
        <is>
          <t>Concomitant use with CYP3A4 substrates</t>
        </is>
      </c>
      <c r="H665" s="3" t="inlineStr">
        <is>
          <t>Only specific CYP3A4 substrates are contraindicated (e.g., methadone, quinidine, dofetilide, pimozide, lovastatin/simvastatin, triazolam/oral midazolam, ergots, felodipine/nisoldipine, ticagrelor…). Many others are 'not recommended' or 'use with caution'. The hospital wording is too broad.</t>
        </is>
      </c>
      <c r="I665" s="3" t="inlineStr">
        <is>
          <t>FDA CONTRAINDICATIONS Drug Interactions; TW §4 禁忌, §7</t>
        </is>
      </c>
      <c r="J665" s="3" t="inlineStr">
        <is>
          <t>Open</t>
        </is>
      </c>
      <c r="K665" s="3" t="inlineStr"/>
    </row>
    <row r="666">
      <c r="A666" s="3" t="n">
        <v>890</v>
      </c>
      <c r="B666" s="3" t="inlineStr">
        <is>
          <t>Icomein (Itraconazole) (ICO01)</t>
        </is>
      </c>
      <c r="C666" s="8" t="inlineStr">
        <is>
          <t>Medium</t>
        </is>
      </c>
      <c r="D666" s="3" t="inlineStr">
        <is>
          <t>Dosing – pediatric</t>
        </is>
      </c>
      <c r="E666" s="3" t="inlineStr"/>
      <c r="F666" s="3" t="inlineStr">
        <is>
          <t>Fix typo 'preparation'; note pediatric safety not established and only capsules stocked</t>
        </is>
      </c>
      <c r="G666" s="3" t="inlineStr">
        <is>
          <t>Typo 'Solution prepatation'</t>
        </is>
      </c>
      <c r="H666" s="3" t="inlineStr">
        <is>
          <t>Should read 'preparation'. Note also that both labels say pediatric safety and efficacy are not established or that use is not recommended unless the benefit outweighs the risk, and the hospital stocks capsules only.</t>
        </is>
      </c>
      <c r="I666" s="3" t="inlineStr">
        <is>
          <t>US label Pediatric Use; Taiwan insert §6.4 (hospital wording per source brief)</t>
        </is>
      </c>
      <c r="J666" s="3" t="inlineStr">
        <is>
          <t>Open</t>
        </is>
      </c>
      <c r="K666" s="3" t="inlineStr"/>
    </row>
    <row r="667">
      <c r="A667" s="3" t="n">
        <v>899</v>
      </c>
      <c r="B667" s="3" t="inlineStr">
        <is>
          <t>Icomein (Itraconazole) (ICO01)</t>
        </is>
      </c>
      <c r="C667" s="8" t="inlineStr">
        <is>
          <t>Medium</t>
        </is>
      </c>
      <c r="D667" s="3" t="inlineStr">
        <is>
          <t>Dosing – pediatric</t>
        </is>
      </c>
      <c r="E667" s="3" t="inlineStr"/>
      <c r="F667" s="3" t="inlineStr">
        <is>
          <t>Fix typo; state pediatric use not established; capsule and solution not interchangeable</t>
        </is>
      </c>
      <c r="G667" s="3" t="inlineStr">
        <is>
          <t>Solution prepatation is recommended.</t>
        </is>
      </c>
      <c r="H667" s="3" t="inlineStr">
        <is>
          <t>Typo ('prepatation'). Pediatric safety and efficacy are not established; TW does not recommend use in children unless benefit outweighs risk. The hospital does not stock an oral solution. Capsule and oral solution are not interchangeable, and capsules must be swallowed whole.</t>
        </is>
      </c>
      <c r="I667" s="3" t="inlineStr">
        <is>
          <t>TW §6.4, §11.2.3; FDA Pediatric Use, Interchangeability</t>
        </is>
      </c>
      <c r="J667" s="3" t="inlineStr">
        <is>
          <t>Open</t>
        </is>
      </c>
      <c r="K667" s="3" t="inlineStr"/>
    </row>
    <row r="668">
      <c r="A668" s="3" t="n">
        <v>884</v>
      </c>
      <c r="B668" s="3" t="inlineStr">
        <is>
          <t>Icomein (Itraconazole) (ICO01)</t>
        </is>
      </c>
      <c r="C668" s="8" t="inlineStr">
        <is>
          <t>Medium</t>
        </is>
      </c>
      <c r="D668" s="3" t="inlineStr">
        <is>
          <t>Dosing – renal/dialysis</t>
        </is>
      </c>
      <c r="E668" s="3" t="inlineStr"/>
      <c r="F668" s="3" t="inlineStr">
        <is>
          <t>Replace 'not required' with caution; exposure may be lower, monitor itraconazole levels and adjust</t>
        </is>
      </c>
      <c r="G668" s="3" t="inlineStr">
        <is>
          <t>Dose adjustment is not required</t>
        </is>
      </c>
      <c r="H668" s="3" t="inlineStr">
        <is>
          <t>Taiwan insert §6.7: limited data and exposure may be lower; use with caution and monitor itraconazole levels to adjust the dose. US label: caution, and dose adjustment may be needed; AUC about 30–40% lower in moderate or severe impairment.</t>
        </is>
      </c>
      <c r="I668" s="3" t="inlineStr">
        <is>
          <t>Taiwan insert §6.7 https://mcp.fda.gov.tw/im_detail_1/%E8%A1%9B%E7%BD%B2%E8%97%A5%E8%A3%BD%E5%AD%97%E7%AC%AC046283%E8%99%9F ; US label Renal Impairment https://dailymed.nlm.nih.gov/dailymed/drugInfo.cfm?setid=a4d555fa-787c-40fb-bb7d-b0d4f7318fd0 (hospital wording per source brief, not re-fetched)</t>
        </is>
      </c>
      <c r="J668" s="3" t="inlineStr">
        <is>
          <t>Open</t>
        </is>
      </c>
      <c r="K668" s="3" t="inlineStr"/>
    </row>
    <row r="669">
      <c r="A669" s="3" t="n">
        <v>891</v>
      </c>
      <c r="B669" s="3" t="inlineStr">
        <is>
          <t>Icomein (Itraconazole) (ICO01)</t>
        </is>
      </c>
      <c r="C669" s="8" t="inlineStr">
        <is>
          <t>Medium</t>
        </is>
      </c>
      <c r="D669" s="3" t="inlineStr">
        <is>
          <t>Dosing – renal/dialysis</t>
        </is>
      </c>
      <c r="E669" s="3" t="inlineStr"/>
      <c r="F669" s="3" t="inlineStr">
        <is>
          <t>Replace 'not required' with caution; monitor itraconazole levels and adjust dose (TW/FDA/UK)</t>
        </is>
      </c>
      <c r="G669" s="3" t="inlineStr">
        <is>
          <t>Dose adjustment is not required</t>
        </is>
      </c>
      <c r="H669" s="3" t="inlineStr">
        <is>
          <t>Limited data; use with caution. Exposure may be lower in renal impairment, so monitor itraconazole levels to adjust the dose (TW 6.7). FDA: caution, dose adjustment may be needed. UK: adjust the dose or switch based on clinical effectiveness.</t>
        </is>
      </c>
      <c r="I669" s="3" t="inlineStr">
        <is>
          <t>TW 易克黴仿單 §6.7 — https://mcp.fda.gov.tw/im_detail_1/%E8%A1%9B%E7%BD%B2%E8%97%A5%E8%A3%BD%E5%AD%97%E7%AC%AC046283%E8%99%9F ; FDA PRECAUTIONS Renal Impairment — https://dailymed.nlm.nih.gov/dailymed/drugInfo.cfm?setid=a4d555fa-787c-40fb-bb7d-b0d4f7318fd0 ; hospital https://pharmacy.fjuh.fju.edu.tw/Key_Search/P4?query=ICO01</t>
        </is>
      </c>
      <c r="J669" s="3" t="inlineStr">
        <is>
          <t>Open</t>
        </is>
      </c>
      <c r="K669" s="3" t="inlineStr"/>
    </row>
    <row r="670">
      <c r="A670" s="3" t="n">
        <v>888</v>
      </c>
      <c r="B670" s="3" t="inlineStr">
        <is>
          <t>Icomein (Itraconazole) (ICO01)</t>
        </is>
      </c>
      <c r="C670" s="8" t="inlineStr">
        <is>
          <t>Medium</t>
        </is>
      </c>
      <c r="D670" s="3" t="inlineStr">
        <is>
          <t>Indication/coverage</t>
        </is>
      </c>
      <c r="E670" s="3" t="inlineStr"/>
      <c r="F670" s="3" t="inlineStr">
        <is>
          <t>Add TW-approved indications: candidiasis, cryptococcosis, sporotrichosis, dermatophytosis, keratitis, etc.</t>
        </is>
      </c>
      <c r="G670" s="3" t="inlineStr">
        <is>
          <t>US-label indications only: aspergillosis (salvage), blastomycosis, histoplasmosis, onychomycosis</t>
        </is>
      </c>
      <c r="H670" s="3" t="inlineStr">
        <is>
          <t>The Taiwan insert for this capsule also approves systemic candidiasis, cryptococcosis including meningitis (second-line), sporotrichosis, paracoccidioidomycosis, chromomycosis, vulvovaginal candidiasis, dermatophytosis, pityriasis versicolor, oral candidiasis, fungal keratitis and tinea capitis.</t>
        </is>
      </c>
      <c r="I670" s="3" t="inlineStr">
        <is>
          <t>Taiwan insert §2 適應症 (hospital list per source brief)</t>
        </is>
      </c>
      <c r="J670" s="3" t="inlineStr">
        <is>
          <t>Open</t>
        </is>
      </c>
      <c r="K670" s="3" t="inlineStr"/>
    </row>
    <row r="671">
      <c r="A671" s="3" t="n">
        <v>896</v>
      </c>
      <c r="B671" s="3" t="inlineStr">
        <is>
          <t>Icomein (Itraconazole) (ICO01)</t>
        </is>
      </c>
      <c r="C671" s="8" t="inlineStr">
        <is>
          <t>Medium</t>
        </is>
      </c>
      <c r="D671" s="3" t="inlineStr">
        <is>
          <t>Indication/coverage</t>
        </is>
      </c>
      <c r="E671" s="3" t="inlineStr"/>
      <c r="F671" s="3" t="inlineStr">
        <is>
          <t>Add TW-approved indications for stocked capsule beyond US list</t>
        </is>
      </c>
      <c r="G671" s="3" t="inlineStr">
        <is>
          <t>US label only: aspergillosis (amphotericin B-refractory/intolerant), blastomycosis, histoplasmosis, onychomycosis</t>
        </is>
      </c>
      <c r="H671" s="3" t="inlineStr">
        <is>
          <t>The TW insert for the stocked product also approves systemic candidiasis, cryptococcosis (including second-line meningitis), sporotrichosis, paracoccidioidomycosis, chromomycosis, VVC, dermatophytosis, pityriasis versicolor, oral candidiasis, fungal keratitis and tinea capitis.</t>
        </is>
      </c>
      <c r="I671" s="3" t="inlineStr">
        <is>
          <t>TW §2 適應症</t>
        </is>
      </c>
      <c r="J671" s="3" t="inlineStr">
        <is>
          <t>Open</t>
        </is>
      </c>
      <c r="K671" s="3" t="inlineStr"/>
    </row>
    <row r="672">
      <c r="A672" s="3" t="n">
        <v>887</v>
      </c>
      <c r="B672" s="3" t="inlineStr">
        <is>
          <t>Icomein (Itraconazole) (ICO01)</t>
        </is>
      </c>
      <c r="C672" s="8" t="inlineStr">
        <is>
          <t>Medium</t>
        </is>
      </c>
      <c r="D672" s="3" t="inlineStr">
        <is>
          <t>Pregnancy</t>
        </is>
      </c>
      <c r="E672" s="3" t="inlineStr"/>
      <c r="F672" s="3" t="inlineStr">
        <is>
          <t>State TW contraindication in pregnancy except life-threatening; contraception; never for onychomycosis in pregnancy</t>
        </is>
      </c>
      <c r="G672" s="3" t="inlineStr">
        <is>
          <t>Fetal risk has been demonstrated (Micromedex wording)</t>
        </is>
      </c>
      <c r="H672" s="3" t="inlineStr">
        <is>
          <t>Taiwan insert: contraindicated in pregnancy except life-threatening cases; effective contraception until the menstrual period after treatment ends. US: for systemic infection use only if the benefit outweighs the risk; do not use for onychomycosis in pregnancy.</t>
        </is>
      </c>
      <c r="I672" s="3" t="inlineStr">
        <is>
          <t>Taiwan insert §4, §6.1; US label Teratogenic Effects (hospital wording per source brief)</t>
        </is>
      </c>
      <c r="J672" s="3" t="inlineStr">
        <is>
          <t>Open</t>
        </is>
      </c>
      <c r="K672" s="3" t="inlineStr"/>
    </row>
    <row r="673">
      <c r="A673" s="3" t="n">
        <v>894</v>
      </c>
      <c r="B673" s="3" t="inlineStr">
        <is>
          <t>Icomein (Itraconazole) (ICO01)</t>
        </is>
      </c>
      <c r="C673" s="8" t="inlineStr">
        <is>
          <t>Medium</t>
        </is>
      </c>
      <c r="D673" s="3" t="inlineStr">
        <is>
          <t>Pregnancy</t>
        </is>
      </c>
      <c r="E673" s="3" t="inlineStr"/>
      <c r="F673" s="3" t="inlineStr">
        <is>
          <t>Replace Micromedex line with label: contraindicated in pregnancy except life-threatening; contraception until next menses</t>
        </is>
      </c>
      <c r="G673" s="3" t="inlineStr">
        <is>
          <t>Fetal risk has been demonstrated.</t>
        </is>
      </c>
      <c r="H673" s="3" t="inlineStr">
        <is>
          <t>TW/UK: must not be used in pregnancy except life-threatening cases where benefit outweighs fetal harm; contraception until the menstrual period after therapy. FDA: systemic infections only if benefit outweighs risk, never for onychomycosis in pregnancy. The hospital entry does not reflect the label wording.</t>
        </is>
      </c>
      <c r="I673" s="3" t="inlineStr">
        <is>
          <t>TW §4, §6.1; UK SmPC 4.3/4.6 https://www.medicines.org.uk/emc/product/10049/smpc; FDA Teratogenic Effects</t>
        </is>
      </c>
      <c r="J673" s="3" t="inlineStr">
        <is>
          <t>Open</t>
        </is>
      </c>
      <c r="K673" s="3" t="inlineStr"/>
    </row>
    <row r="674">
      <c r="A674" s="3" t="n">
        <v>16</v>
      </c>
      <c r="B674" s="3" t="inlineStr">
        <is>
          <t>Imipenem/Cilastatin (CUL01)</t>
        </is>
      </c>
      <c r="C674" s="8" t="inlineStr">
        <is>
          <t>Medium</t>
        </is>
      </c>
      <c r="D674" s="3" t="inlineStr">
        <is>
          <t>Breastfeeding</t>
        </is>
      </c>
      <c r="E674" s="3" t="inlineStr">
        <is>
          <t>LactMed outdated</t>
        </is>
      </c>
      <c r="F674" s="3" t="inlineStr">
        <is>
          <t>Update per LactMed: low milk levels, acceptable in nursing mothers</t>
        </is>
      </c>
      <c r="G674" s="3" t="inlineStr">
        <is>
          <t>Manufacturer: weigh risk/benefit</t>
        </is>
      </c>
      <c r="H674" s="3" t="inlineStr">
        <is>
          <t>Low milk levels; acceptable in nursing mothers</t>
        </is>
      </c>
      <c r="I674" s="3" t="inlineStr">
        <is>
          <t>LactMed NBK500987 (rev. 2024)</t>
        </is>
      </c>
      <c r="J674" s="3" t="inlineStr">
        <is>
          <t>Open</t>
        </is>
      </c>
      <c r="K674" s="3" t="inlineStr"/>
    </row>
    <row r="675">
      <c r="A675" s="3" t="n">
        <v>1096</v>
      </c>
      <c r="B675" s="3" t="inlineStr">
        <is>
          <t>Isoniazid (INAH) (ISO06, ISO07)</t>
        </is>
      </c>
      <c r="C675" s="8" t="inlineStr">
        <is>
          <t>Medium</t>
        </is>
      </c>
      <c r="D675" s="3" t="inlineStr">
        <is>
          <t>Breastfeeding</t>
        </is>
      </c>
      <c r="E675" s="3" t="inlineStr">
        <is>
          <t>LactMed outdated</t>
        </is>
      </c>
      <c r="F675" s="3" t="inlineStr">
        <is>
          <t>Fix garbled text; per LactMed infant exposure is low and breastfeeding should not be discouraged.</t>
        </is>
      </c>
      <c r="G675" s="3" t="inlineStr">
        <is>
          <t>Text is truncated or garbled: 'breastfeeding is considered acceptable when the RID of a medication is 25% breastfeeding should generally be avoided'. It quotes an RID of 12–25%.</t>
        </is>
      </c>
      <c r="H675" s="3" t="inlineStr">
        <is>
          <t>LactMed: low milk levels (≈1.2% of the maternal weight-adjusted dose at 300 mg/day; 12–16% calculated from peak levels at 900 mg doses, which overestimates); unlikely to harm the infant; CDC says breastfeeding should not be discouraged. US label: breastfeeding should not be discouraged.</t>
        </is>
      </c>
      <c r="I675" s="3" t="inlineStr">
        <is>
          <t>LactMed NBK501336 — https://www.ncbi.nlm.nih.gov/books/NBK501336/; US label Nursing Mothers</t>
        </is>
      </c>
      <c r="J675" s="3" t="inlineStr">
        <is>
          <t>Open</t>
        </is>
      </c>
      <c r="K675" s="3" t="inlineStr"/>
    </row>
    <row r="676">
      <c r="A676" s="3" t="n">
        <v>1105</v>
      </c>
      <c r="B676" s="3" t="inlineStr">
        <is>
          <t>Isoniazid (INAH) (ISO06, ISO07)</t>
        </is>
      </c>
      <c r="C676" s="8" t="inlineStr">
        <is>
          <t>Medium</t>
        </is>
      </c>
      <c r="D676" s="3" t="inlineStr">
        <is>
          <t>Breastfeeding</t>
        </is>
      </c>
      <c r="E676" s="3" t="inlineStr">
        <is>
          <t>LactMed outdated</t>
        </is>
      </c>
      <c r="F676" s="3" t="inlineStr">
        <is>
          <t>Fix truncated RID sentence; LactMed: ~1.2% infant dose, breastfeeding should not be discouraged.</t>
        </is>
      </c>
      <c r="G676" s="3" t="inlineStr">
        <is>
          <t>'RID 12% to 25%...'; 'breastfeeding is considered acceptable when the RID of a medication is 25% breastfeeding should generally be avoided' (truncated sentence)</t>
        </is>
      </c>
      <c r="H676" s="3" t="inlineStr">
        <is>
          <t>The sentence is truncated and its thresholds are lost, so it reads as if breastfeeding should be avoided. LactMed: typical infant exposure ≈1.2% of maternal weight-adjusted dose; 12–16% figures are overestimates from peak concentrations; breastfeeding should not be discouraged.</t>
        </is>
      </c>
      <c r="I676" s="3" t="inlineStr">
        <is>
          <t>LactMed NBK501336 Summary / Drug Levels; DailyMed Nursing Mothers</t>
        </is>
      </c>
      <c r="J676" s="3" t="inlineStr">
        <is>
          <t>Open</t>
        </is>
      </c>
      <c r="K676" s="3" t="inlineStr"/>
    </row>
    <row r="677">
      <c r="A677" s="3" t="n">
        <v>1094</v>
      </c>
      <c r="B677" s="3" t="inlineStr">
        <is>
          <t>Isoniazid (INAH) (ISO06, ISO07)</t>
        </is>
      </c>
      <c r="C677" s="8" t="inlineStr">
        <is>
          <t>Medium</t>
        </is>
      </c>
      <c r="D677" s="3" t="inlineStr">
        <is>
          <t>Dosing – renal/dialysis</t>
        </is>
      </c>
      <c r="E677" s="3" t="inlineStr"/>
      <c r="F677" s="3" t="inlineStr">
        <is>
          <t>Fill truncated renal field: no adjustment; monitor in severe renal impairment, give after HD.</t>
        </is>
      </c>
      <c r="G677" s="3" t="inlineStr">
        <is>
          <t>'CrCl' (field empty or truncated)</t>
        </is>
      </c>
      <c r="H677" s="3" t="inlineStr">
        <is>
          <t>No renal dose adjustment in either label. US: use with careful monitoring in severe renal dysfunction; cerebellar syndrome reported mostly in CKD. UK 4.4: care in impaired kidney function; 4.8: ototoxicity reported in ESRD.</t>
        </is>
      </c>
      <c r="I677" s="3" t="inlineStr">
        <is>
          <t>US label PRECAUTIONS General, WARNINGS Cerebellar Syndrome; UK SmPC 4.4/4.8</t>
        </is>
      </c>
      <c r="J677" s="3" t="inlineStr">
        <is>
          <t>Open</t>
        </is>
      </c>
      <c r="K677" s="3" t="inlineStr"/>
    </row>
    <row r="678">
      <c r="A678" s="3" t="n">
        <v>1095</v>
      </c>
      <c r="B678" s="3" t="inlineStr">
        <is>
          <t>Isoniazid (INAH) (ISO06, ISO07)</t>
        </is>
      </c>
      <c r="C678" s="8" t="inlineStr">
        <is>
          <t>Medium</t>
        </is>
      </c>
      <c r="D678" s="3" t="inlineStr">
        <is>
          <t>Dosing – renal/dialysis</t>
        </is>
      </c>
      <c r="E678" s="3" t="inlineStr"/>
      <c r="F678" s="3" t="inlineStr">
        <is>
          <t>Add caveats: monitor in severe renal dysfunction, cerebellar syndrome risk in CKD, pyridoxine for uraemic patients.</t>
        </is>
      </c>
      <c r="G678" s="3" t="inlineStr">
        <is>
          <t>'No dose adjustment necessary.' (no caveat)</t>
        </is>
      </c>
      <c r="H678" s="3" t="inlineStr">
        <is>
          <t>There is no adjustment, but the US label requires careful monitoring in severe renal dysfunction and warns of cerebellar syndrome mostly in CKD patients. UK SmPC recommends pyridoxine for uraemic patients. The hospital text leaves out these cautions.</t>
        </is>
      </c>
      <c r="I678" s="3" t="inlineStr">
        <is>
          <t>US label PRECAUTIONS General, WARNINGS Cerebellar Syndrome; UK SmPC 4.4</t>
        </is>
      </c>
      <c r="J678" s="3" t="inlineStr">
        <is>
          <t>Open</t>
        </is>
      </c>
      <c r="K678" s="3" t="inlineStr"/>
    </row>
    <row r="679">
      <c r="A679" s="3" t="n">
        <v>1103</v>
      </c>
      <c r="B679" s="3" t="inlineStr">
        <is>
          <t>Isoniazid (INAH) (ISO06, ISO07)</t>
        </is>
      </c>
      <c r="C679" s="8" t="inlineStr">
        <is>
          <t>Medium</t>
        </is>
      </c>
      <c r="D679" s="3" t="inlineStr">
        <is>
          <t>Dosing – renal/dialysis</t>
        </is>
      </c>
      <c r="E679" s="3" t="inlineStr"/>
      <c r="F679" s="3" t="inlineStr">
        <is>
          <t>Complete renal field: no adjustment; CrCl &lt;30/HD 300 mg daily or 900 mg TIW after HD.</t>
        </is>
      </c>
      <c r="G679" s="3" t="inlineStr">
        <is>
          <t>'CrCl' (empty/truncated)</t>
        </is>
      </c>
      <c r="H679" s="3" t="inlineStr">
        <is>
          <t>No adjustment. CrCl &lt;30/HD: 300 mg QD or 900 mg TIW, given after HD. US label: monitor carefully in severe renal dysfunction.</t>
        </is>
      </c>
      <c r="I679" s="3" t="inlineStr">
        <is>
          <t>Nahid 2016 PMID 27516382 Table 12; DailyMed PRECAUTIONS General</t>
        </is>
      </c>
      <c r="J679" s="3" t="inlineStr">
        <is>
          <t>Open</t>
        </is>
      </c>
      <c r="K679" s="3" t="inlineStr"/>
    </row>
    <row r="680">
      <c r="A680" s="3" t="n">
        <v>1108</v>
      </c>
      <c r="B680" s="3" t="inlineStr">
        <is>
          <t>Isoniazid (INAH) (ISO06, ISO07)</t>
        </is>
      </c>
      <c r="C680" s="8" t="inlineStr">
        <is>
          <t>Medium</t>
        </is>
      </c>
      <c r="D680" s="3" t="inlineStr">
        <is>
          <t>Indication/coverage</t>
        </is>
      </c>
      <c r="E680" s="3" t="inlineStr"/>
      <c r="F680" s="3" t="inlineStr">
        <is>
          <t>Update M. kansasii reference to ATS/ERS/ESCMID/IDSA 2020 NTM guideline (RIF+INH+EMB).</t>
        </is>
      </c>
      <c r="G680" s="3" t="inlineStr">
        <is>
          <t>M. kansasii 5 mg/kg/day ... (Griffith 2007)</t>
        </is>
      </c>
      <c r="H680" s="3" t="inlineStr">
        <is>
          <t>Superseded by the ATS/ERS/ESCMID/IDSA 2020 NTM guideline (RIF + INH + EMB for M. kansasii).</t>
        </is>
      </c>
      <c r="I680" s="3" t="inlineStr">
        <is>
          <t>Daley CL et al. CID 2020;71:e1, PMID 32628747</t>
        </is>
      </c>
      <c r="J680" s="3" t="inlineStr">
        <is>
          <t>Open</t>
        </is>
      </c>
      <c r="K680" s="3" t="inlineStr"/>
    </row>
    <row r="681">
      <c r="A681" s="3" t="n">
        <v>1262</v>
      </c>
      <c r="B681" s="3" t="inlineStr">
        <is>
          <t>Juluca (Dolutegravir/Rilpivirine) (JUL01)</t>
        </is>
      </c>
      <c r="C681" s="8" t="inlineStr">
        <is>
          <t>Medium</t>
        </is>
      </c>
      <c r="D681" s="3" t="inlineStr">
        <is>
          <t>Breastfeeding</t>
        </is>
      </c>
      <c r="E681" s="3" t="inlineStr">
        <is>
          <t>LactMed outdated</t>
        </is>
      </c>
      <c r="F681" s="3" t="inlineStr">
        <is>
          <t>Update: rilpivirine detected in milk (LactMed); add TW advice not to breastfeed.</t>
        </is>
      </c>
      <c r="G681" s="3" t="inlineStr">
        <is>
          <t>Rilpivirine: not known if it is present in breast milk</t>
        </is>
      </c>
      <c r="H681" s="3" t="inlineStr">
        <is>
          <t>LactMed (rev 2025-12-15): rilpivirine is detectable in human milk (median 123 mcg/L in 2 mothers) and in infant serum. The 仿單 §6.2 advice not to breastfeed while on Juluca, and LactMed's position, are both absent.</t>
        </is>
      </c>
      <c r="I681" s="3" t="inlineStr">
        <is>
          <t>LactMed NBK501818 https://www.ncbi.nlm.nih.gov/books/NBK501818/ ; 仿單 §6.2</t>
        </is>
      </c>
      <c r="J681" s="3" t="inlineStr">
        <is>
          <t>Open</t>
        </is>
      </c>
      <c r="K681" s="3" t="inlineStr"/>
    </row>
    <row r="682">
      <c r="A682" s="3" t="n">
        <v>1272</v>
      </c>
      <c r="B682" s="3" t="inlineStr">
        <is>
          <t>Juluca (Dolutegravir/Rilpivirine) (JUL01)</t>
        </is>
      </c>
      <c r="C682" s="8" t="inlineStr">
        <is>
          <t>Medium</t>
        </is>
      </c>
      <c r="D682" s="3" t="inlineStr">
        <is>
          <t>Breastfeeding</t>
        </is>
      </c>
      <c r="E682" s="3" t="inlineStr">
        <is>
          <t>LactMed outdated</t>
        </is>
      </c>
      <c r="F682" s="3" t="inlineStr">
        <is>
          <t>Update: rilpivirine present in milk at low levels; add TW no-breastfeed advice.</t>
        </is>
      </c>
      <c r="G682" s="3" t="inlineStr">
        <is>
          <t>Rilpivirine: not known if it is present in breast milk</t>
        </is>
      </c>
      <c r="H682" s="3" t="inlineStr">
        <is>
          <t>LactMed (rev 2025-12-15): maternal RPV 25 mg/day gives low levels in milk and infant serum. The TW insert also tells mothers not to breastfeed while on Juluca, which the hospital page does not mention.</t>
        </is>
      </c>
      <c r="I682" s="3" t="inlineStr">
        <is>
          <t>LactMed NBK501818 https://www.ncbi.nlm.nih.gov/books/NBK501818/; TW insert 6.2</t>
        </is>
      </c>
      <c r="J682" s="3" t="inlineStr">
        <is>
          <t>Open</t>
        </is>
      </c>
      <c r="K682" s="3" t="inlineStr"/>
    </row>
    <row r="683">
      <c r="A683" s="3" t="n">
        <v>1260</v>
      </c>
      <c r="B683" s="3" t="inlineStr">
        <is>
          <t>Juluca (Dolutegravir/Rilpivirine) (JUL01)</t>
        </is>
      </c>
      <c r="C683" s="8" t="inlineStr">
        <is>
          <t>Medium</t>
        </is>
      </c>
      <c r="D683" s="3" t="inlineStr">
        <is>
          <t>Dosing – renal/dialysis</t>
        </is>
      </c>
      <c r="E683" s="3" t="inlineStr"/>
      <c r="F683" s="3" t="inlineStr">
        <is>
          <t>Restore lost '&lt;30' threshold: CrCl &lt;30 or ESRD no adjustment, increase monitoring.</t>
        </is>
      </c>
      <c r="G683" s="3" t="inlineStr">
        <is>
          <t>'CrCl' followed by nothing (text truncated), then 'There are no dosage adjustments…use with caution and increased monitoring'</t>
        </is>
      </c>
      <c r="H683" s="3" t="inlineStr">
        <is>
          <t>CrCl \&lt;30 mL/min or ESRD: no adjustment; increased monitoring for adverse effects (仿單 §6.7 = US §8.6). The '\&lt;30' threshold is missing, probably because the '&lt;' character was stripped.</t>
        </is>
      </c>
      <c r="I683" s="3" t="inlineStr">
        <is>
          <t>仿單 §6.7 / US §8.6 (URLs above)</t>
        </is>
      </c>
      <c r="J683" s="3" t="inlineStr">
        <is>
          <t>Open</t>
        </is>
      </c>
      <c r="K683" s="3" t="inlineStr"/>
    </row>
    <row r="684">
      <c r="A684" s="3" t="n">
        <v>1269</v>
      </c>
      <c r="B684" s="3" t="inlineStr">
        <is>
          <t>Juluca (Dolutegravir/Rilpivirine) (JUL01)</t>
        </is>
      </c>
      <c r="C684" s="8" t="inlineStr">
        <is>
          <t>Medium</t>
        </is>
      </c>
      <c r="D684" s="3" t="inlineStr">
        <is>
          <t>Dosing – renal/dialysis</t>
        </is>
      </c>
      <c r="E684" s="3" t="inlineStr"/>
      <c r="F684" s="3" t="inlineStr">
        <is>
          <t>Restore '&lt;30 mL/min' threshold for increased-monitoring renal caution.</t>
        </is>
      </c>
      <c r="G684" s="3" t="inlineStr">
        <is>
          <t>'CrCl' followed by nothing. The '&lt;30 mL/minute' threshold is missing (probably lost to an HTML '&lt;' escape), so the caution text has no CrCl band.</t>
        </is>
      </c>
      <c r="H684" s="3" t="inlineStr">
        <is>
          <t>CrCl &lt;30 mL/min or ESRD: increased monitoring for adverse effects</t>
        </is>
      </c>
      <c r="I684" s="3" t="inlineStr">
        <is>
          <t>US label 8.6; TW insert 6.7</t>
        </is>
      </c>
      <c r="J684" s="3" t="inlineStr">
        <is>
          <t>Open</t>
        </is>
      </c>
      <c r="K684" s="3" t="inlineStr"/>
    </row>
    <row r="685">
      <c r="A685" s="3" t="n">
        <v>718</v>
      </c>
      <c r="B685" s="3" t="inlineStr">
        <is>
          <t>Klaricid (Clarithromycin) (KLA02, KLA03)</t>
        </is>
      </c>
      <c r="C685" s="8" t="inlineStr">
        <is>
          <t>Medium</t>
        </is>
      </c>
      <c r="D685" s="3" t="inlineStr">
        <is>
          <t>Indication/coverage</t>
        </is>
      </c>
      <c r="E685" s="3" t="inlineStr"/>
      <c r="F685" s="3" t="inlineStr">
        <is>
          <t>Replace with TW IV indications: RTI, SSTI, MAC/NTM; remove H. pylori, otitis media</t>
        </is>
      </c>
      <c r="G685" s="3" t="inlineStr">
        <is>
          <t>US oral-label indication list, including AECB, Helicobacter pylori eradication, otitis media, pharyngitis, etc.</t>
        </is>
      </c>
      <c r="H685" s="3" t="inlineStr">
        <is>
          <t>TW Klaricid IV 仿單 2 適應症 lists lower and upper respiratory tract, skin/soft-tissue, and MAC/NTM infections only. H. pylori eradication is an oral combination regimen and is not an IV indication. UK IV SmPC 4.1 lists AECB, CAP, sinusitis, strep pharyngitis and SSTI.</t>
        </is>
      </c>
      <c r="I685" s="3" t="inlineStr">
        <is>
          <t>TW 仿單 Klaricid IV: https://mcp.fda.gov.tw/im_detail_1/%E8%A1%9B%E9%83%A8%E8%97%A5%E8%BC%B8%E5%AD%97%E7%AC%AC026747%E8%99%9F; UK SmPC 9235 4.1</t>
        </is>
      </c>
      <c r="J685" s="3" t="inlineStr">
        <is>
          <t>Open</t>
        </is>
      </c>
      <c r="K685" s="3" t="inlineStr"/>
    </row>
    <row r="686">
      <c r="A686" s="3" t="n">
        <v>722</v>
      </c>
      <c r="B686" s="3" t="inlineStr">
        <is>
          <t>Klaricid (Clarithromycin) (KLA02, KLA03)</t>
        </is>
      </c>
      <c r="C686" s="8" t="inlineStr">
        <is>
          <t>Medium</t>
        </is>
      </c>
      <c r="D686" s="3" t="inlineStr">
        <is>
          <t>Indication/coverage</t>
        </is>
      </c>
      <c r="E686" s="3" t="inlineStr"/>
      <c r="F686" s="3" t="inlineStr">
        <is>
          <t>Use TW IV §2 indication list; remove H. pylori and pediatric otitis media</t>
        </is>
      </c>
      <c r="G686" s="3" t="inlineStr">
        <is>
          <t>Copied from the US oral label: AECB, H. pylori eradication, MAC in advanced HIV, otitis media (paediatric), pneumonia, etc.</t>
        </is>
      </c>
      <c r="H686" s="3" t="inlineStr">
        <is>
          <t>The Taiwan IV insert §2 lists only LRTI (bronchitis, pneumonia), URTI (pharyngitis, sinusitis), SSTI, and MAC/M. intracellulare/M. chelonae/M. fortuitum/M. kansasii infections. UK IV 4.1 lists AECB, CAP, sinusitis, strep pharyngitis/tonsillitis and SSTI. Neither IV label lists H. pylori or paediatric otitis media for the IV product.</t>
        </is>
      </c>
      <c r="I686" s="3" t="inlineStr">
        <is>
          <t>仿單 IV §2 https://mcp.fda.gov.tw/im_detail_1/%E8%A1%9B%E9%83%A8%E8%97%A5%E8%BC%B8%E5%AD%97%E7%AC%AC026747%E8%99%9F ; UK SmPC 4.1 https://www.medicines.org.uk/emc/product/9235/smpc</t>
        </is>
      </c>
      <c r="J686" s="3" t="inlineStr">
        <is>
          <t>Open</t>
        </is>
      </c>
      <c r="K686" s="3" t="inlineStr"/>
    </row>
    <row r="687">
      <c r="A687" s="3" t="n">
        <v>725</v>
      </c>
      <c r="B687" s="3" t="inlineStr">
        <is>
          <t>Klaricid (Clarithromycin) (KLA02, KLA03)</t>
        </is>
      </c>
      <c r="C687" s="8" t="inlineStr">
        <is>
          <t>Medium</t>
        </is>
      </c>
      <c r="D687" s="3" t="inlineStr">
        <is>
          <t>Indication/coverage</t>
        </is>
      </c>
      <c r="E687" s="3" t="inlineStr"/>
      <c r="F687" s="3" t="inlineStr">
        <is>
          <t>Add TW indications: odontogenic infection, localized NTM, MAC prophylaxis; drop pediatric otitis</t>
        </is>
      </c>
      <c r="G687" s="3" t="inlineStr">
        <is>
          <t>US-label indication list (AECB, H. pylori, MAC in HIV, paediatric otitis media, CAP, SSTI, pharyngitis); no odontogenic infection</t>
        </is>
      </c>
      <c r="H687" s="3" t="inlineStr">
        <is>
          <t>The Taiwan tablet insert §2 also lists 治療齒源性感染 (250 mg BID ×5 days), localized M. chelonae/fortuitum/kansasii infections, and MAC prophylaxis in HIV with CD4 ≤100/mm³. Paediatric otitis media is not a Taiwan tablet indication: the tablet is not studied under 12 y. Minor: incomplete versus the stocked product's insert.</t>
        </is>
      </c>
      <c r="I687" s="3" t="inlineStr">
        <is>
          <t>仿單 tab §2, §3.1 https://mcp.fda.gov.tw/im_detail_1/%E8%A1%9B%E7%BD%B2%E8%97%A5%E8%BC%B8%E5%AD%97%E7%AC%AC022420%E8%99%9F</t>
        </is>
      </c>
      <c r="J687" s="3" t="inlineStr">
        <is>
          <t>Open</t>
        </is>
      </c>
      <c r="K687" s="3" t="inlineStr"/>
    </row>
    <row r="688">
      <c r="A688" s="3" t="n">
        <v>714</v>
      </c>
      <c r="B688" s="3" t="inlineStr">
        <is>
          <t>Klaricid (Clarithromycin) (KLA02, KLA03)</t>
        </is>
      </c>
      <c r="C688" s="8" t="inlineStr">
        <is>
          <t>Medium</t>
        </is>
      </c>
      <c r="D688" s="3" t="inlineStr">
        <is>
          <t>Pregnancy</t>
        </is>
      </c>
      <c r="E688" s="3" t="inlineStr">
        <is>
          <t>FDA letter category</t>
        </is>
      </c>
      <c r="F688" s="3" t="inlineStr">
        <is>
          <t>Replace C with: not recommended in pregnancy unless no alternative (US 8.1/TW)</t>
        </is>
      </c>
      <c r="G688" s="3" t="inlineStr">
        <is>
          <t>C</t>
        </is>
      </c>
      <c r="H688" s="3" t="inlineStr">
        <is>
          <t>FDA letter categories are retired. US FDA 8.1/5.7: not recommended in pregnancy except where no alternative therapy is appropriate. TW 仿單: not recommended without carefully weighing benefit and risk, especially in the first trimester.</t>
        </is>
      </c>
      <c r="I688" s="3" t="inlineStr">
        <is>
          <t>US FDA label 8.1: https://dailymed.nlm.nih.gov/dailymed/drugInfo.cfm?setid=d836ae7e-fdbf-4dcb-a90d-ede1dcbc3e67; TW 仿單 Klaricid tab: https://mcp.fda.gov.tw/im_detail_1/%E8%A1%9B%E7%BD%B2%E8%97%A5%E8%BC%B8%E5%AD%97%E7%AC%AC022420%E8%99%9F</t>
        </is>
      </c>
      <c r="J688" s="3" t="inlineStr">
        <is>
          <t>Open</t>
        </is>
      </c>
      <c r="K688" s="3" t="inlineStr"/>
    </row>
    <row r="689">
      <c r="A689" s="3" t="n">
        <v>723</v>
      </c>
      <c r="B689" s="3" t="inlineStr">
        <is>
          <t>Klaricid (Clarithromycin) (KLA02, KLA03)</t>
        </is>
      </c>
      <c r="C689" s="8" t="inlineStr">
        <is>
          <t>Medium</t>
        </is>
      </c>
      <c r="D689" s="3" t="inlineStr">
        <is>
          <t>Pregnancy</t>
        </is>
      </c>
      <c r="E689" s="3" t="inlineStr">
        <is>
          <t>FDA letter category</t>
        </is>
      </c>
      <c r="F689" s="3" t="inlineStr">
        <is>
          <t>Replace C with: not recommended in pregnancy unless no alternative</t>
        </is>
      </c>
      <c r="G689" s="3" t="inlineStr">
        <is>
          <t>C</t>
        </is>
      </c>
      <c r="H689" s="3" t="inlineStr">
        <is>
          <t>The FDA retired pregnancy letter categories. US §8.1 says 'not recommended for use in pregnant women except in clinical circumstances where no alternative therapy is appropriate'. The 仿單 says 若未仔細衡量利益與風險，本品不建議使用於懷孕婦女. (The KLA03 page already uses narrative wording.)</t>
        </is>
      </c>
      <c r="I689" s="3" t="inlineStr">
        <is>
          <t>US FDA label §8.1 https://dailymed.nlm.nih.gov/dailymed/drugInfo.cfm?setid=d836ae7e-fdbf-4dcb-a90d-ede1dcbc3e67 ; 仿單 tab §6.1 https://mcp.fda.gov.tw/im_detail_1/%E8%A1%9B%E7%BD%B2%E8%97%A5%E8%BC%B8%E5%AD%97%E7%AC%AC022420%E8%99%9F</t>
        </is>
      </c>
      <c r="J689" s="3" t="inlineStr">
        <is>
          <t>Open</t>
        </is>
      </c>
      <c r="K689" s="3" t="inlineStr"/>
    </row>
    <row r="690">
      <c r="A690" s="3" t="n">
        <v>792</v>
      </c>
      <c r="B690" s="3" t="inlineStr">
        <is>
          <t>LinDACIN (Clindamycin) (LIN01, BB901)</t>
        </is>
      </c>
      <c r="C690" s="8" t="inlineStr">
        <is>
          <t>Medium</t>
        </is>
      </c>
      <c r="D690" s="3" t="inlineStr">
        <is>
          <t>Administration/compatibility</t>
        </is>
      </c>
      <c r="E690" s="3" t="inlineStr"/>
      <c r="F690" s="3" t="inlineStr">
        <is>
          <t>Add capsule advice: full glass of water, stay upright ≥30 min (oesophagitis risk)</t>
        </is>
      </c>
      <c r="G690" s="3" t="inlineStr">
        <is>
          <t>No capsule administration advice</t>
        </is>
      </c>
      <c r="H690" s="3" t="inlineStr">
        <is>
          <t>Take with a full glass of water (200–250 mL), at least 30 min before lying down, because of the risk of oesophagitis and oesophageal ulcer.</t>
        </is>
      </c>
      <c r="I690" s="3" t="inlineStr">
        <is>
          <t>US CLEOCIN HCl D&amp;A – https://dailymed.nlm.nih.gov/dailymed/drugInfo.cfm?setid=df9a2a41-b132-4f43-8940-b2d773b1369a; UK caps §4.2 – https://www.medicines.org.uk/emc/product/100601/smpc</t>
        </is>
      </c>
      <c r="J690" s="3" t="inlineStr">
        <is>
          <t>Open</t>
        </is>
      </c>
      <c r="K690" s="3" t="inlineStr"/>
    </row>
    <row r="691">
      <c r="A691" s="3" t="n">
        <v>782</v>
      </c>
      <c r="B691" s="3" t="inlineStr">
        <is>
          <t>LinDACIN (Clindamycin) (LIN01, BB901)</t>
        </is>
      </c>
      <c r="C691" s="8" t="inlineStr">
        <is>
          <t>Medium</t>
        </is>
      </c>
      <c r="D691" s="3" t="inlineStr">
        <is>
          <t>Contraindication/warning</t>
        </is>
      </c>
      <c r="E691" s="3" t="inlineStr"/>
      <c r="F691" s="3" t="inlineStr">
        <is>
          <t>Add nephrotoxicity/AKI warning; monitor renal function in at-risk patients</t>
        </is>
      </c>
      <c r="G691" s="3" t="inlineStr">
        <is>
          <t>Side effects list diarrhoea, pseudomembranous colitis, hypersensitivity, agranulocytosis and thrombocytopenia only</t>
        </is>
      </c>
      <c r="H691" s="3" t="inlineStr">
        <is>
          <t>The US (injection and capsule) and UK labels warn that clindamycin is potentially nephrotoxic and that AKI has been reported. They advise monitoring renal function in at-risk patients and stopping the drug if AKI has no other cause.</t>
        </is>
      </c>
      <c r="I691" s="3" t="inlineStr">
        <is>
          <t>US injection WARNINGS Nephrotoxicity - https://dailymed.nlm.nih.gov/dailymed/drugInfo.cfm?setid=7a6967b3-5563-4bed-9eee-d400f800e799; UK SmPC 4.4 - https://www.medicines.org.uk/emc/product/100601/smpc</t>
        </is>
      </c>
      <c r="J691" s="3" t="inlineStr">
        <is>
          <t>Open</t>
        </is>
      </c>
      <c r="K691" s="3" t="inlineStr"/>
    </row>
    <row r="692">
      <c r="A692" s="3" t="n">
        <v>777</v>
      </c>
      <c r="B692" s="3" t="inlineStr">
        <is>
          <t>LinDACIN (Clindamycin) (LIN01, BB901)</t>
        </is>
      </c>
      <c r="C692" s="8" t="inlineStr">
        <is>
          <t>Medium</t>
        </is>
      </c>
      <c r="D692" s="3" t="inlineStr">
        <is>
          <t>Dosing – pediatric</t>
        </is>
      </c>
      <c r="E692" s="3" t="inlineStr"/>
      <c r="F692" s="3" t="inlineStr">
        <is>
          <t>Align oral peds dose to stocked TW insert: 8–25 mg/kg/day divided q6–8h (3–4 doses)</t>
        </is>
      </c>
      <c r="G692" s="3" t="inlineStr">
        <is>
          <t>Children: 8–16 mg/kg/day in 4 divided doses, up to 20 mg/kg/day PO</t>
        </is>
      </c>
      <c r="H692" s="3" t="inlineStr">
        <is>
          <t>This matches the US CLEOCIN HCl label (8–16, or 16–20 mg/kg/day if more severe, ÷3–4), so it is NOT an error, contrary to the source brief. However, it does not reflect the stocked product's own Taiwan insert (over 1 month: 8–25 mg/kg/day ÷3–4) or the UK SmPC (12–25 mg/kg/day q6h). It also gives only 4 divided doses where the labels allow 3–4.</t>
        </is>
      </c>
      <c r="I692" s="3" t="inlineStr">
        <is>
          <t>US CLEOCIN HCl D&amp;A - https://dailymed.nlm.nih.gov/dailymed/drugInfo.cfm?setid=df9a2a41-b132-4f43-8940-b2d773b1369a; TW LinDACIN 仿單 - https://mcp.fda.gov.tw/insert/pdfcasefile/i_24ea12f5-ce70-461c-bcc6-3d1a2172829b</t>
        </is>
      </c>
      <c r="J692" s="3" t="inlineStr">
        <is>
          <t>Open</t>
        </is>
      </c>
      <c r="K692" s="3" t="inlineStr"/>
    </row>
    <row r="693">
      <c r="A693" s="3" t="n">
        <v>786</v>
      </c>
      <c r="B693" s="3" t="inlineStr">
        <is>
          <t>LinDACIN (Clindamycin) (LIN01, BB901)</t>
        </is>
      </c>
      <c r="C693" s="8" t="inlineStr">
        <is>
          <t>Medium</t>
        </is>
      </c>
      <c r="D693" s="3" t="inlineStr">
        <is>
          <t>Dosing – pediatric</t>
        </is>
      </c>
      <c r="E693" s="3" t="inlineStr"/>
      <c r="F693" s="3" t="inlineStr">
        <is>
          <t>Align oral peds dose to TW insert 8–25 mg/kg/day ÷3–4; allow 3–4 divided doses</t>
        </is>
      </c>
      <c r="G693" s="3" t="inlineStr">
        <is>
          <t>Children: 8–16 mg/kg/day in 4 divided doses, up to 20 mg/kg/day PO</t>
        </is>
      </c>
      <c r="H693" s="3" t="inlineStr">
        <is>
          <t>This matches the US Cleocin capsule label (8–16 serious / 16–20 more severe, ÷3–4), so the brief's claim of an outright error is overstated. It is narrower than the stocked product's TW insert (8–25 mg/kg/day ÷3–4) and the UK SmPC (12–25 mg/kg/day q6h). The page also restricts dosing to 4 divided doses when the labels allow 3–4.</t>
        </is>
      </c>
      <c r="I693" s="3" t="inlineStr">
        <is>
          <t>TW 仿單 LinDACIN 用法用量 – https://mcp.fda.gov.tw/insert/pdfcasefile/i_24ea12f5-ce70-461c-bcc6-3d1a2172829b; US CLEOCIN HCl D&amp;A – https://dailymed.nlm.nih.gov/dailymed/drugInfo.cfm?setid=df9a2a41-b132-4f43-8940-b2d773b1369a</t>
        </is>
      </c>
      <c r="J693" s="3" t="inlineStr">
        <is>
          <t>Open</t>
        </is>
      </c>
      <c r="K693" s="3" t="inlineStr"/>
    </row>
    <row r="694">
      <c r="A694" s="3" t="n">
        <v>921</v>
      </c>
      <c r="B694" s="3" t="inlineStr">
        <is>
          <t>Liposomal Amphotericin B (AmBisome / Ampholipad) (AMB02, AMB10)</t>
        </is>
      </c>
      <c r="C694" s="8" t="inlineStr">
        <is>
          <t>Medium</t>
        </is>
      </c>
      <c r="D694" s="3" t="inlineStr">
        <is>
          <t>Breastfeeding</t>
        </is>
      </c>
      <c r="E694" s="3" t="inlineStr">
        <is>
          <t>LactMed outdated</t>
        </is>
      </c>
      <c r="F694" s="3" t="inlineStr">
        <is>
          <t>Replace 'not recommended' with label weigh-benefit wording; add LactMed acceptable</t>
        </is>
      </c>
      <c r="G694" s="3" t="inlineStr">
        <is>
          <t>Not recommended by the manufacturer</t>
        </is>
      </c>
      <c r="H694" s="3" t="inlineStr">
        <is>
          <t>The labels do not say 'not recommended'. US and TW: decide whether to stop nursing or stop the drug, taking into account how important the drug is to the mother. UK: weigh the benefits. LactMed: most reviewers consider it acceptable (highly protein bound, large molecule, not absorbed orally).</t>
        </is>
      </c>
      <c r="I694" s="3" t="inlineStr">
        <is>
          <t>US label Nursing Mothers; UK SmPC 4.6; LactMed NBK501321: https://www.ncbi.nlm.nih.gov/books/NBK501321/</t>
        </is>
      </c>
      <c r="J694" s="3" t="inlineStr">
        <is>
          <t>Open</t>
        </is>
      </c>
      <c r="K694" s="3" t="inlineStr"/>
    </row>
    <row r="695">
      <c r="A695" s="3" t="n">
        <v>928</v>
      </c>
      <c r="B695" s="3" t="inlineStr">
        <is>
          <t>Liposomal Amphotericin B (AmBisome / Ampholipad) (AMB02, AMB10)</t>
        </is>
      </c>
      <c r="C695" s="8" t="inlineStr">
        <is>
          <t>Medium</t>
        </is>
      </c>
      <c r="D695" s="3" t="inlineStr">
        <is>
          <t>Breastfeeding</t>
        </is>
      </c>
      <c r="E695" s="3" t="inlineStr">
        <is>
          <t>LactMed outdated</t>
        </is>
      </c>
      <c r="F695" s="3" t="inlineStr">
        <is>
          <t>Replace 'not recommended' with weigh-benefit wording; add LactMed acceptable</t>
        </is>
      </c>
      <c r="G695" s="3" t="inlineStr">
        <is>
          <t>Because of the potential for toxicity, breast-feeding is not recommended by the manufacturer</t>
        </is>
      </c>
      <c r="H695" s="3" t="inlineStr">
        <is>
          <t>No label says breastfeeding is not recommended. US/TW say to decide whether to discontinue nursing or the drug; UK says to weigh the benefits. LactMed says most reviewers consider it acceptable.</t>
        </is>
      </c>
      <c r="I695" s="3" t="inlineStr">
        <is>
          <t>US FDA label, Nursing Mothers; UK SmPC §4.6; LactMed NBK501321 https://www.ncbi.nlm.nih.gov/books/NBK501321/</t>
        </is>
      </c>
      <c r="J695" s="3" t="inlineStr">
        <is>
          <t>Open</t>
        </is>
      </c>
      <c r="K695" s="3" t="inlineStr"/>
    </row>
    <row r="696">
      <c r="A696" s="3" t="n">
        <v>930</v>
      </c>
      <c r="B696" s="3" t="inlineStr">
        <is>
          <t>Liposomal Amphotericin B (AmBisome / Ampholipad) (AMB02, AMB10)</t>
        </is>
      </c>
      <c r="C696" s="8" t="inlineStr">
        <is>
          <t>Medium</t>
        </is>
      </c>
      <c r="D696" s="3" t="inlineStr">
        <is>
          <t>Dosing – hepatic</t>
        </is>
      </c>
      <c r="E696" s="3" t="inlineStr"/>
      <c r="F696" s="3" t="inlineStr">
        <is>
          <t>Change 'No adjustment' to 'No data; no dose recommendation' (US/UK)</t>
        </is>
      </c>
      <c r="G696" s="3" t="inlineStr">
        <is>
          <t>No adjustment</t>
        </is>
      </c>
      <c r="H696" s="3" t="inlineStr">
        <is>
          <t>No data, so no dose recommendation: US 'is not known'; UK 'No data are available on which to make a dose recommendation'. That is not the same as 'no adjustment needed'.</t>
        </is>
      </c>
      <c r="I696" s="3" t="inlineStr">
        <is>
          <t>US label, Pharmacokinetics in Special Populations; UK SmPC §4.2</t>
        </is>
      </c>
      <c r="J696" s="3" t="inlineStr">
        <is>
          <t>Open</t>
        </is>
      </c>
      <c r="K696" s="3" t="inlineStr"/>
    </row>
    <row r="697">
      <c r="A697" s="3" t="n">
        <v>923</v>
      </c>
      <c r="B697" s="3" t="inlineStr">
        <is>
          <t>Liposomal Amphotericin B (AmBisome / Ampholipad) (AMB02, AMB10)</t>
        </is>
      </c>
      <c r="C697" s="8" t="inlineStr">
        <is>
          <t>Medium</t>
        </is>
      </c>
      <c r="D697" s="3" t="inlineStr">
        <is>
          <t>Indication/coverage</t>
        </is>
      </c>
      <c r="E697" s="3" t="inlineStr"/>
      <c r="F697" s="3" t="inlineStr">
        <is>
          <t>Add mucormycosis, mycetoma; separate Ampholipad TW indications from AmBisome</t>
        </is>
      </c>
      <c r="G697" s="3" t="inlineStr">
        <is>
          <t>Lists HIV cryptococcal meningitis, empirical FN therapy, Aspergillus/Candida/Cryptococcus infections and VL (the same text on both product pages)</t>
        </is>
      </c>
      <c r="H697" s="3" t="inlineStr">
        <is>
          <t>Mucormycosis (UK; TW AmBisome) and chronic mycetoma (UK) are missing. Ampholipad's Taiwan indications differ from AmBisome's: they include invasive fungal infection with nephrotoxicity after bone-marrow transplant and Aspergillus/Candida/Cryptococcus infection with renal insufficiency. Using identical text for both products hides these differences.</t>
        </is>
      </c>
      <c r="I697" s="3" t="inlineStr">
        <is>
          <t>UK SmPC 4.1; TW Ampholipad insert 【適應症】: https://mcp.fda.gov.tw/im_detail_pdf/%E8%A1%9B%E7%BD%B2%E8%97%A5%E8%A3%BD%E5%AD%97%E7%AC%AC057982%E8%99%9F</t>
        </is>
      </c>
      <c r="J697" s="3" t="inlineStr">
        <is>
          <t>Open</t>
        </is>
      </c>
      <c r="K697" s="3" t="inlineStr"/>
    </row>
    <row r="698">
      <c r="A698" s="3" t="n">
        <v>933</v>
      </c>
      <c r="B698" s="3" t="inlineStr">
        <is>
          <t>Liposomal Amphotericin B (AmBisome / Ampholipad) (AMB02, AMB10)</t>
        </is>
      </c>
      <c r="C698" s="8" t="inlineStr">
        <is>
          <t>Medium</t>
        </is>
      </c>
      <c r="D698" s="3" t="inlineStr">
        <is>
          <t>Indication/coverage</t>
        </is>
      </c>
      <c r="E698" s="3" t="inlineStr"/>
      <c r="F698" s="3" t="inlineStr">
        <is>
          <t>Give Ampholipad its own TW indications/dosing text distinct from AmBisome</t>
        </is>
      </c>
      <c r="G698" s="3" t="inlineStr">
        <is>
          <t>Identical clinical text to AMB02 AmBisome</t>
        </is>
      </c>
      <c r="H698" s="3" t="inlineStr">
        <is>
          <t>The Ampholipad TW insert words its indications differently: it adds post-BMT invasive fungal infection with nephrotoxicity and Aspergillus/Candida/Cryptococcus infection with renal insufficiency, and it gives an FN definition. It has no mucormycosis dose. The two products' labelled content is not identical.</t>
        </is>
      </c>
      <c r="I698" s="3" t="inlineStr">
        <is>
          <t>TW insert 衛署藥製字第057982號 【適應症】【用法用量】 https://mcp.fda.gov.tw/im_detail_pdf/%E8%A1%9B%E7%BD%B2%E8%97%A5%E8%A3%BD%E5%AD%97%E7%AC%AC057982%E8%99%9F</t>
        </is>
      </c>
      <c r="J698" s="3" t="inlineStr">
        <is>
          <t>Open</t>
        </is>
      </c>
      <c r="K698" s="3" t="inlineStr"/>
    </row>
    <row r="699">
      <c r="A699" s="3" t="n">
        <v>1435</v>
      </c>
      <c r="B699" s="3" t="inlineStr">
        <is>
          <t>Maviret (Glecaprevir/Pibrentasvir) (MAV01)</t>
        </is>
      </c>
      <c r="C699" s="8" t="inlineStr">
        <is>
          <t>Medium</t>
        </is>
      </c>
      <c r="D699" s="3" t="inlineStr">
        <is>
          <t>Adverse effects</t>
        </is>
      </c>
      <c r="E699" s="3" t="inlineStr"/>
      <c r="F699" s="3" t="inlineStr">
        <is>
          <t>Add pruritus, asthenia, angioedema, hepatic decompensation and hypoglycaemia in diabetics.</t>
        </is>
      </c>
      <c r="G699" s="3" t="inlineStr">
        <is>
          <t>Headache, Fatigue, Nausea, Diarrhea, Increased serum bilirubin</t>
        </is>
      </c>
      <c r="H699" s="3" t="inlineStr">
        <is>
          <t>Consistent with the label, but incomplete. Missing: pruritus (17% in CKD 4–5), asthenia, angioedema (postmarketing), hepatic decompensation/failure, and hypoglycaemia in diabetics (TW 5.1.4).</t>
        </is>
      </c>
      <c r="I699" s="3" t="inlineStr">
        <is>
          <t>US FDA label 6.1/6.2 — https://dailymed.nlm.nih.gov/dailymed/drugInfo.cfm?setid=7bf99777-0401-9095-8645-16c6e907fcc0 ; Taiwan insert 5.1.4, 8</t>
        </is>
      </c>
      <c r="J699" s="3" t="inlineStr">
        <is>
          <t>Open</t>
        </is>
      </c>
      <c r="K699" s="3" t="inlineStr"/>
    </row>
    <row r="700">
      <c r="A700" s="3" t="n">
        <v>1442</v>
      </c>
      <c r="B700" s="3" t="inlineStr">
        <is>
          <t>Maviret (Glecaprevir/Pibrentasvir) (MAV01)</t>
        </is>
      </c>
      <c r="C700" s="8" t="inlineStr">
        <is>
          <t>Medium</t>
        </is>
      </c>
      <c r="D700" s="3" t="inlineStr">
        <is>
          <t>Adverse effects</t>
        </is>
      </c>
      <c r="E700" s="3" t="inlineStr"/>
      <c r="F700" s="3" t="inlineStr">
        <is>
          <t>Add pruritus (common in CKD/dialysis), angioedema, rash and hepatic decompensation.</t>
        </is>
      </c>
      <c r="G700" s="3" t="inlineStr">
        <is>
          <t>Headache, Fatigue, Nausea, Diarrhea, Increased serum bilirubin</t>
        </is>
      </c>
      <c r="H700" s="3" t="inlineStr">
        <is>
          <t>Correct as far as it goes, but leaves out pruritus (17% in CKD 4–5 / dialysis, a common population for this drug), postmarketing angioedema and rash, and hepatic decompensation/failure.</t>
        </is>
      </c>
      <c r="I700" s="3" t="inlineStr">
        <is>
          <t>TW insert 8.x, 8.3; US label 6.1, 6.2</t>
        </is>
      </c>
      <c r="J700" s="3" t="inlineStr">
        <is>
          <t>Open</t>
        </is>
      </c>
      <c r="K700" s="3" t="inlineStr"/>
    </row>
    <row r="701">
      <c r="A701" s="3" t="n">
        <v>1433</v>
      </c>
      <c r="B701" s="3" t="inlineStr">
        <is>
          <t>Maviret (Glecaprevir/Pibrentasvir) (MAV01)</t>
        </is>
      </c>
      <c r="C701" s="8" t="inlineStr">
        <is>
          <t>Medium</t>
        </is>
      </c>
      <c r="D701" s="3" t="inlineStr">
        <is>
          <t>Dosing – pediatric</t>
        </is>
      </c>
      <c r="E701" s="3" t="inlineStr"/>
      <c r="F701" s="3" t="inlineStr">
        <is>
          <t>Fill paediatric dose: ≥12 y adult dose; not established under 12 y (TW).</t>
        </is>
      </c>
      <c r="G701" s="3" t="inlineStr">
        <is>
          <t>(blank)</t>
        </is>
      </c>
      <c r="H701" s="3" t="inlineStr">
        <is>
          <t>≥12 y: no dose adjustment (adult dose). Safety and efficacy under 12 y not established in TW.</t>
        </is>
      </c>
      <c r="I701" s="3" t="inlineStr">
        <is>
          <t>Taiwan insert 6.4 小兒 — https://mcp.fda.gov.tw/im_detail_1/%E8%A1%9B%E9%83%A8%E8%97%A5%E8%BC%B8%E5%AD%97%E7%AC%AC027323%E8%99%9F</t>
        </is>
      </c>
      <c r="J701" s="3" t="inlineStr">
        <is>
          <t>Open</t>
        </is>
      </c>
      <c r="K701" s="3" t="inlineStr"/>
    </row>
    <row r="702">
      <c r="A702" s="3" t="n">
        <v>1443</v>
      </c>
      <c r="B702" s="3" t="inlineStr">
        <is>
          <t>Maviret (Glecaprevir/Pibrentasvir) (MAV01)</t>
        </is>
      </c>
      <c r="C702" s="8" t="inlineStr">
        <is>
          <t>Medium</t>
        </is>
      </c>
      <c r="D702" s="3" t="inlineStr">
        <is>
          <t>Dosing – pediatric</t>
        </is>
      </c>
      <c r="E702" s="3" t="inlineStr"/>
      <c r="F702" s="3" t="inlineStr">
        <is>
          <t>Fill paediatric dose: ≥12 y adult dose (3 tabs daily); &lt;12 y not established.</t>
        </is>
      </c>
      <c r="G702" s="3" t="inlineStr">
        <is>
          <t>(empty)</t>
        </is>
      </c>
      <c r="H702" s="3" t="inlineStr">
        <is>
          <t>TW: ≥12 y takes the adult dose (3 tabs QD); safety and efficacy below 12 y are not established in TW.</t>
        </is>
      </c>
      <c r="I702" s="3" t="inlineStr">
        <is>
          <t>TW insert §2, 3.1.2, 6.x 小兒</t>
        </is>
      </c>
      <c r="J702" s="3" t="inlineStr">
        <is>
          <t>Open</t>
        </is>
      </c>
      <c r="K702" s="3" t="inlineStr"/>
    </row>
    <row r="703">
      <c r="A703" s="3" t="n">
        <v>1428</v>
      </c>
      <c r="B703" s="3" t="inlineStr">
        <is>
          <t>Maviret (Glecaprevir/Pibrentasvir) (MAV01)</t>
        </is>
      </c>
      <c r="C703" s="8" t="inlineStr">
        <is>
          <t>Medium</t>
        </is>
      </c>
      <c r="D703" s="3" t="inlineStr">
        <is>
          <t>Indication/coverage</t>
        </is>
      </c>
      <c r="E703" s="3" t="inlineStr"/>
      <c r="F703" s="3" t="inlineStr">
        <is>
          <t>Update indication: acute or chronic HCV GT1–6, age ≥12 y (TW).</t>
        </is>
      </c>
      <c r="G703" s="3" t="inlineStr">
        <is>
          <t>Chronic hepatitis C infection #仿單變更2020</t>
        </is>
      </c>
      <c r="H703" s="3" t="inlineStr">
        <is>
          <t>Current TW insert: MAVIRET 適用於治療 12 歲以上急性或慢性 C 型肝炎病毒基因型 1–6 感染之病人. Acute HCV and the ≥12 y age limit are missing.</t>
        </is>
      </c>
      <c r="I703" s="3" t="inlineStr">
        <is>
          <t>Taiwan insert 2 適應症 — https://mcp.fda.gov.tw/im_detail_1/%E8%A1%9B%E9%83%A8%E8%97%A5%E8%BC%B8%E5%AD%97%E7%AC%AC027323%E8%99%9F</t>
        </is>
      </c>
      <c r="J703" s="3" t="inlineStr">
        <is>
          <t>Open</t>
        </is>
      </c>
      <c r="K703" s="3" t="inlineStr"/>
    </row>
    <row r="704">
      <c r="A704" s="3" t="n">
        <v>1436</v>
      </c>
      <c r="B704" s="3" t="inlineStr">
        <is>
          <t>Maviret (Glecaprevir/Pibrentasvir) (MAV01)</t>
        </is>
      </c>
      <c r="C704" s="8" t="inlineStr">
        <is>
          <t>Medium</t>
        </is>
      </c>
      <c r="D704" s="3" t="inlineStr">
        <is>
          <t>Indication/coverage</t>
        </is>
      </c>
      <c r="E704" s="3" t="inlineStr"/>
      <c r="F704" s="3" t="inlineStr">
        <is>
          <t>Add acute HCV and age ≥12 y to indication.</t>
        </is>
      </c>
      <c r="G704" s="3" t="inlineStr">
        <is>
          <t>抗病毒藥品 Chronic hepatitis C infection (#仿單變更2020)</t>
        </is>
      </c>
      <c r="H704" s="3" t="inlineStr">
        <is>
          <t>TW insert 2: ages ≥12 with acute OR chronic HCV GT1–6 (FDA/UK: ≥3 y, acute or chronic). The hospital page leaves out acute HCV and does not state the age limit.</t>
        </is>
      </c>
      <c r="I704" s="3" t="inlineStr">
        <is>
          <t>TW insert v3 114/12/12 §2 https://mcp.fda.gov.tw/im_detail_1/%E8%A1%9B%E9%83%A8%E8%97%A5%E8%BC%B8%E5%AD%97%E7%AC%AC027323%E8%99%9F</t>
        </is>
      </c>
      <c r="J704" s="3" t="inlineStr">
        <is>
          <t>Open</t>
        </is>
      </c>
      <c r="K704" s="3" t="inlineStr"/>
    </row>
    <row r="705">
      <c r="A705" s="3" t="n">
        <v>1434</v>
      </c>
      <c r="B705" s="3" t="inlineStr">
        <is>
          <t>Maviret (Glecaprevir/Pibrentasvir) (MAV01)</t>
        </is>
      </c>
      <c r="C705" s="8" t="inlineStr">
        <is>
          <t>Medium</t>
        </is>
      </c>
      <c r="D705" s="3" t="inlineStr">
        <is>
          <t>Pregnancy</t>
        </is>
      </c>
      <c r="E705" s="3" t="inlineStr"/>
      <c r="F705" s="3" t="inlineStr">
        <is>
          <t>Replace with label narrative risk summary; note case-by-case treatment per AASLD-IDSA.</t>
        </is>
      </c>
      <c r="G705" s="3" t="inlineStr">
        <is>
          <t>Treatment of HCV is not currently recommended for women who are already pregnant.</t>
        </is>
      </c>
      <c r="H705" s="3" t="inlineStr">
        <is>
          <t>The TW and FDA labels give only a narrative risk summary: no adequate human data and no adverse developmental effects in animals. They make no blanket recommendation. The UK SmPC says 'not recommended in pregnancy' as a precaution. The hospital wording is not from the TW label and does not reflect the 2023 AASLD-IDSA position that treatment can be considered case by case.</t>
        </is>
      </c>
      <c r="I705" s="3" t="inlineStr">
        <is>
          <t>Taiwan insert 6.1; US FDA label 8.1; UK SmPC 4.6 — https://www.medicines.org.uk/emc/product/763/smpc ; AASLD-IDSA 2023 PMID 37229695</t>
        </is>
      </c>
      <c r="J705" s="3" t="inlineStr">
        <is>
          <t>Open</t>
        </is>
      </c>
      <c r="K705" s="3" t="inlineStr"/>
    </row>
    <row r="706">
      <c r="A706" s="3" t="n">
        <v>390</v>
      </c>
      <c r="B706" s="3" t="inlineStr">
        <is>
          <t>Menocik (minocycline) (MEN04, MER01)</t>
        </is>
      </c>
      <c r="C706" s="8" t="inlineStr">
        <is>
          <t>Medium</t>
        </is>
      </c>
      <c r="D706" s="3" t="inlineStr">
        <is>
          <t>Contraindication/warning</t>
        </is>
      </c>
      <c r="E706" s="3" t="inlineStr"/>
      <c r="F706" s="3" t="inlineStr">
        <is>
          <t>Limit contraindication to tetracycline hypersensitivity; move liver, renal, MG, children to cautions</t>
        </is>
      </c>
      <c r="G706" s="3" t="inlineStr">
        <is>
          <t>1. Hypersensitivity to minocycline/tetracyclines; 2. Severe liver disease; 3. Complete renal failure; 4. Myasthenia gravis; plus use in children</t>
        </is>
      </c>
      <c r="H706" s="3" t="inlineStr">
        <is>
          <t>US FDA IV label CONTRAINDICATIONS lists only hypersensitivity to any tetracycline or any component. The Menocik Taiwan insert §4 lists only tetracycline hypersensitivity. Hepatic dysfunction is 'use with caution'. 'Complete renal failure' and 'children &lt;12 y' are contraindications only in the UK acne MR SmPC 4.3. Myasthenia gravis is only a caution in UK SmPC 4.4 ('Caution is advised... weak neuromuscular blockade'). Children &lt;8 y: US says not recommended unless benefits outweigh risks.</t>
        </is>
      </c>
      <c r="I706" s="3" t="inlineStr">
        <is>
          <t>https://dailymed.nlm.nih.gov/dailymed/drugInfo.cfm?setid=e415c323-8219-464b-9e3e-72c5a796cdaa ; https://mcp.fda.gov.tw/im_detail_1/%E8%A1%9B%E9%83%A8%E8%97%A5%E8%A3%BD%E5%AD%97%E7%AC%AC060447%E8%99%9F ; https://www.medicines.org.uk/emc/product/654/smpc</t>
        </is>
      </c>
      <c r="J706" s="3" t="inlineStr">
        <is>
          <t>Open</t>
        </is>
      </c>
      <c r="K706" s="3" t="inlineStr"/>
    </row>
    <row r="707">
      <c r="A707" s="3" t="n">
        <v>398</v>
      </c>
      <c r="B707" s="3" t="inlineStr">
        <is>
          <t>Menocik (minocycline) (MEN04, MER01)</t>
        </is>
      </c>
      <c r="C707" s="8" t="inlineStr">
        <is>
          <t>Medium</t>
        </is>
      </c>
      <c r="D707" s="3" t="inlineStr">
        <is>
          <t>Contraindication/warning</t>
        </is>
      </c>
      <c r="E707" s="3" t="inlineStr"/>
      <c r="F707" s="3" t="inlineStr">
        <is>
          <t>Contraindication only tetracycline hypersensitivity; others are cautions (UK MR product differs)</t>
        </is>
      </c>
      <c r="G707" s="3" t="inlineStr">
        <is>
          <t>1. Hypersensitivity to tetracyclines; 2. Severe liver disease; 3. Complete renal failure; 4. Myasthenia gravis; 5. Use in children</t>
        </is>
      </c>
      <c r="H707" s="3" t="inlineStr">
        <is>
          <t>The TW Menocik insert §4 and the FDA MINOCIN IV label contraindicate only tetracycline hypersensitivity. The UK SmPC (an acne MR capsule, a different product) does list complete renal failure and children under 12 as contraindications, but myasthenia gravis there is a caution only. No label lists severe liver disease as a contraindication; all say 'use with caution'.</t>
        </is>
      </c>
      <c r="I707" s="3" t="inlineStr">
        <is>
          <t>TW Menocik 仿單 §4 https://mcp.fda.gov.tw/im_detail_1/%E8%A1%9B%E9%83%A8%E8%97%A5%E8%A3%BD%E5%AD%97%E7%AC%AC060447%E8%99%9F ; FDA IV CONTRAINDICATIONS https://dailymed.nlm.nih.gov/dailymed/drugInfo.cfm?setid=e415c323-8219-464b-9e3e-72c5a796cdaa ; UK SmPC 4.3/4.4 https://www.medicines.org.uk/emc/product/654/smpc</t>
        </is>
      </c>
      <c r="J707" s="3" t="inlineStr">
        <is>
          <t>Open</t>
        </is>
      </c>
      <c r="K707" s="3" t="inlineStr"/>
    </row>
    <row r="708">
      <c r="A708" s="3" t="n">
        <v>395</v>
      </c>
      <c r="B708" s="3" t="inlineStr">
        <is>
          <t>Menocik (minocycline) (MEN04, MER01)</t>
        </is>
      </c>
      <c r="C708" s="8" t="inlineStr">
        <is>
          <t>Medium</t>
        </is>
      </c>
      <c r="D708" s="3" t="inlineStr">
        <is>
          <t>Indication/coverage</t>
        </is>
      </c>
      <c r="E708" s="3" t="inlineStr"/>
      <c r="F708" s="3" t="inlineStr">
        <is>
          <t>Use TW-approved indication text; remove periodontitis</t>
        </is>
      </c>
      <c r="G708" s="3" t="inlineStr">
        <is>
          <t>Micromedex-derived list: acne vulgaris, penicillin allergy-bacterial infection, amebic dysentery, M. marinum, periodontitis, etc.</t>
        </is>
      </c>
      <c r="H708" s="3" t="inlineStr">
        <is>
          <t>The Taiwan-approved indication (Mero insert §2) is '具感受性革蘭氏陰性及陽性菌，立克次氏體，巨型濾過性病毒所引起之感染症'. Periodontitis is not a labeled indication of the oral capsule in any source reviewed.</t>
        </is>
      </c>
      <c r="I708" s="3" t="inlineStr">
        <is>
          <t>https://mcp.fda.gov.tw/im_detail_1/%E8%A1%9B%E7%BD%B2%E8%97%A5%E8%A3%BD%E5%AD%97%E7%AC%AC036940%E8%99%9F</t>
        </is>
      </c>
      <c r="J708" s="3" t="inlineStr">
        <is>
          <t>Open</t>
        </is>
      </c>
      <c r="K708" s="3" t="inlineStr"/>
    </row>
    <row r="709">
      <c r="A709" s="3" t="n">
        <v>402</v>
      </c>
      <c r="B709" s="3" t="inlineStr">
        <is>
          <t>Menocik (minocycline) (MEN04, MER01)</t>
        </is>
      </c>
      <c r="C709" s="8" t="inlineStr">
        <is>
          <t>Medium</t>
        </is>
      </c>
      <c r="D709" s="3" t="inlineStr">
        <is>
          <t>Indication/coverage</t>
        </is>
      </c>
      <c r="E709" s="3" t="inlineStr"/>
      <c r="F709" s="3" t="inlineStr">
        <is>
          <t>Replace Micromedex list with TW-approved indication; acne not a TW indication</t>
        </is>
      </c>
      <c r="G709" s="3" t="inlineStr">
        <is>
          <t>Indication list taken from Micromedex (acne vulgaris, penicillin-allergy infections, amebic dysentery adjunct, anthrax, etc.)</t>
        </is>
      </c>
      <c r="H709" s="3" t="inlineStr">
        <is>
          <t>The TW-approved indication is '具感受性革蘭氏陰性及陽性菌，立克次氏體，巨型濾過性病毒所引起之感染症'. Acne is not a TW-label indication for Mero. In the US IV label, acne appears only as 'adjunctive therapy' for severe acne.</t>
        </is>
      </c>
      <c r="I709" s="3" t="inlineStr">
        <is>
          <t>TW Mero 仿單 §2 https://mcp.fda.gov.tw/im_detail_1/%E8%A1%9B%E7%BD%B2%E8%97%A5%E8%A3%BD%E5%AD%97%E7%AC%AC036940%E8%99%9F</t>
        </is>
      </c>
      <c r="J709" s="3" t="inlineStr">
        <is>
          <t>Open</t>
        </is>
      </c>
      <c r="K709" s="3" t="inlineStr"/>
    </row>
    <row r="710">
      <c r="A710" s="3" t="n">
        <v>2</v>
      </c>
      <c r="B710" s="3" t="inlineStr">
        <is>
          <t>Meropenem (MER02)</t>
        </is>
      </c>
      <c r="C710" s="8" t="inlineStr">
        <is>
          <t>Medium</t>
        </is>
      </c>
      <c r="D710" s="3" t="inlineStr">
        <is>
          <t>Breastfeeding</t>
        </is>
      </c>
      <c r="E710" s="3" t="inlineStr">
        <is>
          <t>LactMed outdated</t>
        </is>
      </c>
      <c r="F710" s="3" t="inlineStr">
        <is>
          <t>Update to LactMed: very low milk levels (RID ~0.15%), acceptable in breastfeeding</t>
        </is>
      </c>
      <c r="G710" s="3" t="inlineStr">
        <is>
          <t>Excretion in breast milk unknown / use caution</t>
        </is>
      </c>
      <c r="H710" s="3" t="inlineStr">
        <is>
          <t>Excreted at very low levels (RID 0.13–0.18%); acceptable during breastfeeding</t>
        </is>
      </c>
      <c r="I710" s="3" t="inlineStr">
        <is>
          <t>LactMed NBK501017 (rev. 2021)</t>
        </is>
      </c>
      <c r="J710" s="3" t="inlineStr">
        <is>
          <t>Open</t>
        </is>
      </c>
      <c r="K710" s="3" t="inlineStr"/>
    </row>
    <row r="711">
      <c r="A711" s="3" t="n">
        <v>4</v>
      </c>
      <c r="B711" s="3" t="inlineStr">
        <is>
          <t>Meropenem (MER02)</t>
        </is>
      </c>
      <c r="C711" s="8" t="inlineStr">
        <is>
          <t>Medium</t>
        </is>
      </c>
      <c r="D711" s="3" t="inlineStr">
        <is>
          <t>Pharmacokinetics/other</t>
        </is>
      </c>
      <c r="E711" s="3" t="inlineStr"/>
      <c r="F711" s="3" t="inlineStr">
        <is>
          <t>Correct CSF claim: CSF 1.1–3.3 mg/L vs plasma ~49 mg/L; CSF not equal to plasma</t>
        </is>
      </c>
      <c r="G711" s="3" t="inlineStr">
        <is>
          <t>"CSF concentrations approximate those of the plasma"</t>
        </is>
      </c>
      <c r="H711" s="3" t="inlineStr">
        <is>
          <t>CSF 1.1–3.3 mg/L (inflamed meninges, pediatric) vs plasma peak ~49 mg/L after 1 g</t>
        </is>
      </c>
      <c r="I711" s="3" t="inlineStr">
        <is>
          <t>US label §12.3</t>
        </is>
      </c>
      <c r="J711" s="3" t="inlineStr">
        <is>
          <t>Open</t>
        </is>
      </c>
      <c r="K711" s="3" t="inlineStr"/>
    </row>
    <row r="712">
      <c r="A712" s="3" t="n">
        <v>695</v>
      </c>
      <c r="B712" s="3" t="inlineStr">
        <is>
          <t>Mosflow (Moxifloxacin) (MOS04, FLO02)</t>
        </is>
      </c>
      <c r="C712" s="8" t="inlineStr">
        <is>
          <t>Medium</t>
        </is>
      </c>
      <c r="D712" s="3" t="inlineStr">
        <is>
          <t>Dosing – hepatic</t>
        </is>
      </c>
      <c r="E712" s="3" t="inlineStr"/>
      <c r="F712" s="3" t="inlineStr">
        <is>
          <t>Add QT caution in cirrhosis to MOS04; note UK contraindication in Child-Pugh C</t>
        </is>
      </c>
      <c r="G712" s="3" t="inlineStr">
        <is>
          <t>No dosage adjustment necessary (FLO02 adds QT caution; MOS04 does not)</t>
        </is>
      </c>
      <c r="H712" s="3" t="inlineStr">
        <is>
          <t>This matches the TW inserts and US 8.7, but US 8.7 and TW §5.1 (肝硬化…QT) both require caution, and MOS04 leaves that out. UK SmPC 4.3 contraindicates use in Child-Pugh C or transaminases &gt;5× ULN. This is informational, not a label conflict for the stocked product.</t>
        </is>
      </c>
      <c r="I712" s="3" t="inlineStr">
        <is>
          <t>https://mcp.fda.gov.tw/im_detail_1/%E8%A1%9B%E7%BD%B2%E8%97%A5%E8%A3%BD%E5%AD%97%E7%AC%AC057910%E8%99%9F ; https://www.medicines.org.uk/emc/product/6771/smpc</t>
        </is>
      </c>
      <c r="J712" s="3" t="inlineStr">
        <is>
          <t>Open</t>
        </is>
      </c>
      <c r="K712" s="3" t="inlineStr"/>
    </row>
    <row r="713">
      <c r="A713" s="3" t="n">
        <v>677</v>
      </c>
      <c r="B713" s="3" t="inlineStr">
        <is>
          <t>Mosflow (Moxifloxacin) (MOS04, FLO02)</t>
        </is>
      </c>
      <c r="C713" s="8" t="inlineStr">
        <is>
          <t>Medium</t>
        </is>
      </c>
      <c r="D713" s="3" t="inlineStr">
        <is>
          <t>Indication/coverage</t>
        </is>
      </c>
      <c r="E713" s="3" t="inlineStr"/>
      <c r="F713" s="3" t="inlineStr">
        <is>
          <t>Remove bacterial conjunctivitis and plague from FLO02 tablet indications (not on TW insert)</t>
        </is>
      </c>
      <c r="G713" s="3" t="inlineStr">
        <is>
          <t>Includes 'Bacterial conjunctivitis' and 'Plague; Treatment and Prophylaxis'.</t>
        </is>
      </c>
      <c r="H713" s="3" t="inlineStr">
        <is>
          <t>Bacterial conjunctivitis is an eye-drop indication only and is in no oral moxifloxacin label. Plague is on the US label only (1.5) and is not in the Floxsafe TW insert section 2, which lists sinusitis, AECB, CAP, SSTI and cIAI.</t>
        </is>
      </c>
      <c r="I713" s="3" t="inlineStr">
        <is>
          <t>Floxsafe 仿單 2 適應症 https://mcp.fda.gov.tw/im_detail_1/%E8%A1%9B%E9%83%A8%E8%97%A5%E8%BC%B8%E5%AD%97%E7%AC%AC026701%E8%99%9F</t>
        </is>
      </c>
      <c r="J713" s="3" t="inlineStr">
        <is>
          <t>Open</t>
        </is>
      </c>
      <c r="K713" s="3" t="inlineStr"/>
    </row>
    <row r="714">
      <c r="A714" s="3" t="n">
        <v>689</v>
      </c>
      <c r="B714" s="3" t="inlineStr">
        <is>
          <t>Mosflow (Moxifloxacin) (MOS04, FLO02)</t>
        </is>
      </c>
      <c r="C714" s="8" t="inlineStr">
        <is>
          <t>Medium</t>
        </is>
      </c>
      <c r="D714" s="3" t="inlineStr">
        <is>
          <t>Indication/coverage</t>
        </is>
      </c>
      <c r="E714" s="3" t="inlineStr"/>
      <c r="F714" s="3" t="inlineStr">
        <is>
          <t>Remove bacterial conjunctivitis from FLO02 tablet indications (ophthalmic only)</t>
        </is>
      </c>
      <c r="G714" s="3" t="inlineStr">
        <is>
          <t>Includes 'Bacterial conjunctivitis'</t>
        </is>
      </c>
      <c r="H714" s="3" t="inlineStr">
        <is>
          <t>Bacterial conjunctivitis is an indication only for ophthalmic moxifloxacin products. It is not in the Floxsafe tablet TW insert §2, the US tablet label sec 1 or the UK tablet SmPC 4.1.</t>
        </is>
      </c>
      <c r="I714" s="3" t="inlineStr">
        <is>
          <t>https://mcp.fda.gov.tw/im_detail_1/%E8%A1%9B%E9%83%A8%E8%97%A5%E8%BC%B8%E5%AD%97%E7%AC%AC026701%E8%99%9F ; https://dailymed.nlm.nih.gov/dailymed/drugInfo.cfm?setid=656f582c-ecba-4ec8-9420-9562114d889b</t>
        </is>
      </c>
      <c r="J714" s="3" t="inlineStr">
        <is>
          <t>Open</t>
        </is>
      </c>
      <c r="K714" s="3" t="inlineStr"/>
    </row>
    <row r="715">
      <c r="A715" s="3" t="n">
        <v>690</v>
      </c>
      <c r="B715" s="3" t="inlineStr">
        <is>
          <t>Mosflow (Moxifloxacin) (MOS04, FLO02)</t>
        </is>
      </c>
      <c r="C715" s="8" t="inlineStr">
        <is>
          <t>Medium</t>
        </is>
      </c>
      <c r="D715" s="3" t="inlineStr">
        <is>
          <t>Indication/coverage</t>
        </is>
      </c>
      <c r="E715" s="3" t="inlineStr"/>
      <c r="F715" s="3" t="inlineStr">
        <is>
          <t>Remove plague or flag as US-only indication not on Floxsafe TW insert</t>
        </is>
      </c>
      <c r="G715" s="3" t="inlineStr">
        <is>
          <t>Includes 'Plague; Treatment and Prophylaxis'</t>
        </is>
      </c>
      <c r="H715" s="3" t="inlineStr">
        <is>
          <t>Plague is approved only on the US label (sec 1.5, based on animal efficacy). It is not in the Floxsafe TW insert §2 (sinusitis, AECB, CAP, SSTI, cIAI only) or the UK SmPC.</t>
        </is>
      </c>
      <c r="I715" s="3" t="inlineStr">
        <is>
          <t>https://mcp.fda.gov.tw/im_detail_1/%E8%A1%9B%E9%83%A8%E8%97%A5%E8%BC%B8%E5%AD%97%E7%AC%AC026701%E8%99%9F ; https://dailymed.nlm.nih.gov/dailymed/drugInfo.cfm?setid=656f582c-ecba-4ec8-9420-9562114d889b</t>
        </is>
      </c>
      <c r="J715" s="3" t="inlineStr">
        <is>
          <t>Open</t>
        </is>
      </c>
      <c r="K715" s="3" t="inlineStr"/>
    </row>
    <row r="716">
      <c r="A716" s="3" t="n">
        <v>1137</v>
      </c>
      <c r="B716" s="3" t="inlineStr">
        <is>
          <t>Mycobutin (Rifabutin) (MYC07)</t>
        </is>
      </c>
      <c r="C716" s="8" t="inlineStr">
        <is>
          <t>Medium</t>
        </is>
      </c>
      <c r="D716" s="3" t="inlineStr">
        <is>
          <t>Breastfeeding</t>
        </is>
      </c>
      <c r="E716" s="3" t="inlineStr">
        <is>
          <t>LactMed outdated</t>
        </is>
      </c>
      <c r="F716" s="3" t="inlineStr">
        <is>
          <t>Update to LactMed: breastfeeding not discouraged, monitor infant liver, milk may discolour; note UK advice.</t>
        </is>
      </c>
      <c r="G716" s="3" t="inlineStr">
        <is>
          <t>Unknown whether excreted in milk; decide whether to discontinue nursing or the drug (old US wording).</t>
        </is>
      </c>
      <c r="H716" s="3" t="inlineStr">
        <is>
          <t>LactMed (2022) says breastfeeding should not be discouraged (CDC); monitor the infant for hepatotoxicity, and milk may turn brown-orange. The UK SmPC, by contrast, says not to use while breastfeeding.</t>
        </is>
      </c>
      <c r="I716" s="3" t="inlineStr">
        <is>
          <t>LactMed NBK501600 https://www.ncbi.nlm.nih.gov/books/NBK501600/; UK SmPC §4.6</t>
        </is>
      </c>
      <c r="J716" s="3" t="inlineStr">
        <is>
          <t>Open</t>
        </is>
      </c>
      <c r="K716" s="3" t="inlineStr"/>
    </row>
    <row r="717">
      <c r="A717" s="3" t="n">
        <v>1145</v>
      </c>
      <c r="B717" s="3" t="inlineStr">
        <is>
          <t>Mycobutin (Rifabutin) (MYC07)</t>
        </is>
      </c>
      <c r="C717" s="8" t="inlineStr">
        <is>
          <t>Medium</t>
        </is>
      </c>
      <c r="D717" s="3" t="inlineStr">
        <is>
          <t>Breastfeeding</t>
        </is>
      </c>
      <c r="E717" s="3" t="inlineStr">
        <is>
          <t>LactMed outdated</t>
        </is>
      </c>
      <c r="F717" s="3" t="inlineStr">
        <is>
          <t>Replace old US wording with LactMed: breastfeeding not discouraged, monitor infant liver.</t>
        </is>
      </c>
      <c r="G717" s="3" t="inlineStr">
        <is>
          <t>Not known if excreted in milk; decide whether to discontinue nursing or the drug (old US wording)</t>
        </is>
      </c>
      <c r="H717" s="3" t="inlineStr">
        <is>
          <t>LactMed: CDC and others say breastfeeding should not be discouraged; monitor the infant for liver toxicity; milk may turn brown-orange. UK §4.3/4.6: should not be used. 仿單 §6.2: no adequate studies.</t>
        </is>
      </c>
      <c r="I717" s="3" t="inlineStr">
        <is>
          <t>LactMed NBK501600 https://www.ncbi.nlm.nih.gov/books/NBK501600/ ; UK SmPC §4.6 https://www.medicines.org.uk/emc/product/1088/smpc</t>
        </is>
      </c>
      <c r="J717" s="3" t="inlineStr">
        <is>
          <t>Open</t>
        </is>
      </c>
      <c r="K717" s="3" t="inlineStr"/>
    </row>
    <row r="718">
      <c r="A718" s="3" t="n">
        <v>1133</v>
      </c>
      <c r="B718" s="3" t="inlineStr">
        <is>
          <t>Mycobutin (Rifabutin) (MYC07)</t>
        </is>
      </c>
      <c r="C718" s="8" t="inlineStr">
        <is>
          <t>Medium</t>
        </is>
      </c>
      <c r="D718" s="3" t="inlineStr">
        <is>
          <t>Dosing – hepatic</t>
        </is>
      </c>
      <c r="E718" s="3" t="inlineStr"/>
      <c r="F718" s="3" t="inlineStr">
        <is>
          <t>Add: no change in mild impairment; consider lower dose/caution in severe hepatic impairment.</t>
        </is>
      </c>
      <c r="G718" s="3" t="inlineStr">
        <is>
          <t>No dosage adjustments provided in manufacturer's labeling (has not been studied).</t>
        </is>
      </c>
      <c r="H718" s="3" t="inlineStr">
        <is>
          <t>All labels give guidance: mild impairment needs no adjustment (US/UK/TW). TW says to consider a lower dose in severe impairment and the UK says to use caution; the US says moderate–severe impairment has not been studied.</t>
        </is>
      </c>
      <c r="I718" s="3" t="inlineStr">
        <is>
          <t>TW 仿單 §5.1; UK SmPC §4.4; US label DOSAGE &amp; ADMINISTRATION</t>
        </is>
      </c>
      <c r="J718" s="3" t="inlineStr">
        <is>
          <t>Open</t>
        </is>
      </c>
      <c r="K718" s="3" t="inlineStr"/>
    </row>
    <row r="719">
      <c r="A719" s="3" t="n">
        <v>1141</v>
      </c>
      <c r="B719" s="3" t="inlineStr">
        <is>
          <t>Mycobutin (Rifabutin) (MYC07)</t>
        </is>
      </c>
      <c r="C719" s="8" t="inlineStr">
        <is>
          <t>Medium</t>
        </is>
      </c>
      <c r="D719" s="3" t="inlineStr">
        <is>
          <t>Dosing – hepatic</t>
        </is>
      </c>
      <c r="E719" s="3" t="inlineStr"/>
      <c r="F719" s="3" t="inlineStr">
        <is>
          <t>Replace 'not studied' with label guidance: no change mild; consider reduced dose in severe impairment.</t>
        </is>
      </c>
      <c r="G719" s="3" t="inlineStr">
        <is>
          <t>There are no dosage adjustments provided in manufacturer's labeling (has not been studied)</t>
        </is>
      </c>
      <c r="H719" s="3" t="inlineStr">
        <is>
          <t>仿單 §5.1: mild impairment needs no change; consider a lower dose in severe impairment. UK §4.4: caution in severe insufficiency. US: no change for mild impairment.</t>
        </is>
      </c>
      <c r="I719" s="3" t="inlineStr">
        <is>
          <t>仿單 §5.1 https://mcp.fda.gov.tw/im_detail_1/%E8%A1%9B%E7%BD%B2%E8%97%A5%E8%BC%B8%E5%AD%97%E7%AC%AC020999%E8%99%9F ; UK SmPC §4.4 https://www.medicines.org.uk/emc/product/1088/smpc</t>
        </is>
      </c>
      <c r="J719" s="3" t="inlineStr">
        <is>
          <t>Open</t>
        </is>
      </c>
      <c r="K719" s="3" t="inlineStr"/>
    </row>
    <row r="720">
      <c r="A720" s="3" t="n">
        <v>1136</v>
      </c>
      <c r="B720" s="3" t="inlineStr">
        <is>
          <t>Mycobutin (Rifabutin) (MYC07)</t>
        </is>
      </c>
      <c r="C720" s="8" t="inlineStr">
        <is>
          <t>Medium</t>
        </is>
      </c>
      <c r="D720" s="3" t="inlineStr">
        <is>
          <t>Dosing – pediatric</t>
        </is>
      </c>
      <c r="E720" s="3" t="inlineStr"/>
      <c r="F720" s="3" t="inlineStr">
        <is>
          <t>State no labelled paediatric dose; 5 mg/kg/day is only an upper limit, not a recommendation.</t>
        </is>
      </c>
      <c r="G720" s="3" t="inlineStr">
        <is>
          <t>5 mg/kg/day PO</t>
        </is>
      </c>
      <c r="H720" s="3" t="inlineStr">
        <is>
          <t>No label gives a pediatric dose: TW/UK say data are insufficient and the US says safety and efficacy are not established. The US says only that there is no evidence doses above 5 mg/kg/day are useful, which is a ceiling, not a recommended dose.</t>
        </is>
      </c>
      <c r="I720" s="3" t="inlineStr">
        <is>
          <t>TW 仿單 §3.3; UK SmPC §4.2; US label PEDIATRIC USE</t>
        </is>
      </c>
      <c r="J720" s="3" t="inlineStr">
        <is>
          <t>Open</t>
        </is>
      </c>
      <c r="K720" s="3" t="inlineStr"/>
    </row>
    <row r="721">
      <c r="A721" s="3" t="n">
        <v>1144</v>
      </c>
      <c r="B721" s="3" t="inlineStr">
        <is>
          <t>Mycobutin (Rifabutin) (MYC07)</t>
        </is>
      </c>
      <c r="C721" s="8" t="inlineStr">
        <is>
          <t>Medium</t>
        </is>
      </c>
      <c r="D721" s="3" t="inlineStr">
        <is>
          <t>Dosing – pediatric</t>
        </is>
      </c>
      <c r="E721" s="3" t="inlineStr"/>
      <c r="F721" s="3" t="inlineStr">
        <is>
          <t>State paediatric dose not established in any label; remove 5 mg/kg/day as recommended dose.</t>
        </is>
      </c>
      <c r="G721" s="3" t="inlineStr">
        <is>
          <t>5 mg/kg/day PO</t>
        </is>
      </c>
      <c r="H721" s="3" t="inlineStr">
        <is>
          <t>No labelled paediatric dose: 仿單 §3.3 says data are insufficient; UK §4.2 says no posology can be recommended; US says safety and effectiveness are not established and only that doses above 5 mg/kg/day are not shown to be useful</t>
        </is>
      </c>
      <c r="I721" s="3" t="inlineStr">
        <is>
          <t>仿單 §3.3 https://mcp.fda.gov.tw/im_detail_1/%E8%A1%9B%E7%BD%B2%E8%97%A5%E8%BC%B8%E5%AD%97%E7%AC%AC020999%E8%99%9F ; US Pediatric Use https://dailymed.nlm.nih.gov/dailymed/drugInfo.cfm?setid=baf8ec98-bd0c-4b87-a7ee-813335431b89 ; UK §4.2 https://www.medicines.org.uk/emc/product/1088/smpc</t>
        </is>
      </c>
      <c r="J721" s="3" t="inlineStr">
        <is>
          <t>Open</t>
        </is>
      </c>
      <c r="K721" s="3" t="inlineStr"/>
    </row>
    <row r="722">
      <c r="A722" s="3" t="n">
        <v>1142</v>
      </c>
      <c r="B722" s="3" t="inlineStr">
        <is>
          <t>Mycobutin (Rifabutin) (MYC07)</t>
        </is>
      </c>
      <c r="C722" s="8" t="inlineStr">
        <is>
          <t>Medium</t>
        </is>
      </c>
      <c r="D722" s="3" t="inlineStr">
        <is>
          <t>Indication/coverage</t>
        </is>
      </c>
      <c r="E722" s="3" t="inlineStr"/>
      <c r="F722" s="3" t="inlineStr">
        <is>
          <t>Add labelled indications: MAC prevention, pulmonary TB treatment, NTM and MDR chronic TB.</t>
        </is>
      </c>
      <c r="G722" s="3" t="inlineStr">
        <is>
          <t>Generic description; standalone use described only as MAC prevention in HIV, with combination use mentioned only loosely</t>
        </is>
      </c>
      <c r="H722" s="3" t="inlineStr">
        <is>
          <t>仿單 §2 approves MAC prevention in immunosuppressed patients AND treatment of pulmonary TB; the 說明 adds MAC/NTM (e.g. M. xenopi) and MDR chronic TB. UK §4.1: MAC prophylaxis, NTM treatment, pulmonary TB.</t>
        </is>
      </c>
      <c r="I722" s="3" t="inlineStr">
        <is>
          <t>仿單 §2 https://mcp.fda.gov.tw/im_detail_1/%E8%A1%9B%E7%BD%B2%E8%97%A5%E8%BC%B8%E5%AD%97%E7%AC%AC020999%E8%99%9F ; UK SmPC §4.1 https://www.medicines.org.uk/emc/product/1088/smpc</t>
        </is>
      </c>
      <c r="J722" s="3" t="inlineStr">
        <is>
          <t>Open</t>
        </is>
      </c>
      <c r="K722" s="3" t="inlineStr"/>
    </row>
    <row r="723">
      <c r="A723" s="3" t="n">
        <v>1148</v>
      </c>
      <c r="B723" s="3" t="inlineStr">
        <is>
          <t>Mycobutin (Rifabutin) (MYC07)</t>
        </is>
      </c>
      <c r="C723" s="8" t="inlineStr">
        <is>
          <t>Medium</t>
        </is>
      </c>
      <c r="D723" s="3" t="inlineStr">
        <is>
          <t>Pharmacokinetics/other</t>
        </is>
      </c>
      <c r="E723" s="3" t="inlineStr"/>
      <c r="F723" s="3" t="inlineStr">
        <is>
          <t>Apply same corrections to MYC09 or confirm it is inactive and retire it.</t>
        </is>
      </c>
      <c r="G723" s="3" t="inlineStr">
        <is>
          <t>Second code with the same monograph text (same Pregnancy B, renal, hepatic and paediatric issues); shown with a ban icon, so probably inactive</t>
        </is>
      </c>
      <c r="H723" s="3" t="inlineStr">
        <is>
          <t>Same issues as above apply. Confirm whether MYC09 is still active; the brief did not mention it.</t>
        </is>
      </c>
      <c r="I723" s="3" t="inlineStr">
        <is>
          <t>https://pharmacy.fjuh.fju.edu.tw/Key_Search/P4?query=MYC09</t>
        </is>
      </c>
      <c r="J723" s="3" t="inlineStr">
        <is>
          <t>Open</t>
        </is>
      </c>
      <c r="K723" s="3" t="inlineStr"/>
    </row>
    <row r="724">
      <c r="A724" s="3" t="n">
        <v>215</v>
      </c>
      <c r="B724" s="3" t="inlineStr">
        <is>
          <t>Myfungin (Micafungin) (MYF02)</t>
        </is>
      </c>
      <c r="C724" s="8" t="inlineStr">
        <is>
          <t>Medium</t>
        </is>
      </c>
      <c r="D724" s="3" t="inlineStr">
        <is>
          <t>Adverse effects</t>
        </is>
      </c>
      <c r="E724" s="3" t="inlineStr"/>
      <c r="F724" s="3" t="inlineStr">
        <is>
          <t>Update common ADRs; add anaphylaxis, hemolysis, hepatic and renal warnings</t>
        </is>
      </c>
      <c r="G724" s="3" t="inlineStr">
        <is>
          <t>Common: diarrhea, nausea, vomiting, hypoglycemia, fever, hyperkalemia</t>
        </is>
      </c>
      <c r="H724" s="3" t="inlineStr">
        <is>
          <t>Label's most common reactions: diarrhea, nausea, vomiting, abdominal pain, pyrexia, thrombocytopenia, neutropenia, headache. Hypoglycemia (6%) and hyperkalemia (5%) come from a single trial table (micafungin vs caspofungin). The hospital list also leaves out the W&amp;P items: anaphylaxis, hemolysis, hepatic effects, renal effects, infusion/injection-site reactions.</t>
        </is>
      </c>
      <c r="I724" s="3" t="inlineStr">
        <is>
          <t>US label Highlights §6, §5.1–5.5, §6.1 Table (candidemia trial) https://dailymed.nlm.nih.gov/dailymed/drugInfo.cfm?setid=653f8c75-b5b8-41ea-8b33-5baad1680bda ; Taiwan insert §5.1, §8</t>
        </is>
      </c>
      <c r="J724" s="3" t="inlineStr">
        <is>
          <t>Open</t>
        </is>
      </c>
      <c r="K724" s="3" t="inlineStr"/>
    </row>
    <row r="725">
      <c r="A725" s="3" t="n">
        <v>219</v>
      </c>
      <c r="B725" s="3" t="inlineStr">
        <is>
          <t>Myfungin (Micafungin) (MYF02)</t>
        </is>
      </c>
      <c r="C725" s="8" t="inlineStr">
        <is>
          <t>Medium</t>
        </is>
      </c>
      <c r="D725" s="3" t="inlineStr">
        <is>
          <t>Adverse effects</t>
        </is>
      </c>
      <c r="E725" s="3" t="inlineStr"/>
      <c r="F725" s="3" t="inlineStr">
        <is>
          <t>Add labelled warnings: anaphylaxis, hemolysis, hepatotoxicity, renal effects</t>
        </is>
      </c>
      <c r="G725" s="3" t="inlineStr">
        <is>
          <t>Common: diarrhea, nausea, vomiting, hypoglycemia, fever, hyperkalemia. No mention of hemolysis, hepatotoxicity or anaphylaxis.</t>
        </is>
      </c>
      <c r="H725" s="3" t="inlineStr">
        <is>
          <t>Most common across trials: diarrhea, nausea, vomiting, abdominal pain, pyrexia, thrombocytopenia, neutropenia, headache. Hypoglycemia (6%) and hyperkalemia (5%) come from one candidemia trial table (Table 3). Labeled warnings: anaphylaxis/shock, hemolysis/hemolytic anemia, hepatic dysfunction/failure, BUN/creatinine rise, infusion-site reactions.</t>
        </is>
      </c>
      <c r="I725" s="3" t="inlineStr">
        <is>
          <t>US label Highlights §6 and §5.1–5.5; Taiwan insert 5.1, 8.1–8.2</t>
        </is>
      </c>
      <c r="J725" s="3" t="inlineStr">
        <is>
          <t>Open</t>
        </is>
      </c>
      <c r="K725" s="3" t="inlineStr"/>
    </row>
    <row r="726">
      <c r="A726" s="3" t="n">
        <v>216</v>
      </c>
      <c r="B726" s="3" t="inlineStr">
        <is>
          <t>Myfungin (Micafungin) (MYF02)</t>
        </is>
      </c>
      <c r="C726" s="8" t="inlineStr">
        <is>
          <t>Medium</t>
        </is>
      </c>
      <c r="D726" s="3" t="inlineStr">
        <is>
          <t>Breastfeeding</t>
        </is>
      </c>
      <c r="E726" s="3" t="inlineStr">
        <is>
          <t>LactMed outdated</t>
        </is>
      </c>
      <c r="F726" s="3" t="inlineStr">
        <is>
          <t>Update per LactMed: unlikely to reach infant; not a reason to stop breastfeeding</t>
        </is>
      </c>
      <c r="G726" s="3" t="inlineStr">
        <is>
          <t>Unknown; use with caution</t>
        </is>
      </c>
      <c r="H726" s="3" t="inlineStr">
        <is>
          <t>LactMed: no human data, but &gt;99% protein-bound with poor oral bioavailability, so unlikely to reach the infant; not a reason to discontinue breastfeeding</t>
        </is>
      </c>
      <c r="I726" s="3" t="inlineStr">
        <is>
          <t>LactMed NBK574072 (rev 2025-04-15) https://www.ncbi.nlm.nih.gov/books/NBK574072/</t>
        </is>
      </c>
      <c r="J726" s="3" t="inlineStr">
        <is>
          <t>Open</t>
        </is>
      </c>
      <c r="K726" s="3" t="inlineStr"/>
    </row>
    <row r="727">
      <c r="A727" s="3" t="n">
        <v>220</v>
      </c>
      <c r="B727" s="3" t="inlineStr">
        <is>
          <t>Myfungin (Micafungin) (MYF02)</t>
        </is>
      </c>
      <c r="C727" s="8" t="inlineStr">
        <is>
          <t>Medium</t>
        </is>
      </c>
      <c r="D727" s="3" t="inlineStr">
        <is>
          <t>Breastfeeding</t>
        </is>
      </c>
      <c r="E727" s="3" t="inlineStr">
        <is>
          <t>LactMed outdated</t>
        </is>
      </c>
      <c r="F727" s="3" t="inlineStr">
        <is>
          <t>Update per LactMed: not a reason to discontinue breastfeeding</t>
        </is>
      </c>
      <c r="G727" s="3" t="inlineStr">
        <is>
          <t>Unknown; use with caution</t>
        </is>
      </c>
      <c r="H727" s="3" t="inlineStr">
        <is>
          <t>No human data, but &gt;99% protein-bound with poor oral bioavailability, so unlikely to reach the infant. Not a reason to discontinue breastfeeding.</t>
        </is>
      </c>
      <c r="I727" s="3" t="inlineStr">
        <is>
          <t>LactMed NBK574072 (rev 2025-04-15), https://www.ncbi.nlm.nih.gov/books/NBK574072/</t>
        </is>
      </c>
      <c r="J727" s="3" t="inlineStr">
        <is>
          <t>Open</t>
        </is>
      </c>
      <c r="K727" s="3" t="inlineStr"/>
    </row>
    <row r="728">
      <c r="A728" s="3" t="n">
        <v>213</v>
      </c>
      <c r="B728" s="3" t="inlineStr">
        <is>
          <t>Myfungin (Micafungin) (MYF02)</t>
        </is>
      </c>
      <c r="C728" s="8" t="inlineStr">
        <is>
          <t>Medium</t>
        </is>
      </c>
      <c r="D728" s="3" t="inlineStr">
        <is>
          <t>Dosing – adult</t>
        </is>
      </c>
      <c r="E728" s="3" t="inlineStr"/>
      <c r="F728" s="3" t="inlineStr">
        <is>
          <t>HSCT prophylaxis: 50 mg once daily (remove 100 mg)</t>
        </is>
      </c>
      <c r="G728" s="3" t="inlineStr">
        <is>
          <t>50–100 mg once daily</t>
        </is>
      </c>
      <c r="H728" s="3" t="inlineStr">
        <is>
          <t>50 mg once daily (Taiwan insert 表1; US Table 1; UK SmPC 4.2)</t>
        </is>
      </c>
      <c r="I728" s="3" t="inlineStr">
        <is>
          <t>Taiwan insert Myfungin 衛部藥製字第060897號 §3.1 https://mcp.fda.gov.tw/im_detail_1/%E8%A1%9B%E9%83%A8%E8%97%A5%E8%A3%BD%E5%AD%97%E7%AC%AC060897%E8%99%9F ; US label §2.1 https://dailymed.nlm.nih.gov/dailymed/drugInfo.cfm?setid=653f8c75-b5b8-41ea-8b33-5baad1680bda</t>
        </is>
      </c>
      <c r="J728" s="3" t="inlineStr">
        <is>
          <t>Open</t>
        </is>
      </c>
      <c r="K728" s="3" t="inlineStr"/>
    </row>
    <row r="729">
      <c r="A729" s="3" t="n">
        <v>217</v>
      </c>
      <c r="B729" s="3" t="inlineStr">
        <is>
          <t>Myfungin (Micafungin) (MYF02)</t>
        </is>
      </c>
      <c r="C729" s="8" t="inlineStr">
        <is>
          <t>Medium</t>
        </is>
      </c>
      <c r="D729" s="3" t="inlineStr">
        <is>
          <t>Dosing – adult</t>
        </is>
      </c>
      <c r="E729" s="3" t="inlineStr"/>
      <c r="F729" s="3" t="inlineStr">
        <is>
          <t>HSCT prophylaxis 50 mg once daily per all labels</t>
        </is>
      </c>
      <c r="G729" s="3" t="inlineStr">
        <is>
          <t>50–100 mg once daily</t>
        </is>
      </c>
      <c r="H729" s="3" t="inlineStr">
        <is>
          <t>50 mg once daily. TW 表1 says '預防HSCT念珠菌感染 50 mg qd', and US Table 1 and UK SmPC 4.2 also give 50 mg/day; no label gives 100 mg for prophylaxis.</t>
        </is>
      </c>
      <c r="I729" s="3" t="inlineStr">
        <is>
          <t>Taiwan insert 衛部藥製字第060897號 表1 (https://mcp.fda.gov.tw/im_detail_1/%E8%A1%9B%E9%83%A8%E8%97%A5%E8%A3%BD%E5%AD%97%E7%AC%AC060897%E8%99%9F); US label §2.1; UK SmPC 4.2. Hospital value taken from the source brief; my own query of the hospital site returned HTTP 500.</t>
        </is>
      </c>
      <c r="J729" s="3" t="inlineStr">
        <is>
          <t>Open</t>
        </is>
      </c>
      <c r="K729" s="3" t="inlineStr"/>
    </row>
    <row r="730">
      <c r="A730" s="3" t="n">
        <v>214</v>
      </c>
      <c r="B730" s="3" t="inlineStr">
        <is>
          <t>Myfungin (Micafungin) (MYF02)</t>
        </is>
      </c>
      <c r="C730" s="8" t="inlineStr">
        <is>
          <t>Medium</t>
        </is>
      </c>
      <c r="D730" s="3" t="inlineStr">
        <is>
          <t>Dosing – pediatric</t>
        </is>
      </c>
      <c r="E730" s="3" t="inlineStr"/>
      <c r="F730" s="3" t="inlineStr">
        <is>
          <t>Add infants &lt;4 months: 4 mg/kg once daily for candidemia/disseminated candidiasis</t>
        </is>
      </c>
      <c r="G730" s="3" t="inlineStr">
        <is>
          <t>Indications and pediatric dosing listed for ≥4 months only</t>
        </is>
      </c>
      <c r="H730" s="3" t="inlineStr">
        <is>
          <t>Also approved for infants under 4 months: candidemia, disseminated candidiasis and Candida peritonitis/abscesses without meningoencephalitis or ocular dissemination, 4 mg/kg once daily (TW §2, §3.1; US §1, §2.3). UK: 4–10 mg/kg/day including neonates.</t>
        </is>
      </c>
      <c r="I730" s="3" t="inlineStr">
        <is>
          <t>Taiwan insert §2, §3.1, §6.4; US label §1, §2.3, §8.4</t>
        </is>
      </c>
      <c r="J730" s="3" t="inlineStr">
        <is>
          <t>Open</t>
        </is>
      </c>
      <c r="K730" s="3" t="inlineStr"/>
    </row>
    <row r="731">
      <c r="A731" s="3" t="n">
        <v>218</v>
      </c>
      <c r="B731" s="3" t="inlineStr">
        <is>
          <t>Myfungin (Micafungin) (MYF02)</t>
        </is>
      </c>
      <c r="C731" s="8" t="inlineStr">
        <is>
          <t>Medium</t>
        </is>
      </c>
      <c r="D731" s="3" t="inlineStr">
        <is>
          <t>Dosing – pediatric</t>
        </is>
      </c>
      <c r="E731" s="3" t="inlineStr"/>
      <c r="F731" s="3" t="inlineStr">
        <is>
          <t>Add &lt;4 months indications and 4 mg/kg once daily dosing</t>
        </is>
      </c>
      <c r="G731" s="3" t="inlineStr">
        <is>
          <t>Indications and pediatric dosing listed for 4 months and older only</t>
        </is>
      </c>
      <c r="H731" s="3" t="inlineStr">
        <is>
          <t>TW and US also approve candidemia, acute disseminated candidiasis, peritonitis and abscesses without meningoencephalitis or ocular dissemination in infants under 4 months, at 4 mg/kg once daily.</t>
        </is>
      </c>
      <c r="I731" s="3" t="inlineStr">
        <is>
          <t>Taiwan insert 2 適應症, 3.1 未滿4個月的兒童病人劑量; US label §1, §2.3</t>
        </is>
      </c>
      <c r="J731" s="3" t="inlineStr">
        <is>
          <t>Open</t>
        </is>
      </c>
      <c r="K731" s="3" t="inlineStr"/>
    </row>
    <row r="732">
      <c r="A732" s="3" t="n">
        <v>1292</v>
      </c>
      <c r="B732" s="3" t="inlineStr">
        <is>
          <t>Odefsey (Rilpivirine/Emtricitabine/TAF) (ODE01)</t>
        </is>
      </c>
      <c r="C732" s="8" t="inlineStr">
        <is>
          <t>Medium</t>
        </is>
      </c>
      <c r="D732" s="3" t="inlineStr">
        <is>
          <t>Adverse effects</t>
        </is>
      </c>
      <c r="E732" s="3" t="inlineStr"/>
      <c r="F732" s="3" t="inlineStr">
        <is>
          <t>Remove fever; add depression, headache, dizziness and HBV flare on discontinuation.</t>
        </is>
      </c>
      <c r="G732" s="3" t="inlineStr">
        <is>
          <t>腹瀉、嘔吐、昏睡、失眠、發燒厭食、高三酸甘油脂血症、關節痛</t>
        </is>
      </c>
      <c r="H732" s="3" t="inlineStr">
        <is>
          <t>The TW table has no fever (發燒) ADR; fever appears only as a systemic symptom of a severe skin reaction. The list leaves out depression, headache and dizziness (very common or common) and the boxed-warning HBV flare.</t>
        </is>
      </c>
      <c r="I732" s="3" t="inlineStr">
        <is>
          <t>TW insert 8 (table: 食慾降低, 三酸甘油脂升高, 關節痛 uncommon; 憂鬱, 頭痛, 暈眩) — https://mcp.fda.gov.tw/im_detail_1/%E8%A1%9B%E9%83%A8%E8%97%A5%E8%BC%B8%E5%AD%97%E7%AC%AC027505%E8%99%9F</t>
        </is>
      </c>
      <c r="J732" s="3" t="inlineStr">
        <is>
          <t>Open</t>
        </is>
      </c>
      <c r="K732" s="3" t="inlineStr"/>
    </row>
    <row r="733">
      <c r="A733" s="3" t="n">
        <v>1278</v>
      </c>
      <c r="B733" s="3" t="inlineStr">
        <is>
          <t>Odefsey (Rilpivirine/Emtricitabine/TAF) (ODE01)</t>
        </is>
      </c>
      <c r="C733" s="8" t="inlineStr">
        <is>
          <t>Medium</t>
        </is>
      </c>
      <c r="D733" s="3" t="inlineStr">
        <is>
          <t>Dosing – adult</t>
        </is>
      </c>
      <c r="E733" s="3" t="inlineStr"/>
      <c r="F733" s="3" t="inlineStr">
        <is>
          <t>Remove unlabelled CD4 ≤200 criterion or cite guideline; label restricts HIV RNA &gt;100,000 only.</t>
        </is>
      </c>
      <c r="G733" s="3" t="inlineStr">
        <is>
          <t>Do not use in patients with HIV RNA ≥100,000 copies/mL and/or CD4 count ≤200 cells/mm3</t>
        </is>
      </c>
      <c r="H733" s="3" t="inlineStr">
        <is>
          <t>None of the three labels has a CD4 criterion; they restrict initial therapy to HIV-1 RNA ≤100,000 copies/mL only. A CD4 limit could only be sourced from a guideline (not verified here)</t>
        </is>
      </c>
      <c r="I733" s="3" t="inlineStr">
        <is>
          <t>US §1; TW §2; UK §4.1</t>
        </is>
      </c>
      <c r="J733" s="3" t="inlineStr">
        <is>
          <t>Open</t>
        </is>
      </c>
      <c r="K733" s="3" t="inlineStr"/>
    </row>
    <row r="734">
      <c r="A734" s="3" t="n">
        <v>1280</v>
      </c>
      <c r="B734" s="3" t="inlineStr">
        <is>
          <t>Odefsey (Rilpivirine/Emtricitabine/TAF) (ODE01)</t>
        </is>
      </c>
      <c r="C734" s="8" t="inlineStr">
        <is>
          <t>Medium</t>
        </is>
      </c>
      <c r="D734" s="3" t="inlineStr">
        <is>
          <t>Dosing – hepatic</t>
        </is>
      </c>
      <c r="E734" s="3" t="inlineStr"/>
      <c r="F734" s="3" t="inlineStr">
        <is>
          <t>State Child-Pugh C not recommended (not studied); caution in Child-Pugh B.</t>
        </is>
      </c>
      <c r="G734" s="3" t="inlineStr">
        <is>
          <t>Severe impairment (Child-Pugh C): No dosage adjustments provided in the manufacturer's labeling (has not been studied)</t>
        </is>
      </c>
      <c r="H734" s="3" t="inlineStr">
        <is>
          <t>TW/UK: not studied, therefore not recommended (不建議) in Child-Pugh C; use with caution in Child-Pugh B</t>
        </is>
      </c>
      <c r="I734" s="3" t="inlineStr">
        <is>
          <t>TW 仿單 §3.3 肝功能不全; UK SmPC §4.2</t>
        </is>
      </c>
      <c r="J734" s="3" t="inlineStr">
        <is>
          <t>Open</t>
        </is>
      </c>
      <c r="K734" s="3" t="inlineStr"/>
    </row>
    <row r="735">
      <c r="A735" s="3" t="n">
        <v>1291</v>
      </c>
      <c r="B735" s="3" t="inlineStr">
        <is>
          <t>Odefsey (Rilpivirine/Emtricitabine/TAF) (ODE01)</t>
        </is>
      </c>
      <c r="C735" s="8" t="inlineStr">
        <is>
          <t>Medium</t>
        </is>
      </c>
      <c r="D735" s="3" t="inlineStr">
        <is>
          <t>Dosing – hepatic</t>
        </is>
      </c>
      <c r="E735" s="3" t="inlineStr"/>
      <c r="F735" s="3" t="inlineStr">
        <is>
          <t>Add Child-Pugh C not recommended and caution in Child-Pugh B.</t>
        </is>
      </c>
      <c r="G735" s="3" t="inlineStr">
        <is>
          <t>Child-Pugh C: no dosage adjustments provided (not studied); A/B no adjustment (no caution mentioned)</t>
        </is>
      </c>
      <c r="H735" s="3" t="inlineStr">
        <is>
          <t>TW/UK: Child-Pugh C is not recommended, and Child-Pugh B needs caution.</t>
        </is>
      </c>
      <c r="I735" s="3" t="inlineStr">
        <is>
          <t>TW insert 3.3 肝功能不全; UK SmPC 4.2</t>
        </is>
      </c>
      <c r="J735" s="3" t="inlineStr">
        <is>
          <t>Open</t>
        </is>
      </c>
      <c r="K735" s="3" t="inlineStr"/>
    </row>
    <row r="736">
      <c r="A736" s="3" t="n">
        <v>1282</v>
      </c>
      <c r="B736" s="3" t="inlineStr">
        <is>
          <t>Odefsey (Rilpivirine/Emtricitabine/TAF) (ODE01)</t>
        </is>
      </c>
      <c r="C736" s="8" t="inlineStr">
        <is>
          <t>Medium</t>
        </is>
      </c>
      <c r="D736" s="3" t="inlineStr">
        <is>
          <t>Dosing – pediatric</t>
        </is>
      </c>
      <c r="E736" s="3" t="inlineStr"/>
      <c r="F736" s="3" t="inlineStr">
        <is>
          <t>Use ≥12 y AND ≥35 kg (inclusive) in indication and pediatric fields; note US ≥25 kg.</t>
        </is>
      </c>
      <c r="G736" s="3" t="inlineStr">
        <is>
          <t>Indication '≥12 y/o' (no weight); pediatric 'Children &gt;12 years and Adolescents weighing &gt;35 kg'</t>
        </is>
      </c>
      <c r="H736" s="3" t="inlineStr">
        <is>
          <t>TW/UK: ≥12 y AND ≥35 kg (inclusive). The US label now allows ≥25 kg (efficacy from age 6 y)</t>
        </is>
      </c>
      <c r="I736" s="3" t="inlineStr">
        <is>
          <t>TW 仿單 §2; US §1, §8.4</t>
        </is>
      </c>
      <c r="J736" s="3" t="inlineStr">
        <is>
          <t>Open</t>
        </is>
      </c>
      <c r="K736" s="3" t="inlineStr"/>
    </row>
    <row r="737">
      <c r="A737" s="3" t="n">
        <v>1281</v>
      </c>
      <c r="B737" s="3" t="inlineStr">
        <is>
          <t>Odefsey (Rilpivirine/Emtricitabine/TAF) (ODE01)</t>
        </is>
      </c>
      <c r="C737" s="8" t="inlineStr">
        <is>
          <t>Medium</t>
        </is>
      </c>
      <c r="D737" s="3" t="inlineStr">
        <is>
          <t>Indication/coverage</t>
        </is>
      </c>
      <c r="E737" s="3" t="inlineStr"/>
      <c r="F737" s="3" t="inlineStr">
        <is>
          <t>Restore text lost at '&lt;': suppressed HIV-1 RNA &lt;50 copies/mL; not established &lt;12 y or &lt;35 kg.</t>
        </is>
      </c>
      <c r="G737" s="3" t="inlineStr">
        <is>
          <t>'To replace a stable antiretroviral regimen in those who are virologically suppressed (HIV-1 RNA ' [cut off]; '1. Ages  Not recommended' [cut off]</t>
        </is>
      </c>
      <c r="H737" s="3" t="inlineStr">
        <is>
          <t>Full statements: suppressed with HIV-1 RNA &lt;50 copies/mL; not established for &lt;12 y or &lt;35 kg (TW). The '&lt;' characters break the HTML and the text is lost</t>
        </is>
      </c>
      <c r="I737" s="3" t="inlineStr">
        <is>
          <t>TW 仿單 §2, §3.3</t>
        </is>
      </c>
      <c r="J737" s="3" t="inlineStr">
        <is>
          <t>Open</t>
        </is>
      </c>
      <c r="K737" s="3" t="inlineStr"/>
    </row>
    <row r="738">
      <c r="A738" s="3" t="n">
        <v>1287</v>
      </c>
      <c r="B738" s="3" t="inlineStr">
        <is>
          <t>Odefsey (Rilpivirine/Emtricitabine/TAF) (ODE01)</t>
        </is>
      </c>
      <c r="C738" s="8" t="inlineStr">
        <is>
          <t>Medium</t>
        </is>
      </c>
      <c r="D738" s="3" t="inlineStr">
        <is>
          <t>Indication/coverage</t>
        </is>
      </c>
      <c r="E738" s="3" t="inlineStr"/>
      <c r="F738" s="3" t="inlineStr">
        <is>
          <t>Clarify VL ≥100,000 limit applies to initial therapy only; CD4 ≤200 is not a label restriction.</t>
        </is>
      </c>
      <c r="G738" s="3" t="inlineStr">
        <is>
          <t>Do not use in patients with HIV RNA ≥100,000 copies/mL and/or CD4 count ≤200 cells/mm3</t>
        </is>
      </c>
      <c r="H738" s="3" t="inlineStr">
        <is>
          <t>In the labels the VL ≤100,000 limit applies only to initial therapy (a suppressed patient may switch). CD4 ≤200 is not a label restriction: US 14/12.4 only reports a lower response (68% vs 82%) and more resistance when CD4 is below 200. The statement mixes label and guideline content without attribution.</t>
        </is>
      </c>
      <c r="I738" s="3" t="inlineStr">
        <is>
          <t>US label 1, 12.4 — https://dailymed.nlm.nih.gov/dailymed/drugInfo.cfm?setid=ea3b9ec8-e04a-412c-8b3f-e5cbc7e641d5 ; TW insert 2 — https://mcp.fda.gov.tw/im_detail_1/%E8%A1%9B%E9%83%A8%E8%97%A5%E8%BC%B8%E5%AD%97%E7%AC%AC027505%E8%99%9F</t>
        </is>
      </c>
      <c r="J738" s="3" t="inlineStr">
        <is>
          <t>Open</t>
        </is>
      </c>
      <c r="K738" s="3" t="inlineStr"/>
    </row>
    <row r="739">
      <c r="A739" s="3" t="n">
        <v>1288</v>
      </c>
      <c r="B739" s="3" t="inlineStr">
        <is>
          <t>Odefsey (Rilpivirine/Emtricitabine/TAF) (ODE01)</t>
        </is>
      </c>
      <c r="C739" s="8" t="inlineStr">
        <is>
          <t>Medium</t>
        </is>
      </c>
      <c r="D739" s="3" t="inlineStr">
        <is>
          <t>Pharmacokinetics/other</t>
        </is>
      </c>
      <c r="E739" s="3" t="inlineStr"/>
      <c r="F739" s="3" t="inlineStr">
        <is>
          <t>Fix HTML '&lt;' truncation in indication, pediatric and renal fields; restore full statements.</t>
        </is>
      </c>
      <c r="G739" s="3" t="inlineStr">
        <is>
          <t>'(HIV-1 RNA ' / '1. Ages ... Not recommended' / '2. CrCl ... not recommended': text is cut off at the '&lt;' character</t>
        </is>
      </c>
      <c r="H739" s="3" t="inlineStr">
        <is>
          <t>The full statements are: switch in patients suppressed below 50 copies/mL; not established under 12 y or under 35 kg (TW/UK; US under 25 kg); avoid at CrCl 15–29 or below 15 without HD.</t>
        </is>
      </c>
      <c r="I739" s="3" t="inlineStr">
        <is>
          <t>TW insert 2, 3.3 — https://mcp.fda.gov.tw/im_detail_1/%E8%A1%9B%E9%83%A8%E8%97%A5%E8%BC%B8%E5%AD%97%E7%AC%AC027505%E8%99%9F</t>
        </is>
      </c>
      <c r="J739" s="3" t="inlineStr">
        <is>
          <t>Open</t>
        </is>
      </c>
      <c r="K739" s="3" t="inlineStr"/>
    </row>
    <row r="740">
      <c r="A740" s="3" t="n">
        <v>608</v>
      </c>
      <c r="B740" s="3" t="inlineStr">
        <is>
          <t>Oxacillin (OXA10)</t>
        </is>
      </c>
      <c r="C740" s="8" t="inlineStr">
        <is>
          <t>Medium</t>
        </is>
      </c>
      <c r="D740" s="3" t="inlineStr">
        <is>
          <t>Adverse effects</t>
        </is>
      </c>
      <c r="E740" s="3" t="inlineStr">
        <is>
          <t>Missing C. difficile warning</t>
        </is>
      </c>
      <c r="F740" s="3" t="inlineStr">
        <is>
          <t>Add anaphylaxis, CDAD, interstitial nephritis, neurotoxicity, neutropenia, thrombophlebitis</t>
        </is>
      </c>
      <c r="G740" s="3" t="inlineStr">
        <is>
          <t>Rash, diarrhea, nausea, vomiting, increased SGOT/SGPT</t>
        </is>
      </c>
      <c r="H740" s="3" t="inlineStr">
        <is>
          <t>The labels also list serious reactions the page omits: anaphylaxis, CDAD/pseudomembranous colitis, interstitial nephritis, neurotoxicity/seizures (high-dose IV in renal impairment, rapid IV push), agranulocytosis/neutropenia/bone-marrow depression, eosinophilia, and thrombophlebitis.</t>
        </is>
      </c>
      <c r="I740" s="3" t="inlineStr">
        <is>
          <t>US FDA label WARNINGS and ADVERSE REACTIONS; TW 仿單 §8.1 and §3.2</t>
        </is>
      </c>
      <c r="J740" s="3" t="inlineStr">
        <is>
          <t>Open</t>
        </is>
      </c>
      <c r="K740" s="3" t="inlineStr"/>
    </row>
    <row r="741">
      <c r="A741" s="3" t="n">
        <v>615</v>
      </c>
      <c r="B741" s="3" t="inlineStr">
        <is>
          <t>Oxacillin (OXA10)</t>
        </is>
      </c>
      <c r="C741" s="8" t="inlineStr">
        <is>
          <t>Medium</t>
        </is>
      </c>
      <c r="D741" s="3" t="inlineStr">
        <is>
          <t>Adverse effects</t>
        </is>
      </c>
      <c r="E741" s="3" t="inlineStr">
        <is>
          <t>Missing C. difficile warning</t>
        </is>
      </c>
      <c r="F741" s="3" t="inlineStr">
        <is>
          <t>Add serious ADRs: anaphylaxis, CDAD, seizures, interstitial nephritis, marrow suppression, hemolytic anemia</t>
        </is>
      </c>
      <c r="G741" s="3" t="inlineStr">
        <is>
          <t>Rash, Diarrhea, nausea, vomiting, increased serum SGOT and SGPT</t>
        </is>
      </c>
      <c r="H741" s="3" t="inlineStr">
        <is>
          <t>The hospital list omits the serious label adverse effects: anaphylaxis, C. difficile/pseudomembranous colitis, neurotoxicity/seizures, interstitial nephritis, agranulocytosis/neutropenia/bone-marrow depression, haemolytic anaemia (TW), and thrombophlebitis.</t>
        </is>
      </c>
      <c r="I741" s="3" t="inlineStr">
        <is>
          <t>US FDA label WARNINGS/ADVERSE REACTIONS; TW 仿單 §8.1</t>
        </is>
      </c>
      <c r="J741" s="3" t="inlineStr">
        <is>
          <t>Open</t>
        </is>
      </c>
      <c r="K741" s="3" t="inlineStr"/>
    </row>
    <row r="742">
      <c r="A742" s="3" t="n">
        <v>607</v>
      </c>
      <c r="B742" s="3" t="inlineStr">
        <is>
          <t>Oxacillin (OXA10)</t>
        </is>
      </c>
      <c r="C742" s="8" t="inlineStr">
        <is>
          <t>Medium</t>
        </is>
      </c>
      <c r="D742" s="3" t="inlineStr">
        <is>
          <t>Breastfeeding</t>
        </is>
      </c>
      <c r="E742" s="3" t="inlineStr">
        <is>
          <t>LactMed outdated</t>
        </is>
      </c>
      <c r="F742" s="3" t="inlineStr">
        <is>
          <t>Update to LactMed: acceptable in nursing mothers</t>
        </is>
      </c>
      <c r="G742" s="3" t="inlineStr">
        <is>
          <t>Enters breast milk/use caution</t>
        </is>
      </c>
      <c r="H742" s="3" t="inlineStr">
        <is>
          <t>LactMed (rev. 2024-11-15): low milk levels, 'Oxacillin is acceptable in nursing mothers'. The labels say caution. The hospital wording is outdated next to LactMed but is not contradicted by the labels.</t>
        </is>
      </c>
      <c r="I742" s="3" t="inlineStr">
        <is>
          <t>LactMed NBK501057 https://www.ncbi.nlm.nih.gov/books/NBK501057/</t>
        </is>
      </c>
      <c r="J742" s="3" t="inlineStr">
        <is>
          <t>Open</t>
        </is>
      </c>
      <c r="K742" s="3" t="inlineStr"/>
    </row>
    <row r="743">
      <c r="A743" s="3" t="n">
        <v>604</v>
      </c>
      <c r="B743" s="3" t="inlineStr">
        <is>
          <t>Oxacillin (OXA10)</t>
        </is>
      </c>
      <c r="C743" s="8" t="inlineStr">
        <is>
          <t>Medium</t>
        </is>
      </c>
      <c r="D743" s="3" t="inlineStr">
        <is>
          <t>Dosing – adult</t>
        </is>
      </c>
      <c r="E743" s="3" t="inlineStr"/>
      <c r="F743" s="3" t="inlineStr">
        <is>
          <t>Add label tiers (250-500 mg, 1 g q4-6h); cite guideline for 2 g q4h</t>
        </is>
      </c>
      <c r="G743" s="3" t="inlineStr">
        <is>
          <t>2 g IV q4h for MSSA pneumonia and for prosthetic joint infection with rifampin; 1–2 g q4h for cellulitis. No source is cited.</t>
        </is>
      </c>
      <c r="H743" s="3" t="inlineStr">
        <is>
          <t>Label tables: 250–500 mg q4–6h for mild–moderate infection; 1 g q4–6h for severe (FDA). TW: '1 g 或更高劑量' q4–6h. A 2 g q4h dose (12 g/day) is guideline-level and needs a guideline citation, such as IDSA SSTI 2014 or AHA IE 2015.</t>
        </is>
      </c>
      <c r="I743" s="3" t="inlineStr">
        <is>
          <t>US FDA label DOSAGE AND ADMINISTRATION; TW 仿單 §3.1</t>
        </is>
      </c>
      <c r="J743" s="3" t="inlineStr">
        <is>
          <t>Open</t>
        </is>
      </c>
      <c r="K743" s="3" t="inlineStr"/>
    </row>
    <row r="744">
      <c r="A744" s="3" t="n">
        <v>612</v>
      </c>
      <c r="B744" s="3" t="inlineStr">
        <is>
          <t>Oxacillin (OXA10)</t>
        </is>
      </c>
      <c r="C744" s="8" t="inlineStr">
        <is>
          <t>Medium</t>
        </is>
      </c>
      <c r="D744" s="3" t="inlineStr">
        <is>
          <t>Dosing – adult</t>
        </is>
      </c>
      <c r="E744" s="3" t="inlineStr"/>
      <c r="F744" s="3" t="inlineStr">
        <is>
          <t>Show label mild-moderate/severe tiers; cite guideline for 2 g q4h (exceeds US label)</t>
        </is>
      </c>
      <c r="G744" s="3" t="inlineStr">
        <is>
          <t>MSSA pneumonia 2 g IV q4h; PJI 2 g q4h with rifampin; cellulitis 1–2 g q4h</t>
        </is>
      </c>
      <c r="H744" s="3" t="inlineStr">
        <is>
          <t>US label maximum is 1 g q4–6h for severe infection. The TW insert allows '1 g或更高劑量' q4–6h, so 2 g q4h fits the TW label but not the US table. The label's mild–moderate (250–500 mg) and severe (1 g) tiers are not shown on the hospital page. The page cites no guideline source.</t>
        </is>
      </c>
      <c r="I744" s="3" t="inlineStr">
        <is>
          <t>US FDA label D&amp;A table; TW 仿單 §3.1</t>
        </is>
      </c>
      <c r="J744" s="3" t="inlineStr">
        <is>
          <t>Open</t>
        </is>
      </c>
      <c r="K744" s="3" t="inlineStr"/>
    </row>
    <row r="745">
      <c r="A745" s="3" t="n">
        <v>606</v>
      </c>
      <c r="B745" s="3" t="inlineStr">
        <is>
          <t>Oxacillin (OXA10)</t>
        </is>
      </c>
      <c r="C745" s="8" t="inlineStr">
        <is>
          <t>Medium</t>
        </is>
      </c>
      <c r="D745" s="3" t="inlineStr">
        <is>
          <t>Dosing – renal/dialysis</t>
        </is>
      </c>
      <c r="E745" s="3" t="inlineStr"/>
      <c r="F745" s="3" t="inlineStr">
        <is>
          <t>Fix HTML '&lt;10' rendering so CrCl &lt;10 text displays; add monitoring note</t>
        </is>
      </c>
      <c r="G745" s="3" t="inlineStr">
        <is>
          <t>Item 2 renders as '2. CrCl' and nothing more on the live page. The '&lt;10' text appears to be swallowed as an HTML tag, so the CrCl &lt;10 recommendation is invisible to users.</t>
        </is>
      </c>
      <c r="H745" s="3" t="inlineStr">
        <is>
          <t>TW 仿單: 腎功能不全通常無需調整劑量. FDA: consider reducing the total dose and monitor blood levels (neurotoxicity). Not dialysable (TW §11). The substance agrees with the hospital page, but the page display is broken.</t>
        </is>
      </c>
      <c r="I745" s="3" t="inlineStr">
        <is>
          <t>https://pharmacy.fjuh.fju.edu.tw/Key_Search/P4?query=OXA10 (fetched 2026-10-05); TW 仿單 §3.1/§11</t>
        </is>
      </c>
      <c r="J745" s="3" t="inlineStr">
        <is>
          <t>Open</t>
        </is>
      </c>
      <c r="K745" s="3" t="inlineStr"/>
    </row>
    <row r="746">
      <c r="A746" s="3" t="n">
        <v>614</v>
      </c>
      <c r="B746" s="3" t="inlineStr">
        <is>
          <t>Oxacillin (OXA10)</t>
        </is>
      </c>
      <c r="C746" s="8" t="inlineStr">
        <is>
          <t>Medium</t>
        </is>
      </c>
      <c r="D746" s="3" t="inlineStr">
        <is>
          <t>Dosing – renal/dialysis</t>
        </is>
      </c>
      <c r="E746" s="3" t="inlineStr"/>
      <c r="F746" s="3" t="inlineStr">
        <is>
          <t>Add US advice to consider dose reduction and monitor neurotoxicity; remove unsupported CRRT claim</t>
        </is>
      </c>
      <c r="G746" s="3" t="inlineStr">
        <is>
          <t>CrCl ≥10: no adjustment; CrCl &lt;10: no specific adjustment, monitor; IHD not significantly dialyzed; CRRT: No dosage adjustment necessary</t>
        </is>
      </c>
      <c r="H746" s="3" t="inlineStr">
        <is>
          <t>TW (stocked product) agrees that no adjustment is usually needed and that the drug is not dialysable by HD or PD. The US label says to consider reducing the total dose in any renal impairment and to monitor blood levels for neurotoxicity. No label or oxacillin PK study supports the CRRT statement.</t>
        </is>
      </c>
      <c r="I746" s="3" t="inlineStr">
        <is>
          <t>TW 仿單 §3.1, §11; US FDA label Laboratory Tests</t>
        </is>
      </c>
      <c r="J746" s="3" t="inlineStr">
        <is>
          <t>Open</t>
        </is>
      </c>
      <c r="K746" s="3" t="inlineStr"/>
    </row>
    <row r="747">
      <c r="A747" s="3" t="n">
        <v>603</v>
      </c>
      <c r="B747" s="3" t="inlineStr">
        <is>
          <t>Oxacillin (OXA10)</t>
        </is>
      </c>
      <c r="C747" s="8" t="inlineStr">
        <is>
          <t>Medium</t>
        </is>
      </c>
      <c r="D747" s="3" t="inlineStr">
        <is>
          <t>Indication/coverage</t>
        </is>
      </c>
      <c r="E747" s="3" t="inlineStr"/>
      <c r="F747" s="3" t="inlineStr">
        <is>
          <t>Remove unsupported 'CNS infections'; align with TW broader indication list</t>
        </is>
      </c>
      <c r="G747" s="3" t="inlineStr">
        <is>
          <t>Osteomyelitis, septicemia, endocarditis and CNS infections caused by susceptible Staphylococcus (staph only)</t>
        </is>
      </c>
      <c r="H747" s="3" t="inlineStr">
        <is>
          <t>TW 仿單 §2 is broader: 葡萄球菌、鏈球菌、肺炎雙球菌、腦膜炎球菌及其他具有感受性細菌引起之感染症. Neither label lists CNS infections, and the FDA label says CSF concentrations are insignificant at normal doses.</t>
        </is>
      </c>
      <c r="I747" s="3" t="inlineStr">
        <is>
          <t>TW 仿單 §2 and §11; US FDA label CLINICAL PHARMACOLOGY and INDICATIONS AND USAGE</t>
        </is>
      </c>
      <c r="J747" s="3" t="inlineStr">
        <is>
          <t>Open</t>
        </is>
      </c>
      <c r="K747" s="3" t="inlineStr"/>
    </row>
    <row r="748">
      <c r="A748" s="3" t="n">
        <v>611</v>
      </c>
      <c r="B748" s="3" t="inlineStr">
        <is>
          <t>Oxacillin (OXA10)</t>
        </is>
      </c>
      <c r="C748" s="8" t="inlineStr">
        <is>
          <t>Medium</t>
        </is>
      </c>
      <c r="D748" s="3" t="inlineStr">
        <is>
          <t>Indication/coverage</t>
        </is>
      </c>
      <c r="E748" s="3" t="inlineStr"/>
      <c r="F748" s="3" t="inlineStr">
        <is>
          <t>Remove CNS infections (insignificant CSF levels); align with TW indication list</t>
        </is>
      </c>
      <c r="G748" s="3" t="inlineStr">
        <is>
          <t>Treatment of infections such as osteomyelitis, septicemia, endocarditis, and CNS infections caused by susceptible strains of Staphylococcus</t>
        </is>
      </c>
      <c r="H748" s="3" t="inlineStr">
        <is>
          <t>US: infections caused by penicillinase-producing staphylococci; not for penicillin-G-susceptible organisms; CSF concentrations insignificant at normal doses, so 'CNS infections' is not label-supported. TW §2 is broader: 葡萄球菌、鏈球菌、肺炎雙球菌、腦膜炎球菌及其他具有感受性細菌引起之感染症.</t>
        </is>
      </c>
      <c r="I748" s="3" t="inlineStr">
        <is>
          <t>US FDA label INDICATIONS AND USAGE and CLINICAL PHARMACOLOGY https://dailymed.nlm.nih.gov/dailymed/drugInfo.cfm?setid=4972ec74-1d9a-de9b-e063-6394a90af786; TW 仿單 §2</t>
        </is>
      </c>
      <c r="J748" s="3" t="inlineStr">
        <is>
          <t>Open</t>
        </is>
      </c>
      <c r="K748" s="3" t="inlineStr"/>
    </row>
    <row r="749">
      <c r="A749" s="3" t="n">
        <v>409</v>
      </c>
      <c r="B749" s="3" t="inlineStr">
        <is>
          <t>Pipe Tazo (Piperacillin/Tazobactam) (PIP01, TAP02)</t>
        </is>
      </c>
      <c r="C749" s="8" t="inlineStr">
        <is>
          <t>Medium</t>
        </is>
      </c>
      <c r="D749" s="3" t="inlineStr">
        <is>
          <t>Dosing – pediatric</t>
        </is>
      </c>
      <c r="E749" s="3" t="inlineStr"/>
      <c r="F749" s="3" t="inlineStr">
        <is>
          <t>Restore missing &lt;/&gt; signs in age and CrCl thresholds</t>
        </is>
      </c>
      <c r="G749" s="3" t="inlineStr">
        <is>
          <t>Less-than and greater-than signs are missing, e.g. 'Infants 6 months'.</t>
        </is>
      </c>
      <c r="H749" s="3" t="inlineStr">
        <is>
          <t>Age and CrCl thresholds need their comparison operators (e.g. US: '2 months to 9 months', 'older than 9 months'; CrCl '&gt;40', '&lt;20').</t>
        </is>
      </c>
      <c r="I749" s="3" t="inlineStr">
        <is>
          <t>US FDA label §2.3–2.4 https://dailymed.nlm.nih.gov/dailymed/drugInfo.cfm?setid=a798faf5-cd97-4e35-a700-94c372978c46</t>
        </is>
      </c>
      <c r="J749" s="3" t="inlineStr">
        <is>
          <t>Open</t>
        </is>
      </c>
      <c r="K749" s="3" t="inlineStr"/>
    </row>
    <row r="750">
      <c r="A750" s="3" t="n">
        <v>408</v>
      </c>
      <c r="B750" s="3" t="inlineStr">
        <is>
          <t>Pipe Tazo (Piperacillin/Tazobactam) (PIP01, TAP02)</t>
        </is>
      </c>
      <c r="C750" s="8" t="inlineStr">
        <is>
          <t>Medium</t>
        </is>
      </c>
      <c r="D750" s="3" t="inlineStr">
        <is>
          <t>Indication/coverage</t>
        </is>
      </c>
      <c r="E750" s="3" t="inlineStr"/>
      <c r="F750" s="3" t="inlineStr">
        <is>
          <t>Separate labelled indications from off-label (bite wounds, CF, malignant otitis externa)</t>
        </is>
      </c>
      <c r="G750" s="3" t="inlineStr">
        <is>
          <t>11 Lexicomp-style indications, most marked off-label: bite wounds, gram-negative bacteraemia, cystic fibrosis, malignant otitis externa, neutropenic fever, sepsis, complicated UTI, among others.</t>
        </is>
      </c>
      <c r="H750" s="3" t="inlineStr">
        <is>
          <t>Approved uses: US (IAI, nosocomial pneumonia, SSSI, female pelvic infection, CAP); UK (severe pneumonia/HAP/VAP, cUTI, cIAI, cSSTI, associated bacteraemia, febrile neutropenia); Taiwan (LRTI, UTI, IAI, SSSI, bacterial sepsis, neutropenic infections, polymicrobial). Bite wounds, CF and malignant otitis externa are off-label everywhere.</t>
        </is>
      </c>
      <c r="I750" s="3" t="inlineStr">
        <is>
          <t>US §1; UK SmPC §4.1 https://www.medicines.org.uk/emc/product/8757/smpc; TW insert §2</t>
        </is>
      </c>
      <c r="J750" s="3" t="inlineStr">
        <is>
          <t>Open</t>
        </is>
      </c>
      <c r="K750" s="3" t="inlineStr"/>
    </row>
    <row r="751">
      <c r="A751" s="3" t="n">
        <v>417</v>
      </c>
      <c r="B751" s="3" t="inlineStr">
        <is>
          <t>Pipe Tazo (Piperacillin/Tazobactam) (PIP01, TAP02)</t>
        </is>
      </c>
      <c r="C751" s="8" t="inlineStr">
        <is>
          <t>Medium</t>
        </is>
      </c>
      <c r="D751" s="3" t="inlineStr">
        <is>
          <t>Indication/coverage</t>
        </is>
      </c>
      <c r="E751" s="3" t="inlineStr"/>
      <c r="F751" s="3" t="inlineStr">
        <is>
          <t>Distinguish labelled from off-label indications in adult dosing</t>
        </is>
      </c>
      <c r="G751" s="3" t="inlineStr">
        <is>
          <t>11 indication entries, many off-label (bite wounds, gram-negative bacteremia, cystic fibrosis, malignant otitis externa, neutropenic fever, sepsis, cUTI) and presented alongside labelled ones.</t>
        </is>
      </c>
      <c r="H751" s="3" t="inlineStr">
        <is>
          <t>Approved: FDA §1 (IAI, NP, SSSI, female pelvic, CAP); UK §4.1 (severe pneumonia incl. HAP/VAP, cUTI, cIAI, cSSTI, bacteraemia, neutropenic fever); TW §2. Bite wounds, CF and malignant otitis externa are not labelled anywhere.</t>
        </is>
      </c>
      <c r="I751" s="3" t="inlineStr">
        <is>
          <t>https://dailymed.nlm.nih.gov/dailymed/drugInfo.cfm?setid=a798faf5-cd97-4e35-a700-94c372978c46; https://www.medicines.org.uk/emc/product/8757/smpc</t>
        </is>
      </c>
      <c r="J751" s="3" t="inlineStr">
        <is>
          <t>Open</t>
        </is>
      </c>
      <c r="K751" s="3" t="inlineStr"/>
    </row>
    <row r="752">
      <c r="A752" s="3" t="n">
        <v>874</v>
      </c>
      <c r="B752" s="3" t="inlineStr">
        <is>
          <t>Posanol (Posaconazole) (POS01)</t>
        </is>
      </c>
      <c r="C752" s="8" t="inlineStr">
        <is>
          <t>Medium</t>
        </is>
      </c>
      <c r="D752" s="3" t="inlineStr">
        <is>
          <t>Breastfeeding</t>
        </is>
      </c>
      <c r="E752" s="3" t="inlineStr"/>
      <c r="F752" s="3" t="inlineStr">
        <is>
          <t>Strengthen: avoid breastfeeding unless benefit outweighs risk (TW); UK stop breastfeeding</t>
        </is>
      </c>
      <c r="G752" s="3" t="inlineStr">
        <is>
          <t>Infant risk cannot be ruled out.</t>
        </is>
      </c>
      <c r="H752" s="3" t="inlineStr">
        <is>
          <t>TW: do not use while breastfeeding unless the benefit clearly outweighs the risk. UK: stop breastfeeding when treatment starts. LactMed: no data; an alternative (fluconazole, miconazole) is preferred.</t>
        </is>
      </c>
      <c r="I752" s="3" t="inlineStr">
        <is>
          <t>TW 仿單 §6.2; UK SmPC §4.6; LactMed NBK609661</t>
        </is>
      </c>
      <c r="J752" s="3" t="inlineStr">
        <is>
          <t>Open</t>
        </is>
      </c>
      <c r="K752" s="3" t="inlineStr"/>
    </row>
    <row r="753">
      <c r="A753" s="3" t="n">
        <v>869</v>
      </c>
      <c r="B753" s="3" t="inlineStr">
        <is>
          <t>Posanol (Posaconazole) (POS01)</t>
        </is>
      </c>
      <c r="C753" s="8" t="inlineStr">
        <is>
          <t>Medium</t>
        </is>
      </c>
      <c r="D753" s="3" t="inlineStr">
        <is>
          <t>Dosing – adult</t>
        </is>
      </c>
      <c r="E753" s="3" t="inlineStr"/>
      <c r="F753" s="3" t="inlineStr">
        <is>
          <t>Label CCPA regimen as off-label and cite guideline source</t>
        </is>
      </c>
      <c r="G753" s="3" t="inlineStr">
        <is>
          <t>Chronic cavitary pulmonary aspergillosis: 300 mg BID ×2 doses, then 300 mg QD, ≥6 months.</t>
        </is>
      </c>
      <c r="H753" s="3" t="inlineStr">
        <is>
          <t>Not in the TW, US or UK labels; it is off-label. No guideline source is given on the hospital page.</t>
        </is>
      </c>
      <c r="I753" s="3" t="inlineStr">
        <is>
          <t>TW 仿單 §2; US §1; UK SmPC §4.1</t>
        </is>
      </c>
      <c r="J753" s="3" t="inlineStr">
        <is>
          <t>Open</t>
        </is>
      </c>
      <c r="K753" s="3" t="inlineStr"/>
    </row>
    <row r="754">
      <c r="A754" s="3" t="n">
        <v>878</v>
      </c>
      <c r="B754" s="3" t="inlineStr">
        <is>
          <t>Posanol (Posaconazole) (POS01)</t>
        </is>
      </c>
      <c r="C754" s="8" t="inlineStr">
        <is>
          <t>Medium</t>
        </is>
      </c>
      <c r="D754" s="3" t="inlineStr">
        <is>
          <t>Dosing – adult</t>
        </is>
      </c>
      <c r="E754" s="3" t="inlineStr"/>
      <c r="F754" s="3" t="inlineStr">
        <is>
          <t>Mark CPA regimen off-label and cite IDSA source</t>
        </is>
      </c>
      <c r="G754" s="3" t="inlineStr">
        <is>
          <t>Chronic cavitary pulmonary: 300 mg twice daily for 2 doses, then 300 mg once daily; duration ≥6 months</t>
        </is>
      </c>
      <c r="H754" s="3" t="inlineStr">
        <is>
          <t>CPA is not an indication in the US, UK or TW labels (off-label). IDSA 2016 calls posaconazole a 'useful third-line agent' for CCPA but does not support this specific regimen as label dosing. It should be labelled off-label and cite a source.</t>
        </is>
      </c>
      <c r="I754" s="3" t="inlineStr">
        <is>
          <t>US §1, UK §4.1, TW §2; IDSA 2016 — https://www.idsociety.org/practice-guideline/aspergillosis/</t>
        </is>
      </c>
      <c r="J754" s="3" t="inlineStr">
        <is>
          <t>Open</t>
        </is>
      </c>
      <c r="K754" s="3" t="inlineStr"/>
    </row>
    <row r="755">
      <c r="A755" s="3" t="n">
        <v>882</v>
      </c>
      <c r="B755" s="3" t="inlineStr">
        <is>
          <t>Posanol (Posaconazole) (POS01)</t>
        </is>
      </c>
      <c r="C755" s="8" t="inlineStr">
        <is>
          <t>Medium</t>
        </is>
      </c>
      <c r="D755" s="3" t="inlineStr">
        <is>
          <t>Dosing – hepatic</t>
        </is>
      </c>
      <c r="E755" s="3" t="inlineStr"/>
      <c r="F755" s="3" t="inlineStr">
        <is>
          <t>Add TW note: limited data, no dose recommendation; UK caution for higher exposure</t>
        </is>
      </c>
      <c r="G755" s="3" t="inlineStr">
        <is>
          <t>Child-Pugh class A, B, or C: No dosage adjustment necessary</t>
        </is>
      </c>
      <c r="H755" s="3" t="inlineStr">
        <is>
          <t>Matches US §8.7. The TW insert of the stocked product says data are limited and no dose recommendation can be made. UK says no adjustment, with caution because exposure is higher (minor).</t>
        </is>
      </c>
      <c r="I755" s="3" t="inlineStr">
        <is>
          <t>TW 仿單 §3.3 — https://mcp.fda.gov.tw/im_detail_1/%E8%A1%9B%E9%83%A8%E8%97%A5%E8%BC%B8%E5%AD%97%E7%AC%AC026376%E8%99%9F</t>
        </is>
      </c>
      <c r="J755" s="3" t="inlineStr">
        <is>
          <t>Open</t>
        </is>
      </c>
      <c r="K755" s="3" t="inlineStr"/>
    </row>
    <row r="756">
      <c r="A756" s="3" t="n">
        <v>870</v>
      </c>
      <c r="B756" s="3" t="inlineStr">
        <is>
          <t>Posanol (Posaconazole) (POS01)</t>
        </is>
      </c>
      <c r="C756" s="8" t="inlineStr">
        <is>
          <t>Medium</t>
        </is>
      </c>
      <c r="D756" s="3" t="inlineStr">
        <is>
          <t>Dosing – pediatric</t>
        </is>
      </c>
      <c r="E756" s="3" t="inlineStr"/>
      <c r="F756" s="3" t="inlineStr">
        <is>
          <t>Fill peds field: TW not established &lt;13 yr; US/UK ≥2 yr &gt;40 kg adult dose</t>
        </is>
      </c>
      <c r="G756" s="3" t="inlineStr">
        <is>
          <t>Empty</t>
        </is>
      </c>
      <c r="H756" s="3" t="inlineStr">
        <is>
          <t>TW: safety and efficacy not established under 13 yr. US/UK: adult dose for ≥2 yr and &gt;40 kg; tablet not suitable for ≤40 kg.</t>
        </is>
      </c>
      <c r="I756" s="3" t="inlineStr">
        <is>
          <t>TW 仿單 §3.3; US §2.3, §8.4</t>
        </is>
      </c>
      <c r="J756" s="3" t="inlineStr">
        <is>
          <t>Open</t>
        </is>
      </c>
      <c r="K756" s="3" t="inlineStr"/>
    </row>
    <row r="757">
      <c r="A757" s="3" t="n">
        <v>866</v>
      </c>
      <c r="B757" s="3" t="inlineStr">
        <is>
          <t>Posanol (Posaconazole) (POS01)</t>
        </is>
      </c>
      <c r="C757" s="8" t="inlineStr">
        <is>
          <t>Medium</t>
        </is>
      </c>
      <c r="D757" s="3" t="inlineStr">
        <is>
          <t>Dosing – renal/dialysis</t>
        </is>
      </c>
      <c r="E757" s="3" t="inlineStr"/>
      <c r="F757" s="3" t="inlineStr">
        <is>
          <t>Complete truncated renal field: no adjustment; eGFR &lt;20 monitor for breakthrough; not dialysed</t>
        </is>
      </c>
      <c r="G757" s="3" t="inlineStr">
        <is>
          <t>Truncated: '1. eGFR 20-80 mL/minute/1.73 m2: No dosage adjustment necessary. 2. eGFR' (the second item is cut off).</t>
        </is>
      </c>
      <c r="H757" s="3" t="inlineStr">
        <is>
          <t>TW: no renal adjustment; when CrCl &lt;20, exposure varies widely, so monitor for breakthrough infection; not removed by haemodialysis. US: no adjustment if eGFR ≥20; monitor if eGFR &lt;20.</t>
        </is>
      </c>
      <c r="I757" s="3" t="inlineStr">
        <is>
          <t>TW 仿單 §3.3, §11.6; US §8.6</t>
        </is>
      </c>
      <c r="J757" s="3" t="inlineStr">
        <is>
          <t>Open</t>
        </is>
      </c>
      <c r="K757" s="3" t="inlineStr"/>
    </row>
    <row r="758">
      <c r="A758" s="3" t="n">
        <v>876</v>
      </c>
      <c r="B758" s="3" t="inlineStr">
        <is>
          <t>Posanol (Posaconazole) (POS01)</t>
        </is>
      </c>
      <c r="C758" s="8" t="inlineStr">
        <is>
          <t>Medium</t>
        </is>
      </c>
      <c r="D758" s="3" t="inlineStr">
        <is>
          <t>Dosing – renal/dialysis</t>
        </is>
      </c>
      <c r="E758" s="3" t="inlineStr"/>
      <c r="F758" s="3" t="inlineStr">
        <is>
          <t>Complete renal field: no adjustment; eGFR &lt;20 monitor breakthrough; not removed by HD</t>
        </is>
      </c>
      <c r="G758" s="3" t="inlineStr">
        <is>
          <t>'1. eGFR 20-80 mL/minute/1.73 m2: No dosage adjustment necessary. 2. eGFR' (cut off)</t>
        </is>
      </c>
      <c r="H758" s="3" t="inlineStr">
        <is>
          <t>TW 仿單: no renal adjustment. With CrCl &lt;20, exposure is highly variable, so monitor closely for breakthrough infection. Not removed by HD. US §8.6: no adjustment if eGFR ≥20; if &lt;20, monitor for breakthrough infection.</t>
        </is>
      </c>
      <c r="I758" s="3" t="inlineStr">
        <is>
          <t>TW 仿單 §3.3, §11.6 — https://mcp.fda.gov.tw/im_detail_1/%E8%A1%9B%E9%83%A8%E8%97%A5%E8%BC%B8%E5%AD%97%E7%AC%AC026376%E8%99%9F</t>
        </is>
      </c>
      <c r="J758" s="3" t="inlineStr">
        <is>
          <t>Open</t>
        </is>
      </c>
      <c r="K758" s="3" t="inlineStr"/>
    </row>
    <row r="759">
      <c r="A759" s="3" t="n">
        <v>867</v>
      </c>
      <c r="B759" s="3" t="inlineStr">
        <is>
          <t>Posanol (Posaconazole) (POS01)</t>
        </is>
      </c>
      <c r="C759" s="8" t="inlineStr">
        <is>
          <t>Medium</t>
        </is>
      </c>
      <c r="D759" s="3" t="inlineStr">
        <is>
          <t>Indication/coverage</t>
        </is>
      </c>
      <c r="E759" s="3" t="inlineStr"/>
      <c r="F759" s="3" t="inlineStr">
        <is>
          <t>Fix swapped ages: TW IA adults second-line only; prophylaxis ≥13 yr</t>
        </is>
      </c>
      <c r="G759" s="3" t="inlineStr">
        <is>
          <t>Invasive aspergillosis 'for patients ≥13 years of age'; prophylaxis 'for patients ≥2 years of age and &gt;40 kg'.</t>
        </is>
      </c>
      <c r="H759" s="3" t="inlineStr">
        <is>
          <t>TW insert (stocked product): invasive aspergillosis in ADULTS only, as second-line after ≥7 days of failure of, or intolerance to, amphotericin B/itraconazole/voriconazole; prophylaxis in patients ≥13 yr. The ≥2 yr/&gt;40 kg limit is US/UK wording. The hospital entry appears to have the age limits swapped between the two indications.</t>
        </is>
      </c>
      <c r="I759" s="3" t="inlineStr">
        <is>
          <t>TW 仿單 §2 https://mcp.fda.gov.tw/im_detail_1/%E8%A1%9B%E9%83%A8%E8%97%A5%E8%BC%B8%E5%AD%97%E7%AC%AC026376%E8%99%9F; US §1.1–1.2</t>
        </is>
      </c>
      <c r="J759" s="3" t="inlineStr">
        <is>
          <t>Open</t>
        </is>
      </c>
      <c r="K759" s="3" t="inlineStr"/>
    </row>
    <row r="760">
      <c r="A760" s="3" t="n">
        <v>868</v>
      </c>
      <c r="B760" s="3" t="inlineStr">
        <is>
          <t>Posanol (Posaconazole) (POS01)</t>
        </is>
      </c>
      <c r="C760" s="8" t="inlineStr">
        <is>
          <t>Medium</t>
        </is>
      </c>
      <c r="D760" s="3" t="inlineStr">
        <is>
          <t>Indication/coverage</t>
        </is>
      </c>
      <c r="E760" s="3" t="inlineStr"/>
      <c r="F760" s="3" t="inlineStr">
        <is>
          <t>State TW IA indication is second-line for refractory/intolerant adults</t>
        </is>
      </c>
      <c r="G760" s="3" t="inlineStr">
        <is>
          <t>Invasive aspergillosis listed with no restriction.</t>
        </is>
      </c>
      <c r="H760" s="3" t="inlineStr">
        <is>
          <t>In Taiwan the tablet is approved only as second-line treatment for refractory or intolerant adult invasive aspergillosis. First-line treatment is US/UK labelling only.</t>
        </is>
      </c>
      <c r="I760" s="3" t="inlineStr">
        <is>
          <t>TW 仿單 §2(1)</t>
        </is>
      </c>
      <c r="J760" s="3" t="inlineStr">
        <is>
          <t>Open</t>
        </is>
      </c>
      <c r="K760" s="3" t="inlineStr"/>
    </row>
    <row r="761">
      <c r="A761" s="3" t="n">
        <v>871</v>
      </c>
      <c r="B761" s="3" t="inlineStr">
        <is>
          <t>Posanol (Posaconazole) (POS01)</t>
        </is>
      </c>
      <c r="C761" s="8" t="inlineStr">
        <is>
          <t>Medium</t>
        </is>
      </c>
      <c r="D761" s="3" t="inlineStr">
        <is>
          <t>Indication/coverage</t>
        </is>
      </c>
      <c r="E761" s="3" t="inlineStr"/>
      <c r="F761" s="3" t="inlineStr">
        <is>
          <t>Add prophylaxis of invasive fungal infection (≥13 yr) to drug-bag use</t>
        </is>
      </c>
      <c r="G761" s="3" t="inlineStr">
        <is>
          <t>治療侵犯性麴菌症之黴菌感染 (treatment of invasive aspergillosis only)</t>
        </is>
      </c>
      <c r="H761" s="3" t="inlineStr">
        <is>
          <t>Prophylaxis of invasive fungal infections in high-risk patients ≥13 yr is also a TW indication. It is probably the main use, but it is missing from the patient drug-bag text.</t>
        </is>
      </c>
      <c r="I761" s="3" t="inlineStr">
        <is>
          <t>TW 仿單 §2(2)</t>
        </is>
      </c>
      <c r="J761" s="3" t="inlineStr">
        <is>
          <t>Open</t>
        </is>
      </c>
      <c r="K761" s="3" t="inlineStr"/>
    </row>
    <row r="762">
      <c r="A762" s="3" t="n">
        <v>877</v>
      </c>
      <c r="B762" s="3" t="inlineStr">
        <is>
          <t>Posanol (Posaconazole) (POS01)</t>
        </is>
      </c>
      <c r="C762" s="8" t="inlineStr">
        <is>
          <t>Medium</t>
        </is>
      </c>
      <c r="D762" s="3" t="inlineStr">
        <is>
          <t>Indication/coverage</t>
        </is>
      </c>
      <c r="E762" s="3" t="inlineStr"/>
      <c r="F762" s="3" t="inlineStr">
        <is>
          <t>Correct swapped age limits; TW IA adults second-line; prophylaxis ≥13 yr</t>
        </is>
      </c>
      <c r="G762" s="3" t="inlineStr">
        <is>
          <t>Invasive Aspergillosis: patients ≥13 years. Prophylaxis: patients ≥2 years and &gt;40 kg.</t>
        </is>
      </c>
      <c r="H762" s="3" t="inlineStr">
        <is>
          <t>The hospital has the age limits swapped and mixes sources. TW insert (stocked product): IA only as second-line in **adults** who failed (≥7 days) or cannot tolerate amphotericin B, itraconazole or voriconazole; prophylaxis in patients **≥13 yr**. US/UK: both indications for ≥2 yr and &gt;40 kg (tablet).</t>
        </is>
      </c>
      <c r="I762" s="3" t="inlineStr">
        <is>
          <t>TW 仿單 §2 — https://mcp.fda.gov.tw/im_detail_1/%E8%A1%9B%E9%83%A8%E8%97%A5%E8%BC%B8%E5%AD%97%E7%AC%AC026376%E8%99%9F ; US FDA label §1.1–1.2</t>
        </is>
      </c>
      <c r="J762" s="3" t="inlineStr">
        <is>
          <t>Open</t>
        </is>
      </c>
      <c r="K762" s="3" t="inlineStr"/>
    </row>
    <row r="763">
      <c r="A763" s="3" t="n">
        <v>879</v>
      </c>
      <c r="B763" s="3" t="inlineStr">
        <is>
          <t>Posanol (Posaconazole) (POS01)</t>
        </is>
      </c>
      <c r="C763" s="8" t="inlineStr">
        <is>
          <t>Medium</t>
        </is>
      </c>
      <c r="D763" s="3" t="inlineStr">
        <is>
          <t>Pharmacokinetics/other</t>
        </is>
      </c>
      <c r="E763" s="3" t="inlineStr"/>
      <c r="F763" s="3" t="inlineStr">
        <is>
          <t>Correct imprint: yellow capsule-shaped tablet debossed '100'; remove ICOMEIN/EVEREST</t>
        </is>
      </c>
      <c r="G763" s="3" t="inlineStr">
        <is>
          <t>標記1 ICOMEIN, 標記2 EVEREST</t>
        </is>
      </c>
      <c r="H763" s="3" t="inlineStr">
        <is>
          <t>Posanol 100 mg is a yellow capsule-shaped film-coated tablet debossed '100' on one side (TW §1.4). 'ICOMEIN/EVEREST' looks like the imprint of a different product (Icomein itraconazole) and was probably copied by mistake.</t>
        </is>
      </c>
      <c r="I763" s="3" t="inlineStr">
        <is>
          <t>TW 仿單 §1.4 藥品外觀 — https://mcp.fda.gov.tw/im_detail_1/%E8%A1%9B%E9%83%A8%E8%97%A5%E8%BC%B8%E5%AD%97%E7%AC%AC026376%E8%99%9F</t>
        </is>
      </c>
      <c r="J763" s="3" t="inlineStr">
        <is>
          <t>Open</t>
        </is>
      </c>
      <c r="K763" s="3" t="inlineStr"/>
    </row>
    <row r="764">
      <c r="A764" s="3" t="n">
        <v>1151</v>
      </c>
      <c r="B764" s="3" t="inlineStr">
        <is>
          <t>Priftin (Rifapentine) (PRI07)</t>
        </is>
      </c>
      <c r="C764" s="8" t="inlineStr">
        <is>
          <t>Medium</t>
        </is>
      </c>
      <c r="D764" s="3" t="inlineStr">
        <is>
          <t>Adverse effects</t>
        </is>
      </c>
      <c r="E764" s="3" t="inlineStr">
        <is>
          <t>Missing SCAR (SJS/TEN/DRESS)</t>
        </is>
      </c>
      <c r="F764" s="3" t="inlineStr">
        <is>
          <t>Remove unlabelled pyuria/haematuria/UTI; add hypersensitivity/flu-like reaction, hepatotoxicity, SJS/DRESS.</t>
        </is>
      </c>
      <c r="G764" s="3" t="inlineStr">
        <is>
          <t>Hyperuricemia (~32%, attributed to pyrazinamide); pyuria 11–22%; hematuria 10–18%; UTI 7–13%; neutropenia, lymphocytopenia, anemia.</t>
        </is>
      </c>
      <c r="H764" s="3" t="inlineStr">
        <is>
          <t>Pyuria, haematuria and UTI are not in the current label's adverse-reaction tables. Haematuria and hyperuricaemia appear only among overdose cases, and gout in &lt;0.5% with 3HP. The list leaves out the most common LTBI reaction, hypersensitivity / flu-like (4%), as well as hepatotoxicity and SCAR (SJS/DRESS).</t>
        </is>
      </c>
      <c r="I764" s="3" t="inlineStr">
        <is>
          <t>US FDA label §6.1 Tables 2–3, §5.1–5.3 — https://dailymed.nlm.nih.gov/dailymed/drugInfo.cfm?setid=3a64fb70-b85e-43d9-8bcd-7e893f568ae1</t>
        </is>
      </c>
      <c r="J764" s="3" t="inlineStr">
        <is>
          <t>Open</t>
        </is>
      </c>
      <c r="K764" s="3" t="inlineStr"/>
    </row>
    <row r="765">
      <c r="A765" s="3" t="n">
        <v>1159</v>
      </c>
      <c r="B765" s="3" t="inlineStr">
        <is>
          <t>Priftin (Rifapentine) (PRI07)</t>
        </is>
      </c>
      <c r="C765" s="8" t="inlineStr">
        <is>
          <t>Medium</t>
        </is>
      </c>
      <c r="D765" s="3" t="inlineStr">
        <is>
          <t>Adverse effects</t>
        </is>
      </c>
      <c r="E765" s="3" t="inlineStr"/>
      <c r="F765" s="3" t="inlineStr">
        <is>
          <t>Align ADR list with label tables; add hypersensitivity/flu-like reaction; drop unlabelled pyuria/haematuria/UTI.</t>
        </is>
      </c>
      <c r="G765" s="3" t="inlineStr">
        <is>
          <t>Hyperuricemia (?32%, attributed to pyrazinamide); pyuria 11–22%, hematuria 10–18%, UTI 7–13%; neutropenia 6–13%, lymphocytopenia 3–13%, anemia 2–11%.</t>
        </is>
      </c>
      <c r="H765" s="3" t="inlineStr">
        <is>
          <t>The current label Table 2 (active-TB regimen) does not list pyuria, hematuria, UTI or hyperuricemia; hematuria and hyperuricemia appear only among PRIFTIN overdose reactions. The label's most common LTBI (3HP) reaction, hypersensitivity / flu-like reaction (4%), is missing from this English list and appears only in the Chinese 主要副作用 summary.</t>
        </is>
      </c>
      <c r="I765" s="3" t="inlineStr">
        <is>
          <t>US FDA Priftin label §6.1 Tables 2–3 — https://dailymed.nlm.nih.gov/dailymed/drugInfo.cfm?setid=3a64fb70-b85e-43d9-8bcd-7e893f568ae1</t>
        </is>
      </c>
      <c r="J765" s="3" t="inlineStr">
        <is>
          <t>Open</t>
        </is>
      </c>
      <c r="K765" s="3" t="inlineStr"/>
    </row>
    <row r="766">
      <c r="A766" s="3" t="n">
        <v>1150</v>
      </c>
      <c r="B766" s="3" t="inlineStr">
        <is>
          <t>Priftin (Rifapentine) (PRI07)</t>
        </is>
      </c>
      <c r="C766" s="8" t="inlineStr">
        <is>
          <t>Medium</t>
        </is>
      </c>
      <c r="D766" s="3" t="inlineStr">
        <is>
          <t>Breastfeeding</t>
        </is>
      </c>
      <c r="E766" s="3" t="inlineStr">
        <is>
          <t>LactMed outdated</t>
        </is>
      </c>
      <c r="F766" s="3" t="inlineStr">
        <is>
          <t>Update to label §8.2 and LactMed: low milk levels, breastfeeding not discouraged, monitor infant liver.</t>
        </is>
      </c>
      <c r="G766" s="3" t="inlineStr">
        <is>
          <t>Not known if present in breast milk; manufacturer recommends a decision whether to discontinue breastfeeding or the drug; may discolor milk red-orange.</t>
        </is>
      </c>
      <c r="H766" s="3" t="inlineStr">
        <is>
          <t>The current label (§8.2) has no 'discontinue breastfeeding or drug' statement. It weighs breastfeeding benefits against maternal need and asks that the infant be monitored for hepatotoxicity signs. LactMed: breastfeeding should not be discouraged (CDC), milk levels are low (measured, ~280–533 mcg/L), monitor infant liver.</t>
        </is>
      </c>
      <c r="I766" s="3" t="inlineStr">
        <is>
          <t>US FDA label §8.2 — https://dailymed.nlm.nih.gov/dailymed/drugInfo.cfm?setid=3a64fb70-b85e-43d9-8bcd-7e893f568ae1 ; LactMed NBK501601 — https://www.ncbi.nlm.nih.gov/books/NBK501601/</t>
        </is>
      </c>
      <c r="J766" s="3" t="inlineStr">
        <is>
          <t>Open</t>
        </is>
      </c>
      <c r="K766" s="3" t="inlineStr"/>
    </row>
    <row r="767">
      <c r="A767" s="3" t="n">
        <v>1158</v>
      </c>
      <c r="B767" s="3" t="inlineStr">
        <is>
          <t>Priftin (Rifapentine) (PRI07)</t>
        </is>
      </c>
      <c r="C767" s="8" t="inlineStr">
        <is>
          <t>Medium</t>
        </is>
      </c>
      <c r="D767" s="3" t="inlineStr">
        <is>
          <t>Breastfeeding</t>
        </is>
      </c>
      <c r="E767" s="3" t="inlineStr">
        <is>
          <t>LactMed outdated</t>
        </is>
      </c>
      <c r="F767" s="3" t="inlineStr">
        <is>
          <t>Remove outdated 'discontinue nursing or drug'; cite LactMed low levels and infant liver monitoring.</t>
        </is>
      </c>
      <c r="G767" s="3" t="inlineStr">
        <is>
          <t>Not known if present in breast milk; manufacturer recommends a decision whether to discontinue breastfeeding or the drug; may discolor milk red-orange.</t>
        </is>
      </c>
      <c r="H767" s="3" t="inlineStr">
        <is>
          <t>Current label §8.2: no data; weigh breastfeeding benefits against risk; monitor the infant for hepatotoxicity. LactMed (2022): milk levels measured and low; CDC says breastfeeding should not be discouraged. The 'discontinue breastfeeding or drug' wording is outdated.</t>
        </is>
      </c>
      <c r="I767" s="3" t="inlineStr">
        <is>
          <t>US FDA Priftin label §8.2 — https://dailymed.nlm.nih.gov/dailymed/drugInfo.cfm?setid=3a64fb70-b85e-43d9-8bcd-7e893f568ae1 ; LactMed NBK501601 — https://www.ncbi.nlm.nih.gov/books/NBK501601/</t>
        </is>
      </c>
      <c r="J767" s="3" t="inlineStr">
        <is>
          <t>Open</t>
        </is>
      </c>
      <c r="K767" s="3" t="inlineStr"/>
    </row>
    <row r="768">
      <c r="A768" s="3" t="n">
        <v>1155</v>
      </c>
      <c r="B768" s="3" t="inlineStr">
        <is>
          <t>Priftin (Rifapentine) (PRI07)</t>
        </is>
      </c>
      <c r="C768" s="8" t="inlineStr">
        <is>
          <t>Medium</t>
        </is>
      </c>
      <c r="D768" s="3" t="inlineStr">
        <is>
          <t>Dosing – adult</t>
        </is>
      </c>
      <c r="E768" s="3" t="inlineStr"/>
      <c r="F768" s="3" t="inlineStr">
        <is>
          <t>Add weight-based INH dose for 3HP and state DOT per label; mark self-administration as CDC guideline.</t>
        </is>
      </c>
      <c r="G768" s="3" t="inlineStr">
        <is>
          <t>Adult LTBI lists only the 25.1–32 / 32.1–50 / &gt;50 kg bands with no INH dose. The pediatric note allows DOT or self-administered therapy (CDC Borisov 2018).</t>
        </is>
      </c>
      <c r="H768" s="3" t="inlineStr">
        <is>
          <t>The label requires DOT and gives the INH dose: 15 mg/kg if ≥12 y, 25 mg/kg if 2–11 y, max 900 mg. Self-administration is a CDC 2018 guideline option, not label wording. The page should say it is guideline-based and should give the INH dose.</t>
        </is>
      </c>
      <c r="I768" s="3" t="inlineStr">
        <is>
          <t>US FDA label §2.2 — https://dailymed.nlm.nih.gov/dailymed/drugInfo.cfm?setid=3a64fb70-b85e-43d9-8bcd-7e893f568ae1 ; Borisov 2018 PMID 29953429</t>
        </is>
      </c>
      <c r="J768" s="3" t="inlineStr">
        <is>
          <t>Open</t>
        </is>
      </c>
      <c r="K768" s="3" t="inlineStr"/>
    </row>
    <row r="769">
      <c r="A769" s="3" t="n">
        <v>1152</v>
      </c>
      <c r="B769" s="3" t="inlineStr">
        <is>
          <t>Priftin (Rifapentine) (PRI07)</t>
        </is>
      </c>
      <c r="C769" s="8" t="inlineStr">
        <is>
          <t>Medium</t>
        </is>
      </c>
      <c r="D769" s="3" t="inlineStr">
        <is>
          <t>Indication/coverage</t>
        </is>
      </c>
      <c r="E769" s="3" t="inlineStr"/>
      <c r="F769" s="3" t="inlineStr">
        <is>
          <t>Align 臨床用途 with label: active pulmonary TB (≥12 y) and LTBI (≥2 y).</t>
        </is>
      </c>
      <c r="G769" s="3" t="inlineStr">
        <is>
          <t>公費抗結核劑，治療潛伏型結核病 (LTBI only)</t>
        </is>
      </c>
      <c r="H769" s="3" t="inlineStr">
        <is>
          <t>The label approves both active pulmonary TB (≥12 y) and LTBI (≥2 y). The same hospital page lists both under 適應症, so the page contradicts itself.</t>
        </is>
      </c>
      <c r="I769" s="3" t="inlineStr">
        <is>
          <t>US FDA label §1.1, §1.2 — https://dailymed.nlm.nih.gov/dailymed/drugInfo.cfm?setid=3a64fb70-b85e-43d9-8bcd-7e893f568ae1</t>
        </is>
      </c>
      <c r="J769" s="3" t="inlineStr">
        <is>
          <t>Open</t>
        </is>
      </c>
      <c r="K769" s="3" t="inlineStr"/>
    </row>
    <row r="770">
      <c r="A770" s="3" t="n">
        <v>1160</v>
      </c>
      <c r="B770" s="3" t="inlineStr">
        <is>
          <t>Priftin (Rifapentine) (PRI07)</t>
        </is>
      </c>
      <c r="C770" s="8" t="inlineStr">
        <is>
          <t>Medium</t>
        </is>
      </c>
      <c r="D770" s="3" t="inlineStr">
        <is>
          <t>Indication/coverage</t>
        </is>
      </c>
      <c r="E770" s="3" t="inlineStr"/>
      <c r="F770" s="3" t="inlineStr">
        <is>
          <t>Add active pulmonary TB to 臨床用途; note LTBI-only is a 公費 programme restriction.</t>
        </is>
      </c>
      <c r="G770" s="3" t="inlineStr">
        <is>
          <t>公費抗結核劑，治療潛伏型結核病 (LTBI only)</t>
        </is>
      </c>
      <c r="H770" s="3" t="inlineStr">
        <is>
          <t>The label also lists active pulmonary TB in patients ≥12 y (§1.1), and the hospital's own 適應症 field lists both. 臨床用途 is inconsistent with it. The 公費 supply may be LTBI-only, but that is a programme restriction, not a label one.</t>
        </is>
      </c>
      <c r="I770" s="3" t="inlineStr">
        <is>
          <t>US FDA Priftin label §1.1–1.2 — https://dailymed.nlm.nih.gov/dailymed/drugInfo.cfm?setid=3a64fb70-b85e-43d9-8bcd-7e893f568ae1</t>
        </is>
      </c>
      <c r="J770" s="3" t="inlineStr">
        <is>
          <t>Open</t>
        </is>
      </c>
      <c r="K770" s="3" t="inlineStr"/>
    </row>
    <row r="771">
      <c r="A771" s="3" t="n">
        <v>1188</v>
      </c>
      <c r="B771" s="3" t="inlineStr">
        <is>
          <t>Pyrazinamide (PYR03)</t>
        </is>
      </c>
      <c r="C771" s="8" t="inlineStr">
        <is>
          <t>Medium</t>
        </is>
      </c>
      <c r="D771" s="3" t="inlineStr">
        <is>
          <t>Adverse effects</t>
        </is>
      </c>
      <c r="E771" s="3" t="inlineStr"/>
      <c r="F771" s="3" t="inlineStr">
        <is>
          <t>Add arthralgia/myalgia, gout, photosensitivity, rash, thrombocytopenia, sideroblastic anaemia, interstitial nephritis, porphyria.</t>
        </is>
      </c>
      <c r="G771" s="3" t="inlineStr">
        <is>
          <t>Hepatotoxicity, hyperuricemia, nausea, vomiting, anorexia.</t>
        </is>
      </c>
      <c r="H771" s="3" t="inlineStr">
        <is>
          <t>Also listed in the labels: arthralgia/myalgia (frequent, US), gout, photosensitivity, rash/urticaria/angioedema, thrombocytopenia, sideroblastic anaemia, interstitial nephritis, porphyria, fever, dysuria, and eosinophilia (仿單).</t>
        </is>
      </c>
      <c r="I771" s="3" t="inlineStr">
        <is>
          <t>US ADVERSE REACTIONS; UK SmPC §4.8; 仿單 【注意事項】3</t>
        </is>
      </c>
      <c r="J771" s="3" t="inlineStr">
        <is>
          <t>Open</t>
        </is>
      </c>
      <c r="K771" s="3" t="inlineStr"/>
    </row>
    <row r="772">
      <c r="A772" s="3" t="n">
        <v>1196</v>
      </c>
      <c r="B772" s="3" t="inlineStr">
        <is>
          <t>Pyrazinamide (PYR03)</t>
        </is>
      </c>
      <c r="C772" s="8" t="inlineStr">
        <is>
          <t>Medium</t>
        </is>
      </c>
      <c r="D772" s="3" t="inlineStr">
        <is>
          <t>Adverse effects</t>
        </is>
      </c>
      <c r="E772" s="3" t="inlineStr"/>
      <c r="F772" s="3" t="inlineStr">
        <is>
          <t>Complete side effect list: arthralgia/myalgia, photosensitivity, rash, thrombocytopenia, sideroblastic anaemia, interstitial nephritis, porphyria.</t>
        </is>
      </c>
      <c r="G772" s="3" t="inlineStr">
        <is>
          <t>Hepatotoxicity, hyperuricemia, nausea, vomiting, anorexia.</t>
        </is>
      </c>
      <c r="H772" s="3" t="inlineStr">
        <is>
          <t>Incomplete compared with the labels. Missing: arthralgia/myalgia (frequent, US), photosensitivity, rash/urticaria/angioedema, thrombocytopenia, sideroblastic anaemia, interstitial nephritis, porphyria (US/UK), and 色素沈著/好酸球增多 (仿單).</t>
        </is>
      </c>
      <c r="I772" s="3" t="inlineStr">
        <is>
          <t>US label ADVERSE REACTIONS; UK SmPC §4.8; Taiwan 仿單 3. 副作用</t>
        </is>
      </c>
      <c r="J772" s="3" t="inlineStr">
        <is>
          <t>Open</t>
        </is>
      </c>
      <c r="K772" s="3" t="inlineStr"/>
    </row>
    <row r="773">
      <c r="A773" s="3" t="n">
        <v>1185</v>
      </c>
      <c r="B773" s="3" t="inlineStr">
        <is>
          <t>Pyrazinamide (PYR03)</t>
        </is>
      </c>
      <c r="C773" s="8" t="inlineStr">
        <is>
          <t>Medium</t>
        </is>
      </c>
      <c r="D773" s="3" t="inlineStr">
        <is>
          <t>Breastfeeding</t>
        </is>
      </c>
      <c r="E773" s="3" t="inlineStr">
        <is>
          <t>LactMed outdated</t>
        </is>
      </c>
      <c r="F773" s="3" t="inlineStr">
        <is>
          <t>Add UK breastfeeding contraindication and LactMed/CDC position with infant monitoring for jaundice, hepatitis, arthralgia.</t>
        </is>
      </c>
      <c r="G773" s="3" t="inlineStr">
        <is>
          <t>Small amounts in milk; decide whether to discontinue nursing or the drug.</t>
        </is>
      </c>
      <c r="H773" s="3" t="inlineStr">
        <is>
          <t>The UK contraindicates breastfeeding. LactMed says milk levels are potentially substantial; it advises monitoring exclusively breastfed infants for jaundice, hepatitis and arthralgia, and notes that CDC and other professional organisations say breastfeeding should not be discouraged. The hospital text gives neither position.</t>
        </is>
      </c>
      <c r="I773" s="3" t="inlineStr">
        <is>
          <t>UK SmPC §4.3/§4.6; LactMed NBK501347 https://www.ncbi.nlm.nih.gov/books/NBK501347/</t>
        </is>
      </c>
      <c r="J773" s="3" t="inlineStr">
        <is>
          <t>Open</t>
        </is>
      </c>
      <c r="K773" s="3" t="inlineStr"/>
    </row>
    <row r="774">
      <c r="A774" s="3" t="n">
        <v>1192</v>
      </c>
      <c r="B774" s="3" t="inlineStr">
        <is>
          <t>Pyrazinamide (PYR03)</t>
        </is>
      </c>
      <c r="C774" s="8" t="inlineStr">
        <is>
          <t>Medium</t>
        </is>
      </c>
      <c r="D774" s="3" t="inlineStr">
        <is>
          <t>Breastfeeding</t>
        </is>
      </c>
      <c r="E774" s="3" t="inlineStr">
        <is>
          <t>LactMed outdated</t>
        </is>
      </c>
      <c r="F774" s="3" t="inlineStr">
        <is>
          <t>Add UK breastfeeding contraindication and LactMed/CDC 'do not discourage' position with infant monitoring.</t>
        </is>
      </c>
      <c r="G774" s="3" t="inlineStr">
        <is>
          <t>Distributed into milk in small amounts; decide whether to discontinue nursing or the drug.</t>
        </is>
      </c>
      <c r="H774" s="3" t="inlineStr">
        <is>
          <t>UK: contraindicated in breastfeeding. US: use with caution. LactMed: milk levels potentially substantial; monitor the infant; CDC and other bodies say breastfeeding should not be discouraged. The hospital text mentions neither the UK contraindication nor the LactMed/CDC position.</t>
        </is>
      </c>
      <c r="I774" s="3" t="inlineStr">
        <is>
          <t>LactMed NBK501347 https://www.ncbi.nlm.nih.gov/books/NBK501347/ ; UK SmPC §4.6</t>
        </is>
      </c>
      <c r="J774" s="3" t="inlineStr">
        <is>
          <t>Open</t>
        </is>
      </c>
      <c r="K774" s="3" t="inlineStr"/>
    </row>
    <row r="775">
      <c r="A775" s="3" t="n">
        <v>1182</v>
      </c>
      <c r="B775" s="3" t="inlineStr">
        <is>
          <t>Pyrazinamide (PYR03)</t>
        </is>
      </c>
      <c r="C775" s="8" t="inlineStr">
        <is>
          <t>Medium</t>
        </is>
      </c>
      <c r="D775" s="3" t="inlineStr">
        <is>
          <t>Contraindication/warning</t>
        </is>
      </c>
      <c r="E775" s="3" t="inlineStr"/>
      <c r="F775" s="3" t="inlineStr">
        <is>
          <t>Remove renal failure as contraindication; list as caution with reduced/intermittent dosing.</t>
        </is>
      </c>
      <c r="G775" s="3" t="inlineStr">
        <is>
          <t>Patients with severe hepatic damage, renal failure, gout.</t>
        </is>
      </c>
      <c r="H775" s="3" t="inlineStr">
        <is>
          <t>No label contraindicates renal failure. The US says no dose reduction appears required. The UK says emergencies only, with reduced dose or frequency given intermittently. The 仿單 lists 腎障害 under 慎重投與 (caution), not 禁忌.</t>
        </is>
      </c>
      <c r="I775" s="3" t="inlineStr">
        <is>
          <t>US GERIATRIC USE; UK §4.4; 仿單 【注意事項】2.b — https://mcp.fda.gov.tw/insert/pdfcasefile/i_8de661ba-bced-4948-baae-5b4c4be371c3</t>
        </is>
      </c>
      <c r="J775" s="3" t="inlineStr">
        <is>
          <t>Open</t>
        </is>
      </c>
      <c r="K775" s="3" t="inlineStr"/>
    </row>
    <row r="776">
      <c r="A776" s="3" t="n">
        <v>1195</v>
      </c>
      <c r="B776" s="3" t="inlineStr">
        <is>
          <t>Pyrazinamide (PYR03)</t>
        </is>
      </c>
      <c r="C776" s="8" t="inlineStr">
        <is>
          <t>Medium</t>
        </is>
      </c>
      <c r="D776" s="3" t="inlineStr">
        <is>
          <t>Dosing – adult</t>
        </is>
      </c>
      <c r="E776" s="3" t="inlineStr"/>
      <c r="F776" s="3" t="inlineStr">
        <is>
          <t>Verify DR-TB 25–40 mg/kg dose against ATS/CDC/ERS/IDSA 2019 and add source, or remove.</t>
        </is>
      </c>
      <c r="G776" s="3" t="inlineStr">
        <is>
          <t>25 to 40 mg/kg once daily (and 25–40 mg/kg three times weekly in renal impairment).</t>
        </is>
      </c>
      <c r="H776" s="3" t="inlineStr">
        <is>
          <t>No label gives a DR-TB dose. The US label only says regimens are individualized. Source unclear; not verified against ATS/CDC/ERS/IDSA 2019 (PMID 31729908). Flag for the pharmacist; do not copy into Notion.</t>
        </is>
      </c>
      <c r="I776" s="3" t="inlineStr">
        <is>
          <t>US label INDICATIONS/D&amp;A; PMID 31729908 https://pubmed.ncbi.nlm.nih.gov/31729908/</t>
        </is>
      </c>
      <c r="J776" s="3" t="inlineStr">
        <is>
          <t>Open</t>
        </is>
      </c>
      <c r="K776" s="3" t="inlineStr"/>
    </row>
    <row r="777">
      <c r="A777" s="3" t="n">
        <v>83</v>
      </c>
      <c r="B777" s="3" t="inlineStr">
        <is>
          <t>Rapiacta (Peramivir) (RAP02)</t>
        </is>
      </c>
      <c r="C777" s="8" t="inlineStr">
        <is>
          <t>Medium</t>
        </is>
      </c>
      <c r="D777" s="3" t="inlineStr">
        <is>
          <t>Adverse effects</t>
        </is>
      </c>
      <c r="E777" s="3" t="inlineStr"/>
      <c r="F777" s="3" t="inlineStr">
        <is>
          <t>Remove QT prolongation; add serious ADRs: anaphylaxis, leukopenia, hepatic dysfunction, AKI, abnormal behaviour</t>
        </is>
      </c>
      <c r="G777" s="3" t="inlineStr">
        <is>
          <t>Diarrhea, Nausea, Vomiting, Neutropenia, ALT/SGPT level raised, Prolonged QT interval</t>
        </is>
      </c>
      <c r="H777" s="3" t="inlineStr">
        <is>
          <t>Both labels say peramivir did NOT prolong QTc at twice the maximum dose (US §12.2; TW §12.2). The hospital list also leaves out the Taiwan insert's serious ADRs: shock/anaphylaxis, leukopenia, hepatic dysfunction/jaundice, acute renal failure, abnormal behaviour; and proteinuria (2.5%).</t>
        </is>
      </c>
      <c r="I777" s="3" t="inlineStr">
        <is>
          <t>US RAPIVAB §12.2, §6; Taiwan insert v4 §6.2, §12.2</t>
        </is>
      </c>
      <c r="J777" s="3" t="inlineStr">
        <is>
          <t>Open</t>
        </is>
      </c>
      <c r="K777" s="3" t="inlineStr"/>
    </row>
    <row r="778">
      <c r="A778" s="3" t="n">
        <v>86</v>
      </c>
      <c r="B778" s="3" t="inlineStr">
        <is>
          <t>Rapiacta (Peramivir) (RAP02)</t>
        </is>
      </c>
      <c r="C778" s="8" t="inlineStr">
        <is>
          <t>Medium</t>
        </is>
      </c>
      <c r="D778" s="3" t="inlineStr">
        <is>
          <t>Breastfeeding</t>
        </is>
      </c>
      <c r="E778" s="3" t="inlineStr">
        <is>
          <t>LactMed outdated</t>
        </is>
      </c>
      <c r="F778" s="3" t="inlineStr">
        <is>
          <t>Add LactMed view: infant exposure unlikely; alternative preferred for newborns</t>
        </is>
      </c>
      <c r="G778" s="3" t="inlineStr">
        <is>
          <t>Avoid, No data available</t>
        </is>
      </c>
      <c r="H778" s="3" t="inlineStr">
        <is>
          <t>This matches Taiwan insert §8.3 ('投與中應避免哺餵母乳'). LactMed is less restrictive: poor oral absorption makes clinically important infant exposure unlikely, though an alternative (oseltamivir/zanamivir) may be preferred, especially for newborn or preterm infants. Consider citing both.</t>
        </is>
      </c>
      <c r="I778" s="3" t="inlineStr">
        <is>
          <t>Taiwan insert v4 §8.3; LactMed NBK500785 (https://www.ncbi.nlm.nih.gov/books/NBK500785/)</t>
        </is>
      </c>
      <c r="J778" s="3" t="inlineStr">
        <is>
          <t>Open</t>
        </is>
      </c>
      <c r="K778" s="3" t="inlineStr"/>
    </row>
    <row r="779">
      <c r="A779" s="3" t="n">
        <v>74</v>
      </c>
      <c r="B779" s="3" t="inlineStr">
        <is>
          <t>Rapiacta (Peramivir) (RAP02)</t>
        </is>
      </c>
      <c r="C779" s="8" t="inlineStr">
        <is>
          <t>Medium</t>
        </is>
      </c>
      <c r="D779" s="3" t="inlineStr">
        <is>
          <t>Contraindication/warning</t>
        </is>
      </c>
      <c r="E779" s="3" t="inlineStr"/>
      <c r="F779" s="3" t="inlineStr">
        <is>
          <t>Remove cross-allergy to other neuraminidase inhibitors from contraindications</t>
        </is>
      </c>
      <c r="G779" s="3" t="inlineStr">
        <is>
          <t>Lists cross-allergy to oseltamivir/zanamivir.</t>
        </is>
      </c>
      <c r="H779" s="3" t="inlineStr">
        <is>
          <t>The only contraindication is known serious hypersensitivity or anaphylaxis to peramivir or any component. The label states no cross-allergy with other neuraminidase inhibitors.</t>
        </is>
      </c>
      <c r="I779" s="3" t="inlineStr">
        <is>
          <t>DailyMed RAPIVAB §4 https://dailymed.nlm.nih.gov/dailymed/drugInfo.cfm?setid=fe04f6cd-e71c-4bd4-abac-97720bba2a0d</t>
        </is>
      </c>
      <c r="J779" s="3" t="inlineStr">
        <is>
          <t>Open</t>
        </is>
      </c>
      <c r="K779" s="3" t="inlineStr"/>
    </row>
    <row r="780">
      <c r="A780" s="3" t="n">
        <v>82</v>
      </c>
      <c r="B780" s="3" t="inlineStr">
        <is>
          <t>Rapiacta (Peramivir) (RAP02)</t>
        </is>
      </c>
      <c r="C780" s="8" t="inlineStr">
        <is>
          <t>Medium</t>
        </is>
      </c>
      <c r="D780" s="3" t="inlineStr">
        <is>
          <t>Contraindication/warning</t>
        </is>
      </c>
      <c r="E780" s="3" t="inlineStr"/>
      <c r="F780" s="3" t="inlineStr">
        <is>
          <t>Remove NAI cross-allergy contraindication; keep hypersensitivity to peramivir/components</t>
        </is>
      </c>
      <c r="G780" s="3" t="inlineStr">
        <is>
          <t>Severe allergic reaction to any other neuraminidase inhibitor (zanamivir or oseltamivir) or any ingredient in the product</t>
        </is>
      </c>
      <c r="H780" s="3" t="inlineStr">
        <is>
          <t>Taiwan insert §4: only previous hypersensitivity to the product's ingredients. US §4: known serious hypersensitivity or anaphylaxis to peramivir or any product component. Neither label lists cross-allergy to other neuraminidase inhibitors as a contraindication.</t>
        </is>
      </c>
      <c r="I780" s="3" t="inlineStr">
        <is>
          <t>Taiwan insert v4 §4; US RAPIVAB §4</t>
        </is>
      </c>
      <c r="J780" s="3" t="inlineStr">
        <is>
          <t>Open</t>
        </is>
      </c>
      <c r="K780" s="3" t="inlineStr"/>
    </row>
    <row r="781">
      <c r="A781" s="3" t="n">
        <v>85</v>
      </c>
      <c r="B781" s="3" t="inlineStr">
        <is>
          <t>Rapiacta (Peramivir) (RAP02)</t>
        </is>
      </c>
      <c r="C781" s="8" t="inlineStr">
        <is>
          <t>Medium</t>
        </is>
      </c>
      <c r="D781" s="3" t="inlineStr">
        <is>
          <t>Contraindication/warning</t>
        </is>
      </c>
      <c r="E781" s="3" t="inlineStr"/>
      <c r="F781" s="3" t="inlineStr">
        <is>
          <t>Add LFT monitoring soon after start (early hepatic dysfunction/jaundice, TW §5.3)</t>
        </is>
      </c>
      <c r="G781" s="3" t="inlineStr">
        <is>
          <t>Hepatic: 'There are no dosage adjustments provided in the manufacturer's labeling'; no LFT monitoring statement</t>
        </is>
      </c>
      <c r="H781" s="3" t="inlineStr">
        <is>
          <t>No dose adjustment is correct. However, Taiwan insert §5.3 asks for liver function tests right after starting treatment, because hepatic dysfunction or jaundice can appear early (for example the next day).</t>
        </is>
      </c>
      <c r="I781" s="3" t="inlineStr">
        <is>
          <t>Taiwan insert v4 §5.3, §6.2.3</t>
        </is>
      </c>
      <c r="J781" s="3" t="inlineStr">
        <is>
          <t>Open</t>
        </is>
      </c>
      <c r="K781" s="3" t="inlineStr"/>
    </row>
    <row r="782">
      <c r="A782" s="3" t="n">
        <v>77</v>
      </c>
      <c r="B782" s="3" t="inlineStr">
        <is>
          <t>Rapiacta (Peramivir) (RAP02)</t>
        </is>
      </c>
      <c r="C782" s="8" t="inlineStr">
        <is>
          <t>Medium</t>
        </is>
      </c>
      <c r="D782" s="3" t="inlineStr">
        <is>
          <t>Dosing – adult</t>
        </is>
      </c>
      <c r="E782" s="3" t="inlineStr"/>
      <c r="F782" s="3" t="inlineStr">
        <is>
          <t>Note efficacy not established in hospitalized influenza; 600 mg ×5 days off-label</t>
        </is>
      </c>
      <c r="G782" s="3" t="inlineStr">
        <is>
          <t>Hospitalized patients (off-label): 600 mg daily for up to 5 days.</t>
        </is>
      </c>
      <c r="H782" s="3" t="inlineStr">
        <is>
          <t>Efficacy could not be established in serious influenza requiring hospitalization. Study 301 (600 mg daily ×5 days) showed no benefit over standard of care.</t>
        </is>
      </c>
      <c r="I782" s="3" t="inlineStr">
        <is>
          <t>DailyMed RAPIVAB §1, §8.7, §14.3 https://dailymed.nlm.nih.gov/dailymed/drugInfo.cfm?setid=fe04f6cd-e71c-4bd4-abac-97720bba2a0d</t>
        </is>
      </c>
      <c r="J782" s="3" t="inlineStr">
        <is>
          <t>Open</t>
        </is>
      </c>
      <c r="K782" s="3" t="inlineStr"/>
    </row>
    <row r="783">
      <c r="A783" s="3" t="n">
        <v>78</v>
      </c>
      <c r="B783" s="3" t="inlineStr">
        <is>
          <t>Rapiacta (Peramivir) (RAP02)</t>
        </is>
      </c>
      <c r="C783" s="8" t="inlineStr">
        <is>
          <t>Medium</t>
        </is>
      </c>
      <c r="D783" s="3" t="inlineStr">
        <is>
          <t>Dosing – adult</t>
        </is>
      </c>
      <c r="E783" s="3" t="inlineStr"/>
      <c r="F783" s="3" t="inlineStr">
        <is>
          <t>Verify 300 mg dose against TW Rapiacta insert; US approves 600 mg single dose</t>
        </is>
      </c>
      <c r="G783" s="3" t="inlineStr">
        <is>
          <t>300 mg single dose, cited as from the 仿單.</t>
        </is>
      </c>
      <c r="H783" s="3" t="inlineStr">
        <is>
          <t>Cannot be verified: the Taiwan insert was blocked (403). The US label approves only 600 mg (§2.1). The 300 mg arm of Study 621 is not reported as an approved dose.</t>
        </is>
      </c>
      <c r="I783" s="3" t="inlineStr">
        <is>
          <t>DailyMed RAPIVAB §2.1, §14.1; Taiwan insert candidate https://www.shionogi.com/content/dam/shionogi/ts/products/pdf/Rapiacta-INS-081009.pdf (not retrieved)</t>
        </is>
      </c>
      <c r="J783" s="3" t="inlineStr">
        <is>
          <t>Open</t>
        </is>
      </c>
      <c r="K783" s="3" t="inlineStr"/>
    </row>
    <row r="784">
      <c r="A784" s="3" t="n">
        <v>84</v>
      </c>
      <c r="B784" s="3" t="inlineStr">
        <is>
          <t>Rapiacta (Peramivir) (RAP02)</t>
        </is>
      </c>
      <c r="C784" s="8" t="inlineStr">
        <is>
          <t>Medium</t>
        </is>
      </c>
      <c r="D784" s="3" t="inlineStr">
        <is>
          <t>Indication/coverage</t>
        </is>
      </c>
      <c r="E784" s="3" t="inlineStr"/>
      <c r="F784" s="3" t="inlineStr">
        <is>
          <t>Use TW indication: influenza A/B in adults and children ≥1 month; add limitations</t>
        </is>
      </c>
      <c r="G784" s="3" t="inlineStr">
        <is>
          <t>Treatment of acute, uncomplicated influenza in patients ≥6 months of age (US Rapivab wording)</t>
        </is>
      </c>
      <c r="H784" s="3" t="inlineStr">
        <is>
          <t>The label of the stocked product (Rapiacta) covers adults and children ≥1 month of age with acute influenza A and B. Limitations: prophylaxis not established; not effective for influenza C or bacteria; efficacy not established in hospitalized severe influenza.</t>
        </is>
      </c>
      <c r="I784" s="3" t="inlineStr">
        <is>
          <t>Taiwan insert v4 §1</t>
        </is>
      </c>
      <c r="J784" s="3" t="inlineStr">
        <is>
          <t>Open</t>
        </is>
      </c>
      <c r="K784" s="3" t="inlineStr"/>
    </row>
    <row r="785">
      <c r="A785" s="3" t="n">
        <v>1451</v>
      </c>
      <c r="B785" s="3" t="inlineStr">
        <is>
          <t>Ribarin (Ribavirin) (RIB01)</t>
        </is>
      </c>
      <c r="C785" s="8" t="inlineStr">
        <is>
          <t>Medium</t>
        </is>
      </c>
      <c r="D785" s="3" t="inlineStr">
        <is>
          <t>Adverse effects</t>
        </is>
      </c>
      <c r="E785" s="3" t="inlineStr"/>
      <c r="F785" s="3" t="inlineStr">
        <is>
          <t>Remove interferon-related injection-site reactions; add haemolytic anaemia as main ADR.</t>
        </is>
      </c>
      <c r="G785" s="3" t="inlineStr">
        <is>
          <t>Local: Injection site reaction; 類流感症狀 (flu-like symptoms) listed as main ADRs</t>
        </is>
      </c>
      <c r="H785" s="3" t="inlineStr">
        <is>
          <t>Injection-site reactions come from the injected interferon partner and do not apply to oral ribavirin. Flu-like symptoms are also mainly interferon-related. Ribavirin's own main toxicity, haemolytic anaemia (boxed warning), is missing from the 藥袋 主要副作用 line.</t>
        </is>
      </c>
      <c r="I785" s="3" t="inlineStr">
        <is>
          <t>DailyMed Boxed Warning, §6.1 'The primary toxicity of ribavirin is hemolytic anemia' https://dailymed.nlm.nih.gov/dailymed/drugInfo.cfm?setid=35f99f76-f2ef-4a81-91ff-285419664be3</t>
        </is>
      </c>
      <c r="J785" s="3" t="inlineStr">
        <is>
          <t>Open</t>
        </is>
      </c>
      <c r="K785" s="3" t="inlineStr"/>
    </row>
    <row r="786">
      <c r="A786" s="3" t="n">
        <v>1462</v>
      </c>
      <c r="B786" s="3" t="inlineStr">
        <is>
          <t>Ribarin (Ribavirin) (RIB01)</t>
        </is>
      </c>
      <c r="C786" s="8" t="inlineStr">
        <is>
          <t>Medium</t>
        </is>
      </c>
      <c r="D786" s="3" t="inlineStr">
        <is>
          <t>Adverse effects</t>
        </is>
      </c>
      <c r="E786" s="3" t="inlineStr"/>
      <c r="F786" s="3" t="inlineStr">
        <is>
          <t>Label injection-site and flu-like reactions as interferon-related or remove them.</t>
        </is>
      </c>
      <c r="G786" s="3" t="inlineStr">
        <is>
          <t>8. Local: Injection site reaction (plus flu-like symptoms, rigor)</t>
        </is>
      </c>
      <c r="H786" s="3" t="inlineStr">
        <is>
          <t>These appear in the label adverse-reaction tables only because ribavirin was always given with injected peginterferon or interferon (US 6.1; TW 表四 注射部位). They do not apply to oral ribavirin given with DAAs. The page should label them as interferon-related or remove them.</t>
        </is>
      </c>
      <c r="I786" s="3" t="inlineStr">
        <is>
          <t>US label §6.1 https://dailymed.nlm.nih.gov/dailymed/drugInfo.cfm?setid=35f99f76-f2ef-4a81-91ff-285419664be3 ; TW仿單 §8.1 表四</t>
        </is>
      </c>
      <c r="J786" s="3" t="inlineStr">
        <is>
          <t>Open</t>
        </is>
      </c>
      <c r="K786" s="3" t="inlineStr"/>
    </row>
    <row r="787">
      <c r="A787" s="3" t="n">
        <v>1447</v>
      </c>
      <c r="B787" s="3" t="inlineStr">
        <is>
          <t>Ribarin (Ribavirin) (RIB01)</t>
        </is>
      </c>
      <c r="C787" s="8" t="inlineStr">
        <is>
          <t>Medium</t>
        </is>
      </c>
      <c r="D787" s="3" t="inlineStr">
        <is>
          <t>Contraindication/warning</t>
        </is>
      </c>
      <c r="E787" s="3" t="inlineStr"/>
      <c r="F787" s="3" t="inlineStr">
        <is>
          <t>Remove alfa interferons from contraindications; only didanosine is contraindicated.</t>
        </is>
      </c>
      <c r="G787" s="3" t="inlineStr">
        <is>
          <t>Concomitant use with didanosine, alfa interferons</t>
        </is>
      </c>
      <c r="H787" s="3" t="inlineStr">
        <is>
          <t>Alfa interferons are not a contraindication. The Taiwan and US labels only approve ribavirin for use WITH peginterferon/interferon alfa-2b. Only didanosine coadministration is contraindicated (US §4).</t>
        </is>
      </c>
      <c r="I787" s="3" t="inlineStr">
        <is>
          <t>Taiwan insert §2/§3.1; DailyMed §1.1, §4 https://dailymed.nlm.nih.gov/dailymed/drugInfo.cfm?setid=35f99f76-f2ef-4a81-91ff-285419664be3</t>
        </is>
      </c>
      <c r="J787" s="3" t="inlineStr">
        <is>
          <t>Open</t>
        </is>
      </c>
      <c r="K787" s="3" t="inlineStr"/>
    </row>
    <row r="788">
      <c r="A788" s="3" t="n">
        <v>1457</v>
      </c>
      <c r="B788" s="3" t="inlineStr">
        <is>
          <t>Ribarin (Ribavirin) (RIB01)</t>
        </is>
      </c>
      <c r="C788" s="8" t="inlineStr">
        <is>
          <t>Medium</t>
        </is>
      </c>
      <c r="D788" s="3" t="inlineStr">
        <is>
          <t>Contraindication/warning</t>
        </is>
      </c>
      <c r="E788" s="3" t="inlineStr"/>
      <c r="F788" s="3" t="inlineStr">
        <is>
          <t>Remove alfa interferons from contraindications; keep didanosine.</t>
        </is>
      </c>
      <c r="G788" s="3" t="inlineStr">
        <is>
          <t>Concomitant use with didanosine, alfa interferons</t>
        </is>
      </c>
      <c r="H788" s="3" t="inlineStr">
        <is>
          <t>Only didanosine is contraindicated (US §4) or not recommended (TW/SmPC). Interferon alfa is not a contraindication: the TW仿單 and US capsule label require ribavirin to be given WITH peginterferon alfa-2b or interferon alfa-2b. The hospital wording is likely a truncated or garbled version of 'contraindications to alfa interferons'.</t>
        </is>
      </c>
      <c r="I788" s="3" t="inlineStr">
        <is>
          <t>TW仿單 §2/§3.1 ; US label §1.1, §4 https://dailymed.nlm.nih.gov/dailymed/drugInfo.cfm?setid=35f99f76-f2ef-4a81-91ff-285419664be3</t>
        </is>
      </c>
      <c r="J788" s="3" t="inlineStr">
        <is>
          <t>Open</t>
        </is>
      </c>
      <c r="K788" s="3" t="inlineStr"/>
    </row>
    <row r="789">
      <c r="A789" s="3" t="n">
        <v>1446</v>
      </c>
      <c r="B789" s="3" t="inlineStr">
        <is>
          <t>Ribarin (Ribavirin) (RIB01)</t>
        </is>
      </c>
      <c r="C789" s="8" t="inlineStr">
        <is>
          <t>Medium</t>
        </is>
      </c>
      <c r="D789" s="3" t="inlineStr">
        <is>
          <t>Dosing – hepatic</t>
        </is>
      </c>
      <c r="E789" s="3" t="inlineStr"/>
      <c r="F789" s="3" t="inlineStr">
        <is>
          <t>No hepatic dose adjustment; CP B/C contraindication applies only with (peg)IFN.</t>
        </is>
      </c>
      <c r="G789" s="3" t="inlineStr">
        <is>
          <t>Contraindicated</t>
        </is>
      </c>
      <c r="H789" s="3" t="inlineStr">
        <is>
          <t>No dose adjustment is needed (TW §3.3, UK 4.2; US: AUC unchanged in Child-Pugh A–C). Child-Pugh B/C or decompensated cirrhosis is contraindicated only with the (Peg)IFN combination. With a DAA, ribavirin is label-indicated in decompensated cirrhosis (Epclusa + RBV, Child-Pugh B/C).</t>
        </is>
      </c>
      <c r="I789" s="3" t="inlineStr">
        <is>
          <t>Taiwan insert §3.3; UK SmPC §4.2; DailyMed EPCLUSA §2.2 https://dailymed.nlm.nih.gov/dailymed/drugInfo.cfm?setid=7f30631a-ee3b-4cfe-866b-964df3f0a44f</t>
        </is>
      </c>
      <c r="J789" s="3" t="inlineStr">
        <is>
          <t>Open</t>
        </is>
      </c>
      <c r="K789" s="3" t="inlineStr"/>
    </row>
    <row r="790">
      <c r="A790" s="3" t="n">
        <v>1456</v>
      </c>
      <c r="B790" s="3" t="inlineStr">
        <is>
          <t>Ribarin (Ribavirin) (RIB01)</t>
        </is>
      </c>
      <c r="C790" s="8" t="inlineStr">
        <is>
          <t>Medium</t>
        </is>
      </c>
      <c r="D790" s="3" t="inlineStr">
        <is>
          <t>Dosing – hepatic</t>
        </is>
      </c>
      <c r="E790" s="3" t="inlineStr"/>
      <c r="F790" s="3" t="inlineStr">
        <is>
          <t>No hepatic dose adjustment; CP B/C contraindicated only with (peg)IFN.</t>
        </is>
      </c>
      <c r="G790" s="3" t="inlineStr">
        <is>
          <t>Contraindicated</t>
        </is>
      </c>
      <c r="H790" s="3" t="inlineStr">
        <is>
          <t>No dose adjustment in hepatic impairment (TW仿單 3.3; SmPC 4.2); AUC unchanged in Child-Pugh A–C (US 12.3). Only severe dysfunction (Child-Pugh B/C) or decompensated cirrhosis is contraindicated, and only in combination with (peg)IFN (TW §4). With SOF/VEL, decompensated cirrhosis is a labelled use of ribavirin (Epclusa).</t>
        </is>
      </c>
      <c r="I790" s="3" t="inlineStr">
        <is>
          <t>TW仿單 §3.3/§4 ; UK SmPC §4.2 https://www.medicines.org.uk/emc/product/7108/smpc ; EPCLUSA label §2.2 https://dailymed.nlm.nih.gov/dailymed/drugInfo.cfm?setid=7f30631a-ee3b-4cfe-866b-964df3f0a44f</t>
        </is>
      </c>
      <c r="J790" s="3" t="inlineStr">
        <is>
          <t>Open</t>
        </is>
      </c>
      <c r="K790" s="3" t="inlineStr"/>
    </row>
    <row r="791">
      <c r="A791" s="3" t="n">
        <v>1449</v>
      </c>
      <c r="B791" s="3" t="inlineStr">
        <is>
          <t>Ribarin (Ribavirin) (RIB01)</t>
        </is>
      </c>
      <c r="C791" s="8" t="inlineStr">
        <is>
          <t>Medium</t>
        </is>
      </c>
      <c r="D791" s="3" t="inlineStr">
        <is>
          <t>Indication/coverage</t>
        </is>
      </c>
      <c r="E791" s="3" t="inlineStr"/>
      <c r="F791" s="3" t="inlineStr">
        <is>
          <t>State DAA combination and dosing are off-label for TW insert; cite source.</t>
        </is>
      </c>
      <c r="G791" s="3" t="inlineStr">
        <is>
          <t>CHC in combination with DAAs; weight-based 1 g/day (&lt;75 kg) or 1.2 g/day (≥75 kg); low initial dose 600 mg</t>
        </is>
      </c>
      <c r="H791" s="3" t="inlineStr">
        <is>
          <t>The Taiwan Ribarin insert (stocked product) approves only PegIFN/IFN alfa-2b combinations (800–1400 mg in 4 weight bands with PegIFN alfa-2b). The DAA indication and 1000/1200 mg regimen are supported by the UK SmPC and the US Epclusa label, not by the Taiwan or US capsule labels. The 600 mg low start comes from AASLD-IDSA guidance. The page should name its source and note that this differs from the 仿單.</t>
        </is>
      </c>
      <c r="I791" s="3" t="inlineStr">
        <is>
          <t>Taiwan insert §2/§3.1; UK SmPC §4.1/§4.2 Table 1; AASLD-IDSA PMID 37229695</t>
        </is>
      </c>
      <c r="J791" s="3" t="inlineStr">
        <is>
          <t>Open</t>
        </is>
      </c>
      <c r="K791" s="3" t="inlineStr"/>
    </row>
    <row r="792">
      <c r="A792" s="3" t="n">
        <v>1459</v>
      </c>
      <c r="B792" s="3" t="inlineStr">
        <is>
          <t>Ribarin (Ribavirin) (RIB01)</t>
        </is>
      </c>
      <c r="C792" s="8" t="inlineStr">
        <is>
          <t>Medium</t>
        </is>
      </c>
      <c r="D792" s="3" t="inlineStr">
        <is>
          <t>Indication/coverage</t>
        </is>
      </c>
      <c r="E792" s="3" t="inlineStr"/>
      <c r="F792" s="3" t="inlineStr">
        <is>
          <t>Note DAA combination is off-label for TW product; cite UK SmPC/DAA labels.</t>
        </is>
      </c>
      <c r="G792" s="3" t="inlineStr">
        <is>
          <t>Chronic hepatitis C in combination with direct-acting antivirals; peginterferon + ribavirin not recommended (AASLD/IDSA 2020)</t>
        </is>
      </c>
      <c r="H792" s="3" t="inlineStr">
        <is>
          <t>The TW仿單 for the stocked Ribarin and the US capsule label list only combination with peginterferon alfa-2b or interferon alfa-2b. DAA combination is approved only through the UK SmPC ('in combination with other medicinal products') and the DAA labels (e.g. Epclusa). This is not wrong clinically, but it is off-label for the stocked TW product and should say so.</t>
        </is>
      </c>
      <c r="I792" s="3" t="inlineStr">
        <is>
          <t>TW仿單 §2 ; US label §1.1 ; UK SmPC §4.1 https://www.medicines.org.uk/emc/product/7108/smpc</t>
        </is>
      </c>
      <c r="J792" s="3" t="inlineStr">
        <is>
          <t>Open</t>
        </is>
      </c>
      <c r="K792" s="3" t="inlineStr"/>
    </row>
    <row r="793">
      <c r="A793" s="3" t="n">
        <v>1445</v>
      </c>
      <c r="B793" s="3" t="inlineStr">
        <is>
          <t>Ribarin (Ribavirin) (RIB01)</t>
        </is>
      </c>
      <c r="C793" s="8" t="inlineStr">
        <is>
          <t>Medium</t>
        </is>
      </c>
      <c r="D793" s="3" t="inlineStr">
        <is>
          <t>Pharmacokinetics/other</t>
        </is>
      </c>
      <c r="E793" s="3" t="inlineStr"/>
      <c r="F793" s="3" t="inlineStr">
        <is>
          <t>Change dialyzability to 'not effectively removed by haemodialysis'.</t>
        </is>
      </c>
      <c r="G793" s="3" t="inlineStr">
        <is>
          <t>Dialyzable: Yes (hemodialysis: 50%)</t>
        </is>
      </c>
      <c r="H793" s="3" t="inlineStr">
        <is>
          <t>US label: 'Ribavirin is not effectively removed by hemodialysis' (§12.3), and haemodialysis and peritoneal dialysis are not effective in overdose (§10).</t>
        </is>
      </c>
      <c r="I793" s="3" t="inlineStr">
        <is>
          <t>DailyMed §12.3, §10 https://dailymed.nlm.nih.gov/dailymed/drugInfo.cfm?setid=35f99f76-f2ef-4a81-91ff-285419664be3</t>
        </is>
      </c>
      <c r="J793" s="3" t="inlineStr">
        <is>
          <t>Open</t>
        </is>
      </c>
      <c r="K793" s="3" t="inlineStr"/>
    </row>
    <row r="794">
      <c r="A794" s="3" t="n">
        <v>1455</v>
      </c>
      <c r="B794" s="3" t="inlineStr">
        <is>
          <t>Ribarin (Ribavirin) (RIB01)</t>
        </is>
      </c>
      <c r="C794" s="8" t="inlineStr">
        <is>
          <t>Medium</t>
        </is>
      </c>
      <c r="D794" s="3" t="inlineStr">
        <is>
          <t>Pharmacokinetics/other</t>
        </is>
      </c>
      <c r="E794" s="3" t="inlineStr"/>
      <c r="F794" s="3" t="inlineStr">
        <is>
          <t>Change dialyzability to not effectively removed by haemodialysis.</t>
        </is>
      </c>
      <c r="G794" s="3" t="inlineStr">
        <is>
          <t>Dialyzable: Yes (hemodialysis: 50%)</t>
        </is>
      </c>
      <c r="H794" s="3" t="inlineStr">
        <is>
          <t>'Ribavirin is not effectively removed by hemodialysis' (US 12.3). Hemodialysis and peritoneal dialysis are not effective for overdose (US 10).</t>
        </is>
      </c>
      <c r="I794" s="3" t="inlineStr">
        <is>
          <t>US label §10, §12.3 https://dailymed.nlm.nih.gov/dailymed/drugInfo.cfm?setid=35f99f76-f2ef-4a81-91ff-285419664be3</t>
        </is>
      </c>
      <c r="J794" s="3" t="inlineStr">
        <is>
          <t>Open</t>
        </is>
      </c>
      <c r="K794" s="3" t="inlineStr"/>
    </row>
    <row r="795">
      <c r="A795" s="3" t="n">
        <v>1117</v>
      </c>
      <c r="B795" s="3" t="inlineStr">
        <is>
          <t>Rifampicin (Rifampin) (RIF04)</t>
        </is>
      </c>
      <c r="C795" s="8" t="inlineStr">
        <is>
          <t>Medium</t>
        </is>
      </c>
      <c r="D795" s="3" t="inlineStr">
        <is>
          <t>Adverse effects</t>
        </is>
      </c>
      <c r="E795" s="3" t="inlineStr">
        <is>
          <t>Missing SCAR (SJS/TEN/DRESS)</t>
        </is>
      </c>
      <c r="F795" s="3" t="inlineStr">
        <is>
          <t>Expand drug-bag ADRs: hepatotoxicity, SCAR, flu syndrome, red-orange fluids and stained contact lenses.</t>
        </is>
      </c>
      <c r="G795" s="3" t="inlineStr">
        <is>
          <t>腹瀉、胃痛等</t>
        </is>
      </c>
      <c r="H795" s="3" t="inlineStr">
        <is>
          <t>The labels warn of hepatotoxicity (can be fatal), SJS/TEN/AGEP/DRESS, flu syndrome and thrombocytopenia/haemolysis/AKI with intermittent or resumed dosing, TMA, ILD, vitamin K coagulopathy, adrenal insufficiency, and red-orange body fluids with permanently stained soft contact lenses. The patient-facing summary leaves all of these out.</t>
        </is>
      </c>
      <c r="I795" s="3" t="inlineStr">
        <is>
          <t>US label WARNINGS, Information for Patients, ADVERSE REACTIONS ; Taiwan 仿單 §5.1.3, §5.1.10–11, §8.1</t>
        </is>
      </c>
      <c r="J795" s="3" t="inlineStr">
        <is>
          <t>Open</t>
        </is>
      </c>
      <c r="K795" s="3" t="inlineStr"/>
    </row>
    <row r="796">
      <c r="A796" s="3" t="n">
        <v>1125</v>
      </c>
      <c r="B796" s="3" t="inlineStr">
        <is>
          <t>Rifampicin (Rifampin) (RIF04)</t>
        </is>
      </c>
      <c r="C796" s="8" t="inlineStr">
        <is>
          <t>Medium</t>
        </is>
      </c>
      <c r="D796" s="3" t="inlineStr">
        <is>
          <t>Adverse effects</t>
        </is>
      </c>
      <c r="E796" s="3" t="inlineStr">
        <is>
          <t>Missing SCAR (SJS/TEN/DRESS)</t>
        </is>
      </c>
      <c r="F796" s="3" t="inlineStr">
        <is>
          <t>Add hepatotoxicity, SCAR, flu syndrome, red-orange body fluids and contact-lens staining to patient label.</t>
        </is>
      </c>
      <c r="G796" s="3" t="inlineStr">
        <is>
          <t>腹瀉、胃痛等</t>
        </is>
      </c>
      <c r="H796" s="3" t="inlineStr">
        <is>
          <t>Leaves out the clinically important ADRs: hepatotoxicity, which can be fatal; SJS/TEN/AGEP/DRESS; flu-like syndrome, thrombocytopenia, haemolysis and renal failure with intermittent or resumed dosing; interstitial nephritis; vitamin K coagulopathy; TMA; ILD; adrenal insufficiency; red-orange body fluids and stained soft contact lenses. Patients should be told about discoloration and about hepatitis/rash symptoms.</t>
        </is>
      </c>
      <c r="I796" s="3" t="inlineStr">
        <is>
          <t>US label WARNINGS, Information for Patients, ADVERSE REACTIONS; UK SmPC 4.4/4.8; TW 仿單 §5.1.3, §8</t>
        </is>
      </c>
      <c r="J796" s="3" t="inlineStr">
        <is>
          <t>Open</t>
        </is>
      </c>
      <c r="K796" s="3" t="inlineStr"/>
    </row>
    <row r="797">
      <c r="A797" s="3" t="n">
        <v>1129</v>
      </c>
      <c r="B797" s="3" t="inlineStr">
        <is>
          <t>Rifampicin (Rifampin) (RIF04)</t>
        </is>
      </c>
      <c r="C797" s="8" t="inlineStr">
        <is>
          <t>Medium</t>
        </is>
      </c>
      <c r="D797" s="3" t="inlineStr">
        <is>
          <t>Indication/coverage</t>
        </is>
      </c>
      <c r="E797" s="3" t="inlineStr"/>
      <c r="F797" s="3" t="inlineStr">
        <is>
          <t>Mark off-label indications; TW-approved only pulmonary TB and meningococcal carriers.</t>
        </is>
      </c>
      <c r="G797" s="3" t="inlineStr">
        <is>
          <t>A broad list including off-label MAC lung disease, bartonellosis, human anaplasmosis and cholestatic pruritus, plus pediatric bacterial meningitis (IV), with no label/off-label distinction</t>
        </is>
      </c>
      <c r="H797" s="3" t="inlineStr">
        <is>
          <t>TW-approved indications for the stocked product are 肺結核 and 奈瑟氏腦膜炎球菌帶原者 only. US: TB and meningococcal carriers. UK adds leprosy, brucellosis, Legionnaires', serious staph and Hib carriers. The other uses are off-label and should be marked as such. US WARNINGS: not for treating meningococcal disease.</t>
        </is>
      </c>
      <c r="I797" s="3" t="inlineStr">
        <is>
          <t>TW 仿單 §2; US label INDICATIONS AND USAGE/WARNINGS; UK SmPC 4.1</t>
        </is>
      </c>
      <c r="J797" s="3" t="inlineStr">
        <is>
          <t>Open</t>
        </is>
      </c>
      <c r="K797" s="3" t="inlineStr"/>
    </row>
    <row r="798">
      <c r="A798" s="3" t="n">
        <v>801</v>
      </c>
      <c r="B798" s="3" t="inlineStr">
        <is>
          <t>SABS (Metronidazole) (SAB03, TOL01)</t>
        </is>
      </c>
      <c r="C798" s="8" t="inlineStr">
        <is>
          <t>Medium</t>
        </is>
      </c>
      <c r="D798" s="3" t="inlineStr">
        <is>
          <t>Adverse effects</t>
        </is>
      </c>
      <c r="E798" s="3" t="inlineStr"/>
      <c r="F798" s="3" t="inlineStr">
        <is>
          <t>Replace unverified ADR frequencies with TW Tolizole insert ADR list</t>
        </is>
      </c>
      <c r="G798" s="3" t="inlineStr">
        <is>
          <t>&gt;10%: nausea, vaginitis, headache; 1–10%: genital pruritus, flu-like symptoms, abdominal pain, diarrhea, dizziness.</t>
        </is>
      </c>
      <c r="H798" s="3" t="inlineStr">
        <is>
          <t>Neither the TW Tolizole insert 8.1 nor the US FLAGYL capsule label gives frequencies like these (TW lists GI, metallic taste, reversible neutropenia, neuropathy, CNS effects, thrombophlebitis and others). The figures look like they come from a different product (e.g. extended-release or vaginal data). The source is unverified.</t>
        </is>
      </c>
      <c r="I798" s="3" t="inlineStr">
        <is>
          <t>https://mcp.fda.gov.tw/im_detail_1/%E8%A1%9B%E7%BD%B2%E8%97%A5%E8%A3%BD%E5%AD%97%E7%AC%AC041025%E8%99%9F</t>
        </is>
      </c>
      <c r="J798" s="3" t="inlineStr">
        <is>
          <t>Open</t>
        </is>
      </c>
      <c r="K798" s="3" t="inlineStr"/>
    </row>
    <row r="799">
      <c r="A799" s="3" t="n">
        <v>800</v>
      </c>
      <c r="B799" s="3" t="inlineStr">
        <is>
          <t>SABS (Metronidazole) (SAB03, TOL01)</t>
        </is>
      </c>
      <c r="C799" s="8" t="inlineStr">
        <is>
          <t>Medium</t>
        </is>
      </c>
      <c r="D799" s="3" t="inlineStr">
        <is>
          <t>Dosing – adult</t>
        </is>
      </c>
      <c r="E799" s="3" t="inlineStr"/>
      <c r="F799" s="3" t="inlineStr">
        <is>
          <t>Use TW insert amebiasis 500–700 mg TID ×5–7 d; flag BV/periodontitis as non-label</t>
        </is>
      </c>
      <c r="G799" s="3" t="inlineStr">
        <is>
          <t>Amebiasis 500–750 mg q8h × 7–10 d. Bacterial vaginosis 500 mg BID × 7 d. The drug bag also lists 侵犯型牙周炎.</t>
        </is>
      </c>
      <c r="H799" s="3" t="inlineStr">
        <is>
          <t>US FLAGYL: 750 mg TID × 5–10 d. TW Tolizole 仿單: 500–700 mg TID × 5–7 d. The TW indications are trichomonal vaginitis, amebic dysentery and liver abscess, and severe anaerobic infection; neither BV nor periodontitis is listed (BV is in UK SmPC 4.2 as 400 mg BID × 5–7 d). Periodontitis is not in any label checked.</t>
        </is>
      </c>
      <c r="I799" s="3" t="inlineStr">
        <is>
          <t>https://mcp.fda.gov.tw/im_detail_1/%E8%A1%9B%E7%BD%B2%E8%97%A5%E8%A3%BD%E5%AD%97%E7%AC%AC041025%E8%99%9F ; https://dailymed.nlm.nih.gov/dailymed/drugInfo.cfm?setid=a2883ca1-5a9a-4259-9d80-46ab67274384 ; https://www.medicines.org.uk/emc/product/1842/smpc</t>
        </is>
      </c>
      <c r="J799" s="3" t="inlineStr">
        <is>
          <t>Open</t>
        </is>
      </c>
      <c r="K799" s="3" t="inlineStr"/>
    </row>
    <row r="800">
      <c r="A800" s="3" t="n">
        <v>809</v>
      </c>
      <c r="B800" s="3" t="inlineStr">
        <is>
          <t>SABS (Metronidazole) (SAB03, TOL01)</t>
        </is>
      </c>
      <c r="C800" s="8" t="inlineStr">
        <is>
          <t>Medium</t>
        </is>
      </c>
      <c r="D800" s="3" t="inlineStr">
        <is>
          <t>Dosing – adult</t>
        </is>
      </c>
      <c r="E800" s="3" t="inlineStr"/>
      <c r="F800" s="3" t="inlineStr">
        <is>
          <t>Align amoebiasis to TW 500–700 mg TID ×5–7 d; mark BV regimen as guideline-derived</t>
        </is>
      </c>
      <c r="G800" s="3" t="inlineStr">
        <is>
          <t>Amoebiasis 500–750 mg q8h for 7–10 days. BV 500 mg BID for 7 days.</t>
        </is>
      </c>
      <c r="H800" s="3" t="inlineStr">
        <is>
          <t>TW Tolizole 仿單: amoebiasis 500–700 mg TID for 5–7 days; BV is not a listed indication. US tablet label: 750 mg TID for 5–10 days (intestinal). UK oral: BV 400 mg BID for 5–7 days or 2 g once. The hospital's BV regimen is guideline-derived and not from the stocked product's insert.</t>
        </is>
      </c>
      <c r="I800" s="3" t="inlineStr">
        <is>
          <t>TW 仿單 衛署藥製字第041025號 §2–3; UK SmPC 400 mg tablets — https://www.medicines.org.uk/emc/product/12817/smpc</t>
        </is>
      </c>
      <c r="J800" s="3" t="inlineStr">
        <is>
          <t>Open</t>
        </is>
      </c>
      <c r="K800" s="3" t="inlineStr"/>
    </row>
    <row r="801">
      <c r="A801" s="3" t="n">
        <v>793</v>
      </c>
      <c r="B801" s="3" t="inlineStr">
        <is>
          <t>SABS (Metronidazole) (SAB03, TOL01)</t>
        </is>
      </c>
      <c r="C801" s="8" t="inlineStr">
        <is>
          <t>Medium</t>
        </is>
      </c>
      <c r="D801" s="3" t="inlineStr">
        <is>
          <t>Dosing – renal/dialysis</t>
        </is>
      </c>
      <c r="E801" s="3" t="inlineStr"/>
      <c r="F801" s="3" t="inlineStr">
        <is>
          <t>Fix garbled renal field: state no renal adjustment at any CrCl; anuric/HD no reduction</t>
        </is>
      </c>
      <c r="G801" s="3" t="inlineStr">
        <is>
          <t>"CrCl  10 mL/minute: No dosage adjustment necessary." followed by a lone "CrCl". The comparison symbols and the second row are missing.</t>
        </is>
      </c>
      <c r="H801" s="3" t="inlineStr">
        <is>
          <t>No renal adjustment at any CrCl. Anuric patients: do not reduce, because HD removes the metabolites (TW SABS 仿單 5.1; US injection label D&amp;A). ESRD: monitor for metabolite accumulation (US FLAGYL).</t>
        </is>
      </c>
      <c r="I801" s="3" t="inlineStr">
        <is>
          <t>https://mcp.fda.gov.tw/im_detail_1/%E8%A1%9B%E7%BD%B2%E8%97%A5%E8%A3%BD%E5%AD%97%E7%AC%AC026817%E8%99%9F ; https://dailymed.nlm.nih.gov/dailymed/drugInfo.cfm?setid=e4ea0c09-cdd1-4708-962c-6ba28b989df3</t>
        </is>
      </c>
      <c r="J801" s="3" t="inlineStr">
        <is>
          <t>Open</t>
        </is>
      </c>
      <c r="K801" s="3" t="inlineStr"/>
    </row>
    <row r="802">
      <c r="A802" s="3" t="n">
        <v>803</v>
      </c>
      <c r="B802" s="3" t="inlineStr">
        <is>
          <t>SABS (Metronidazole) (SAB03, TOL01)</t>
        </is>
      </c>
      <c r="C802" s="8" t="inlineStr">
        <is>
          <t>Medium</t>
        </is>
      </c>
      <c r="D802" s="3" t="inlineStr">
        <is>
          <t>Dosing – renal/dialysis</t>
        </is>
      </c>
      <c r="E802" s="3" t="inlineStr"/>
      <c r="F802" s="3" t="inlineStr">
        <is>
          <t>Fix missing comparison symbol in SAB03 renal field; state no adjustment at any CrCl</t>
        </is>
      </c>
      <c r="G802" s="3" t="inlineStr">
        <is>
          <t>'CrCl  10 mL/minute: No dosage adjustment necessary.' The comparison symbol is missing in the raw HTML; the page source itself reads 'CrCl  10', so the first scratch extract did not cause it.</t>
        </is>
      </c>
      <c r="H802" s="3" t="inlineStr">
        <is>
          <t>No renal adjustment at any CrCl. Renal impairment does not alter single-dose PK.</t>
        </is>
      </c>
      <c r="I802" s="3" t="inlineStr">
        <is>
          <t>US IV label DOSAGE/CLIN PHARM — https://dailymed.nlm.nih.gov/dailymed/drugInfo.cfm?setid=e4ea0c09-cdd1-4708-962c-6ba28b989df3</t>
        </is>
      </c>
      <c r="J802" s="3" t="inlineStr">
        <is>
          <t>Open</t>
        </is>
      </c>
      <c r="K802" s="3" t="inlineStr"/>
    </row>
    <row r="803">
      <c r="A803" s="3" t="n">
        <v>799</v>
      </c>
      <c r="B803" s="3" t="inlineStr">
        <is>
          <t>SABS (Metronidazole) (SAB03, TOL01)</t>
        </is>
      </c>
      <c r="C803" s="8" t="inlineStr">
        <is>
          <t>Medium</t>
        </is>
      </c>
      <c r="D803" s="3" t="inlineStr">
        <is>
          <t>Pregnancy</t>
        </is>
      </c>
      <c r="E803" s="3" t="inlineStr"/>
      <c r="F803" s="3" t="inlineStr">
        <is>
          <t>Add context: cleft lip signal not confirmed; TW contraindicates 1st trimester</t>
        </is>
      </c>
      <c r="G803" s="3" t="inlineStr">
        <is>
          <t>"Cleft lip with or without cleft palate has been reported following first trimester exposure to metronidazole."</t>
        </is>
      </c>
      <c r="H803" s="3" t="inlineStr">
        <is>
          <t>US FLAGYL: one study showed an increased risk of cleft lip ± palate, but "these finding were not confirmed"; most of &gt;5000 exposures show no increased risk. The TW insert contraindicates the 1st trimester. The hospital text leaves out the 'not confirmed' context.</t>
        </is>
      </c>
      <c r="I803" s="3" t="inlineStr">
        <is>
          <t>https://dailymed.nlm.nih.gov/dailymed/drugInfo.cfm?setid=a2883ca1-5a9a-4259-9d80-46ab67274384</t>
        </is>
      </c>
      <c r="J803" s="3" t="inlineStr">
        <is>
          <t>Open</t>
        </is>
      </c>
      <c r="K803" s="3" t="inlineStr"/>
    </row>
    <row r="804">
      <c r="A804" s="3" t="n">
        <v>425</v>
      </c>
      <c r="B804" s="3" t="inlineStr">
        <is>
          <t>Seforce (ciprofloxacin) (SEF02, CIN02)</t>
        </is>
      </c>
      <c r="C804" s="8" t="inlineStr">
        <is>
          <t>Medium</t>
        </is>
      </c>
      <c r="D804" s="3" t="inlineStr">
        <is>
          <t>Breastfeeding</t>
        </is>
      </c>
      <c r="E804" s="3" t="inlineStr">
        <is>
          <t>LactMed outdated</t>
        </is>
      </c>
      <c r="F804" s="3" t="inlineStr">
        <is>
          <t>Use drug-specific text: LactMed acceptable with infant monitoring; labels advise against</t>
        </is>
      </c>
      <c r="G804" s="3" t="inlineStr">
        <is>
          <t>Quinolones should generally be avoided during breastfeeding</t>
        </is>
      </c>
      <c r="H804" s="3" t="inlineStr">
        <is>
          <t>LactMed says ciprofloxacin is acceptable with infant monitoring for diarrhoea or candidiasis, and that avoiding breastfeeding for 3-4 h after a dose lowers exposure. The labels are stricter: US 8.2 says not recommended during treatment and for 2 days after (pump and discard), and the UK SmPC and Taiwan inserts say do not use. The hospital text matches neither LactMed nor the specific label wording.</t>
        </is>
      </c>
      <c r="I804" s="3" t="inlineStr">
        <is>
          <t>LactMed NBK501583 - https://www.ncbi.nlm.nih.gov/books/NBK501583/; US FDA label 8.2 - https://dailymed.nlm.nih.gov/dailymed/drugInfo.cfm?setid=f406e796-17d9-4465-b8a7-00d966a4ba74</t>
        </is>
      </c>
      <c r="J804" s="3" t="inlineStr">
        <is>
          <t>Open</t>
        </is>
      </c>
      <c r="K804" s="3" t="inlineStr"/>
    </row>
    <row r="805">
      <c r="A805" s="3" t="n">
        <v>431</v>
      </c>
      <c r="B805" s="3" t="inlineStr">
        <is>
          <t>Seforce (ciprofloxacin) (SEF02, CIN02)</t>
        </is>
      </c>
      <c r="C805" s="8" t="inlineStr">
        <is>
          <t>Medium</t>
        </is>
      </c>
      <c r="D805" s="3" t="inlineStr">
        <is>
          <t>Breastfeeding</t>
        </is>
      </c>
      <c r="E805" s="3" t="inlineStr">
        <is>
          <t>LactMed outdated</t>
        </is>
      </c>
      <c r="F805" s="3" t="inlineStr">
        <is>
          <t>Replace class statement with LactMed/ label-specific ciprofloxacin guidance</t>
        </is>
      </c>
      <c r="G805" s="3" t="inlineStr">
        <is>
          <t>Quinolones should generally be avoided during breastfeeding</t>
        </is>
      </c>
      <c r="H805" s="3" t="inlineStr">
        <is>
          <t>LactMed: ciprofloxacin use is acceptable in nursing mothers, with infant monitoring for diarrhoea/candidiasis; avoiding breastfeeding for 3-4 h after a dose reduces exposure. The labels (US 8.2, SmPC 4.6, TW 6.2) say not recommended, so the hospital text matches neither framing. It is a generic class statement, not drug-specific.</t>
        </is>
      </c>
      <c r="I805" s="3" t="inlineStr">
        <is>
          <t>LactMed NBK501583 https://www.ncbi.nlm.nih.gov/books/NBK501583/</t>
        </is>
      </c>
      <c r="J805" s="3" t="inlineStr">
        <is>
          <t>Open</t>
        </is>
      </c>
      <c r="K805" s="3" t="inlineStr"/>
    </row>
    <row r="806">
      <c r="A806" s="3" t="n">
        <v>814</v>
      </c>
      <c r="B806" s="3" t="inlineStr">
        <is>
          <t>Sevatrim (Sulfamethoxazole/Trimethoprim) (SEV03, MOR06, SUL03)</t>
        </is>
      </c>
      <c r="C806" s="8" t="inlineStr">
        <is>
          <t>Medium</t>
        </is>
      </c>
      <c r="D806" s="3" t="inlineStr">
        <is>
          <t>Breastfeeding</t>
        </is>
      </c>
      <c r="E806" s="3" t="inlineStr">
        <is>
          <t>LactMed outdated</t>
        </is>
      </c>
      <c r="F806" s="3" t="inlineStr">
        <is>
          <t>Remove lactation CI; LactMed: acceptable in healthy term infants, avoid in premature/jaundiced/G6PD</t>
        </is>
      </c>
      <c r="G806" s="3" t="inlineStr">
        <is>
          <t>Lactation listed as a contraindication</t>
        </is>
      </c>
      <c r="H806" s="3" t="inlineStr">
        <is>
          <t>No label lists lactation as a contraindication. LactMed: acceptable after the newborn period in healthy term infants; avoid with jaundiced, ill, premature or G6PD-deficient infants. US Bactrim: caution. US injection: avoid breastfeeding. UK: avoid only if hyperbilirubinaemia risk or infant &lt;8 weeks.</t>
        </is>
      </c>
      <c r="I806" s="3" t="inlineStr">
        <is>
          <t>LactMed NBK501289 https://www.ncbi.nlm.nih.gov/books/NBK501289/; UK SmPC §4.6 https://www.medicines.org.uk/emc/product/4669/smpc</t>
        </is>
      </c>
      <c r="J806" s="3" t="inlineStr">
        <is>
          <t>Open</t>
        </is>
      </c>
      <c r="K806" s="3" t="inlineStr"/>
    </row>
    <row r="807">
      <c r="A807" s="3" t="n">
        <v>824</v>
      </c>
      <c r="B807" s="3" t="inlineStr">
        <is>
          <t>Sevatrim (Sulfamethoxazole/Trimethoprim) (SEV03, MOR06, SUL03)</t>
        </is>
      </c>
      <c r="C807" s="8" t="inlineStr">
        <is>
          <t>Medium</t>
        </is>
      </c>
      <c r="D807" s="3" t="inlineStr">
        <is>
          <t>Breastfeeding</t>
        </is>
      </c>
      <c r="E807" s="3" t="inlineStr">
        <is>
          <t>LactMed outdated</t>
        </is>
      </c>
      <c r="F807" s="3" t="inlineStr">
        <is>
          <t>Remove lactation CI; resolve inconsistency with 哺乳分類 per LactMed</t>
        </is>
      </c>
      <c r="G807" s="3" t="inlineStr">
        <is>
          <t>Lactation is listed as a contraindication, while the same pages' 哺乳分類 says 'Probably safe, except in premature infant or infant with G6PD deficiency' (internally inconsistent).</t>
        </is>
      </c>
      <c r="H807" s="3" t="inlineStr">
        <is>
          <t>LactMed: acceptable in healthy full-term infants after the newborn period. No TW insert lists lactation as a contraindication. US: advise avoiding. UK: avoid only with hyperbilirubinaemia risk or infants &lt;8 weeks.</t>
        </is>
      </c>
      <c r="I807" s="3" t="inlineStr">
        <is>
          <t>LactMed NBK501289, https://www.ncbi.nlm.nih.gov/books/NBK501289/ ; UK SmPC 4669 §4.6</t>
        </is>
      </c>
      <c r="J807" s="3" t="inlineStr">
        <is>
          <t>Open</t>
        </is>
      </c>
      <c r="K807" s="3" t="inlineStr"/>
    </row>
    <row r="808">
      <c r="A808" s="3" t="n">
        <v>815</v>
      </c>
      <c r="B808" s="3" t="inlineStr">
        <is>
          <t>Sevatrim (Sulfamethoxazole/Trimethoprim) (SEV03, MOR06, SUL03)</t>
        </is>
      </c>
      <c r="C808" s="8" t="inlineStr">
        <is>
          <t>Medium</t>
        </is>
      </c>
      <c r="D808" s="3" t="inlineStr">
        <is>
          <t>Contraindication/warning</t>
        </is>
      </c>
      <c r="E808" s="3" t="inlineStr"/>
      <c r="F808" s="3" t="inlineStr">
        <is>
          <t>Restrict CI to severe renal insufficiency without monitoring and marked hepatic damage</t>
        </is>
      </c>
      <c r="G808" s="3" t="inlineStr">
        <is>
          <t>Renal or hepatic impairment listed as a contraindication</t>
        </is>
      </c>
      <c r="H808" s="3" t="inlineStr">
        <is>
          <t>Renal impairment calls for dose adjustment. Use is contraindicated only in severe renal insufficiency when renal function or plasma levels cannot be monitored. The hepatic contraindication applies only to marked/severe damage (US §4; UK §4.3; TW Sevatrim 肝臟實質傷害).</t>
        </is>
      </c>
      <c r="I808" s="3" t="inlineStr">
        <is>
          <t>US FDA injection label §2.2, §4 https://dailymed.nlm.nih.gov/dailymed/drugInfo.cfm?setid=ebb570bb-6e5e-489e-875c-9e7b3a6d716a; UK SmPC §4.3 https://www.medicines.org.uk/emc/product/4669/smpc</t>
        </is>
      </c>
      <c r="J808" s="3" t="inlineStr">
        <is>
          <t>Open</t>
        </is>
      </c>
      <c r="K808" s="3" t="inlineStr"/>
    </row>
    <row r="809">
      <c r="A809" s="3" t="n">
        <v>823</v>
      </c>
      <c r="B809" s="3" t="inlineStr">
        <is>
          <t>Sevatrim (Sulfamethoxazole/Trimethoprim) (SEV03, MOR06, SUL03)</t>
        </is>
      </c>
      <c r="C809" s="8" t="inlineStr">
        <is>
          <t>Medium</t>
        </is>
      </c>
      <c r="D809" s="3" t="inlineStr">
        <is>
          <t>Contraindication/warning</t>
        </is>
      </c>
      <c r="E809" s="3" t="inlineStr"/>
      <c r="F809" s="3" t="inlineStr">
        <is>
          <t>Move CI list into 禁忌症 field; put label pregnancy statement in pregnancy field</t>
        </is>
      </c>
      <c r="G809" s="3" t="inlineStr">
        <is>
          <t>The contraindication list ('1. Pregnancy, infants younger than 2 months, lactation. 2. Hypersensitivity…') sits in the 懷孕分類 field, and the 禁忌症 field is empty.</t>
        </is>
      </c>
      <c r="H809" s="3" t="inlineStr">
        <is>
          <t>These are contraindications. The pregnancy field should carry the label pregnancy statement, not a list of contraindications.</t>
        </is>
      </c>
      <c r="I809" s="3" t="inlineStr">
        <is>
          <t>Taiwan insert Morcasin §4, https://mcp.fda.gov.tw/im_detail_1/%E8%A1%9B%E7%BD%B2%E8%97%A5%E8%A3%BD%E5%AD%97%E7%AC%AC024964%E8%99%9F</t>
        </is>
      </c>
      <c r="J809" s="3" t="inlineStr">
        <is>
          <t>Open</t>
        </is>
      </c>
      <c r="K809" s="3" t="inlineStr"/>
    </row>
    <row r="810">
      <c r="A810" s="3" t="n">
        <v>825</v>
      </c>
      <c r="B810" s="3" t="inlineStr">
        <is>
          <t>Sevatrim (Sulfamethoxazole/Trimethoprim) (SEV03, MOR06, SUL03)</t>
        </is>
      </c>
      <c r="C810" s="8" t="inlineStr">
        <is>
          <t>Medium</t>
        </is>
      </c>
      <c r="D810" s="3" t="inlineStr">
        <is>
          <t>Contraindication/warning</t>
        </is>
      </c>
      <c r="E810" s="3" t="inlineStr"/>
      <c r="F810" s="3" t="inlineStr">
        <is>
          <t>Limit CI to marked hepatic damage and severe renal insufficiency without monitoring; else dose-adjust</t>
        </is>
      </c>
      <c r="G810" s="3" t="inlineStr">
        <is>
          <t>'patients with impaired renal or hepatic function' listed as an absolute contraindication.</t>
        </is>
      </c>
      <c r="H810" s="3" t="inlineStr">
        <is>
          <t>Labels contraindicate only marked hepatic damage / severe hepatic impairment and severe renal insufficiency when renal function or levels cannot be monitored. Other renal impairment is managed by dose reduction (US §2.2, UK 4.2, TW §3.3).</t>
        </is>
      </c>
      <c r="I810" s="3" t="inlineStr">
        <is>
          <t>US FDA IV label §4; UK SmPC 4669 §4.3; Taiwan insert Sevatrim §3.3/§4</t>
        </is>
      </c>
      <c r="J810" s="3" t="inlineStr">
        <is>
          <t>Open</t>
        </is>
      </c>
      <c r="K810" s="3" t="inlineStr"/>
    </row>
    <row r="811">
      <c r="A811" s="3" t="n">
        <v>818</v>
      </c>
      <c r="B811" s="3" t="inlineStr">
        <is>
          <t>Sevatrim (Sulfamethoxazole/Trimethoprim) (SEV03, MOR06, SUL03)</t>
        </is>
      </c>
      <c r="C811" s="8" t="inlineStr">
        <is>
          <t>Medium</t>
        </is>
      </c>
      <c r="D811" s="3" t="inlineStr">
        <is>
          <t>Dosing – renal/dialysis</t>
        </is>
      </c>
      <c r="E811" s="3" t="inlineStr">
        <is>
          <t>Renal table outdated</t>
        </is>
      </c>
      <c r="F811" s="3" t="inlineStr">
        <is>
          <t>Use stocked Sevatrim renal bands: CrCl 15–25 full ×3 d then half; &lt;15 only on HD half dose</t>
        </is>
      </c>
      <c r="G811" s="3" t="inlineStr">
        <is>
          <t>CrCl &gt;30: 10–20 mg/kg/day; 15–30: 5–10 mg/kg/day; &lt;15 not recommended</t>
        </is>
      </c>
      <c r="H811" s="3" t="inlineStr">
        <is>
          <t>The stocked-product insert (Sevatrim) uses CrCl &gt;25 standard; 15–25 standard dose for 3 days then half; &lt;15 not given except on haemodialysis (half dose). The hospital table follows the US label instead.</t>
        </is>
      </c>
      <c r="I811" s="3" t="inlineStr">
        <is>
          <t>Taiwan insert Sevatrim §3.3 https://mcp.fda.gov.tw/im_detail_1/%E8%A1%9B%E7%BD%B2%E8%97%A5%E8%A3%BD%E5%AD%97%E7%AC%AC012528%E8%99%9F</t>
        </is>
      </c>
      <c r="J811" s="3" t="inlineStr">
        <is>
          <t>Open</t>
        </is>
      </c>
      <c r="K811" s="3" t="inlineStr"/>
    </row>
    <row r="812">
      <c r="A812" s="3" t="n">
        <v>819</v>
      </c>
      <c r="B812" s="3" t="inlineStr">
        <is>
          <t>Sevatrim (Sulfamethoxazole/Trimethoprim) (SEV03, MOR06, SUL03)</t>
        </is>
      </c>
      <c r="C812" s="8" t="inlineStr">
        <is>
          <t>Medium</t>
        </is>
      </c>
      <c r="D812" s="3" t="inlineStr">
        <is>
          <t>Indication/coverage</t>
        </is>
      </c>
      <c r="E812" s="3" t="inlineStr"/>
      <c r="F812" s="3" t="inlineStr">
        <is>
          <t>Expand indications per TW inserts (respiratory, GI, UTI, skin, sepsis) and PJP etc.</t>
        </is>
      </c>
      <c r="G812" s="3" t="inlineStr">
        <is>
          <t>Urinary tract infection only</t>
        </is>
      </c>
      <c r="H812" s="3" t="inlineStr">
        <is>
          <t>TW inserts: respiratory, GI and urinary infections (Sevatrim also skin/wound infections and sepsis). US: UTI, PJP treatment/prophylaxis, shigellosis, AOM, AECB, traveler's diarrhea. UK: also toxoplasmosis and nocardiosis.</t>
        </is>
      </c>
      <c r="I812" s="3" t="inlineStr">
        <is>
          <t>Taiwan insert Sevatrim §2; US Bactrim label Indications https://dailymed.nlm.nih.gov/dailymed/drugInfo.cfm?setid=f59d0c04-9c66-4d53-a0e1-cb55570deb62; UK SmPC §4.1 https://www.medicines.org.uk/emc/product/4669/smpc</t>
        </is>
      </c>
      <c r="J812" s="3" t="inlineStr">
        <is>
          <t>Open</t>
        </is>
      </c>
      <c r="K812" s="3" t="inlineStr"/>
    </row>
    <row r="813">
      <c r="A813" s="3" t="n">
        <v>832</v>
      </c>
      <c r="B813" s="3" t="inlineStr">
        <is>
          <t>Sevatrim (Sulfamethoxazole/Trimethoprim) (SEV03, MOR06, SUL03)</t>
        </is>
      </c>
      <c r="C813" s="8" t="inlineStr">
        <is>
          <t>Medium</t>
        </is>
      </c>
      <c r="D813" s="3" t="inlineStr">
        <is>
          <t>Indication/coverage</t>
        </is>
      </c>
      <c r="E813" s="3" t="inlineStr"/>
      <c r="F813" s="3" t="inlineStr">
        <is>
          <t>Expand indications beyond UTI per TW/US labels</t>
        </is>
      </c>
      <c r="G813" s="3" t="inlineStr">
        <is>
          <t>UTI only.</t>
        </is>
      </c>
      <c r="H813" s="3" t="inlineStr">
        <is>
          <t>TW inserts: respiratory, GI and urinary infections (Sevatrim also skin and sepsis). US/UK: PJP treatment/prophylaxis, shigellosis, AOM, AECB, traveler's diarrhea, toxoplasmosis, nocardiosis.</t>
        </is>
      </c>
      <c r="I813" s="3" t="inlineStr">
        <is>
          <t>Taiwan insert Sevatrim §2; US FDA Bactrim label Indications; UK SmPC 4669/6999 §4.1</t>
        </is>
      </c>
      <c r="J813" s="3" t="inlineStr">
        <is>
          <t>Open</t>
        </is>
      </c>
      <c r="K813" s="3" t="inlineStr"/>
    </row>
    <row r="814">
      <c r="A814" s="3" t="n">
        <v>821</v>
      </c>
      <c r="B814" s="3" t="inlineStr">
        <is>
          <t>Sevatrim (Sulfamethoxazole/Trimethoprim) (SEV03, MOR06, SUL03)</t>
        </is>
      </c>
      <c r="C814" s="8" t="inlineStr">
        <is>
          <t>Medium</t>
        </is>
      </c>
      <c r="D814" s="3" t="inlineStr">
        <is>
          <t>Pharmacokinetics/other</t>
        </is>
      </c>
      <c r="E814" s="3" t="inlineStr"/>
      <c r="F814" s="3" t="inlineStr">
        <is>
          <t>Correct dosage form to suspension (懸液劑); add shake before use</t>
        </is>
      </c>
      <c r="G814" s="3" t="inlineStr">
        <is>
          <t>糖漿 (syrup)</t>
        </is>
      </c>
      <c r="H814" s="3" t="inlineStr">
        <is>
          <t>懸液劑 (suspension), 'SULFACOTRIM SUSPENSION'. The insert says to shake before use (使用前須振搖均勻).</t>
        </is>
      </c>
      <c r="I814" s="3" t="inlineStr">
        <is>
          <t>Taiwan insert Sulfacotrim §1.3, §5.1.3 https://mcp.fda.gov.tw/im_detail_1/%E8%A1%9B%E7%BD%B2%E8%97%A5%E8%A3%BD%E5%AD%97%E7%AC%AC044321%E8%99%9F</t>
        </is>
      </c>
      <c r="J814" s="3" t="inlineStr">
        <is>
          <t>Open</t>
        </is>
      </c>
      <c r="K814" s="3" t="inlineStr"/>
    </row>
    <row r="815">
      <c r="A815" s="3" t="n">
        <v>833</v>
      </c>
      <c r="B815" s="3" t="inlineStr">
        <is>
          <t>Sevatrim (Sulfamethoxazole/Trimethoprim) (SEV03, MOR06, SUL03)</t>
        </is>
      </c>
      <c r="C815" s="8" t="inlineStr">
        <is>
          <t>Medium</t>
        </is>
      </c>
      <c r="D815" s="3" t="inlineStr">
        <is>
          <t>Pharmacokinetics/other</t>
        </is>
      </c>
      <c r="E815" s="3" t="inlineStr"/>
      <c r="F815" s="3" t="inlineStr">
        <is>
          <t>Correct form to suspension (懸液劑), not syrup/Sol; add shake before use</t>
        </is>
      </c>
      <c r="G815" s="3" t="inlineStr">
        <is>
          <t>劑型 'Sol'; trade name shown as 'Sulfacotrim 糖漿' (syrup).</t>
        </is>
      </c>
      <c r="H815" s="3" t="inlineStr">
        <is>
          <t>TFDA licence 044321: 懸液劑 (suspension), shake before use.</t>
        </is>
      </c>
      <c r="I815" s="3" t="inlineStr">
        <is>
          <t>Taiwan insert Sulfacotrim §1.3, §5.1.3, https://mcp.fda.gov.tw/im_detail_1/%E8%A1%9B%E7%BD%B2%E8%97%A5%E8%A3%BD%E5%AD%97%E7%AC%AC044321%E8%99%9F</t>
        </is>
      </c>
      <c r="J815" s="3" t="inlineStr">
        <is>
          <t>Open</t>
        </is>
      </c>
      <c r="K815" s="3" t="inlineStr"/>
    </row>
    <row r="816">
      <c r="A816" s="3" t="n">
        <v>813</v>
      </c>
      <c r="B816" s="3" t="inlineStr">
        <is>
          <t>Sevatrim (Sulfamethoxazole/Trimethoprim) (SEV03, MOR06, SUL03)</t>
        </is>
      </c>
      <c r="C816" s="8" t="inlineStr">
        <is>
          <t>Medium</t>
        </is>
      </c>
      <c r="D816" s="3" t="inlineStr">
        <is>
          <t>Pregnancy</t>
        </is>
      </c>
      <c r="E816" s="3" t="inlineStr"/>
      <c r="F816" s="3" t="inlineStr">
        <is>
          <t>Move contraindication text out of pregnancy field; enter label pregnancy statement</t>
        </is>
      </c>
      <c r="G816" s="3" t="inlineStr">
        <is>
          <t>Contraindication text entered in the pregnancy-category field</t>
        </is>
      </c>
      <c r="H816" s="3" t="inlineStr">
        <is>
          <t>Field misuse. The field should hold pregnancy risk wording (US 8.1 fetal-harm statement; TW Morcasin 孕婦禁忌), not general contraindications.</t>
        </is>
      </c>
      <c r="I816" s="3" t="inlineStr">
        <is>
          <t>Taiwan insert Morcasin §4 https://mcp.fda.gov.tw/im_detail_1/%E8%A1%9B%E7%BD%B2%E8%97%A5%E8%A3%BD%E5%AD%97%E7%AC%AC024964%E8%99%9F</t>
        </is>
      </c>
      <c r="J816" s="3" t="inlineStr">
        <is>
          <t>Open</t>
        </is>
      </c>
      <c r="K816" s="3" t="inlineStr"/>
    </row>
    <row r="817">
      <c r="A817" s="3" t="n">
        <v>37</v>
      </c>
      <c r="B817" s="3" t="inlineStr">
        <is>
          <t>Sulampi (Ampicillin/Sulbactam) (SUL05)</t>
        </is>
      </c>
      <c r="C817" s="8" t="inlineStr">
        <is>
          <t>Medium</t>
        </is>
      </c>
      <c r="D817" s="3" t="inlineStr">
        <is>
          <t>Breastfeeding</t>
        </is>
      </c>
      <c r="E817" s="3" t="inlineStr">
        <is>
          <t>LactMed outdated</t>
        </is>
      </c>
      <c r="F817" s="3" t="inlineStr">
        <is>
          <t>Update per LactMed: acceptable in nursing mothers</t>
        </is>
      </c>
      <c r="G817" s="3" t="inlineStr">
        <is>
          <t>The manufacturer recommends that caution be used if administering to breastfeeding patients.</t>
        </is>
      </c>
      <c r="H817" s="3" t="inlineStr">
        <is>
          <t>This matches the US label 'caution', but LactMed (designated source) says the drug is acceptable in nursing mothers. The Taiwan insert says safety is not established.</t>
        </is>
      </c>
      <c r="I817" s="3" t="inlineStr">
        <is>
          <t>LactMed NBK500983 https://www.ncbi.nlm.nih.gov/books/NBK500983/</t>
        </is>
      </c>
      <c r="J817" s="3" t="inlineStr">
        <is>
          <t>Open</t>
        </is>
      </c>
      <c r="K817" s="3" t="inlineStr"/>
    </row>
    <row r="818">
      <c r="A818" s="3" t="n">
        <v>43</v>
      </c>
      <c r="B818" s="3" t="inlineStr">
        <is>
          <t>Sulampi (Ampicillin/Sulbactam) (SUL05)</t>
        </is>
      </c>
      <c r="C818" s="8" t="inlineStr">
        <is>
          <t>Medium</t>
        </is>
      </c>
      <c r="D818" s="3" t="inlineStr">
        <is>
          <t>Dosing – adult</t>
        </is>
      </c>
      <c r="E818" s="3" t="inlineStr"/>
      <c r="F818" s="3" t="inlineStr">
        <is>
          <t>Label high-dose Acinetobacter regimen off-label; combination bridge until sulbactam-durlobactam (IDSA 2026)</t>
        </is>
      </c>
      <c r="G818" s="3" t="inlineStr">
        <is>
          <t>9 g every 8 hours over 4 hours or 27 g/day continuous infusion (no qualifier)</t>
        </is>
      </c>
      <c r="H818" s="3" t="inlineStr">
        <is>
          <t>These doses match IDSA 2026 Table 1 but are off-label. IDSA restricts them to combination therapy with ≥1 other agent, as a temporary bridge until sulbactam-durlobactam (preferred) can be started.</t>
        </is>
      </c>
      <c r="I818" s="3" t="inlineStr">
        <is>
          <t>IDSA 2026 AMR Guidance Q5.1/Q5.2 and Table 1 https://www.idsociety.org/practice-guideline/amr-guidance/</t>
        </is>
      </c>
      <c r="J818" s="3" t="inlineStr">
        <is>
          <t>Open</t>
        </is>
      </c>
      <c r="K818" s="3" t="inlineStr"/>
    </row>
    <row r="819">
      <c r="A819" s="3" t="n">
        <v>40</v>
      </c>
      <c r="B819" s="3" t="inlineStr">
        <is>
          <t>Sulampi (Ampicillin/Sulbactam) (SUL05)</t>
        </is>
      </c>
      <c r="C819" s="8" t="inlineStr">
        <is>
          <t>Medium</t>
        </is>
      </c>
      <c r="D819" s="3" t="inlineStr">
        <is>
          <t>Dosing – renal/dialysis</t>
        </is>
      </c>
      <c r="E819" s="3" t="inlineStr"/>
      <c r="F819" s="3" t="inlineStr">
        <is>
          <t>Restore '≥' sign; specify CrCl ≥30: 1.5–3 g q6–8h</t>
        </is>
      </c>
      <c r="G819" s="3" t="inlineStr">
        <is>
          <t>CrCl [≥]30 mL/minute: No dosage adjustment necessary; 15–29: q12h; 5–14: q24h (the '≥' sign is lost in the page HTML)</t>
        </is>
      </c>
      <c r="H819" s="3" t="inlineStr">
        <is>
          <t>US label: CrCl ≥30 → 1.5–3 g every 6 to 8 hours. The Taiwan insert for this product has no CrCl table and only says to dose less frequently at CrCl ≤30.</t>
        </is>
      </c>
      <c r="I819" s="3" t="inlineStr">
        <is>
          <t>DailyMed UNASYN Impaired Renal Function TABLE 3; Taiwan insert 使用於腎功能障礙患者</t>
        </is>
      </c>
      <c r="J819" s="3" t="inlineStr">
        <is>
          <t>Open</t>
        </is>
      </c>
      <c r="K819" s="3" t="inlineStr"/>
    </row>
    <row r="820">
      <c r="A820" s="3" t="n">
        <v>51</v>
      </c>
      <c r="B820" s="3" t="inlineStr">
        <is>
          <t>Sulampi (Ampicillin/Sulbactam) (SUL05)</t>
        </is>
      </c>
      <c r="C820" s="8" t="inlineStr">
        <is>
          <t>Medium</t>
        </is>
      </c>
      <c r="D820" s="3" t="inlineStr">
        <is>
          <t>Dosing – renal/dialysis</t>
        </is>
      </c>
      <c r="E820" s="3" t="inlineStr"/>
      <c r="F820" s="3" t="inlineStr">
        <is>
          <t>Restore '≥' in CrCl ≥30 row; dose 1.5–3 g q6–8h</t>
        </is>
      </c>
      <c r="G820" s="3" t="inlineStr">
        <is>
          <t>CrCl [≥]30: no dosage adjustment (the '≥' sign is lost in the page HTML)</t>
        </is>
      </c>
      <c r="H820" s="3" t="inlineStr">
        <is>
          <t>FDA Table 3: ≥30 → 1.5–3 g every 6–8 h. The Sulampi insert says to reduce dosing frequency when CrCl ≤30.</t>
        </is>
      </c>
      <c r="I820" s="3" t="inlineStr">
        <is>
          <t>FDA UNASYN Table 3; Sulampi 仿單</t>
        </is>
      </c>
      <c r="J820" s="3" t="inlineStr">
        <is>
          <t>Open</t>
        </is>
      </c>
      <c r="K820" s="3" t="inlineStr"/>
    </row>
    <row r="821">
      <c r="A821" s="3" t="n">
        <v>131</v>
      </c>
      <c r="B821" s="3" t="inlineStr">
        <is>
          <t>Taigexyn (Nemonoxacin) (TAI05, TAI06)</t>
        </is>
      </c>
      <c r="C821" s="8" t="inlineStr">
        <is>
          <t>Medium</t>
        </is>
      </c>
      <c r="D821" s="3" t="inlineStr">
        <is>
          <t>Adverse effects</t>
        </is>
      </c>
      <c r="E821" s="3" t="inlineStr"/>
      <c r="F821" s="3" t="inlineStr">
        <is>
          <t>Add ALT/AST rise, QT prolongation and infusion-site reactions to IV ADR list</t>
        </is>
      </c>
      <c r="G821" s="3" t="inlineStr">
        <is>
          <t>Abdominal pain, diarrhoea, nausea, dizziness, headache, itching, rash, infusion-site pain</t>
        </is>
      </c>
      <c r="H821" s="3" t="inlineStr">
        <is>
          <t>Most common reactions in §8.1 (IV): ALT↑ 5.7%, infusion-site erythema 4.7%, infusion-site pruritus 4.4%, AST↑ 3.9%, QT prolongation 2.1%, WBC↓ 2.0%, infusion-site pain 2.0%, swelling 1.9%, GGT↑ 1.6%, nausea 1.6%. The hospital list matches the oral postmarketing table (§8.3) and leaves out the transaminase rise and QT prolongation.</t>
        </is>
      </c>
      <c r="I821" s="3" t="inlineStr">
        <is>
          <t>TFDA 仿單 衛部藥製字第060558號 §8.1, §8.3 — https://mcp.fda.gov.tw/im_detail_1/%E8%A1%9B%E9%83%A8%E8%97%A5%E8%A3%BD%E5%AD%97%E7%AC%AC060558%E8%99%9F</t>
        </is>
      </c>
      <c r="J821" s="3" t="inlineStr">
        <is>
          <t>Open</t>
        </is>
      </c>
      <c r="K821" s="3" t="inlineStr"/>
    </row>
    <row r="822">
      <c r="A822" s="3" t="n">
        <v>139</v>
      </c>
      <c r="B822" s="3" t="inlineStr">
        <is>
          <t>Taigexyn (Nemonoxacin) (TAI05, TAI06)</t>
        </is>
      </c>
      <c r="C822" s="8" t="inlineStr">
        <is>
          <t>Medium</t>
        </is>
      </c>
      <c r="D822" s="3" t="inlineStr">
        <is>
          <t>Adverse effects</t>
        </is>
      </c>
      <c r="E822" s="3" t="inlineStr"/>
      <c r="F822" s="3" t="inlineStr">
        <is>
          <t>Update IV ADR list: ALT/AST rise, QT prolongation, infusion-site reactions, WBC decrease</t>
        </is>
      </c>
      <c r="G822" s="3" t="inlineStr">
        <is>
          <t>Abdominal pain, diarrhea, nausea, dizziness, headache, itching, rash (藥袋: 輸注部位疼痛、噁心、腹瀉、頭痛、皮疹)</t>
        </is>
      </c>
      <c r="H822" s="3" t="inlineStr">
        <is>
          <t>The most common IV ADRs are ALT↑ 5.7%, infusion-site erythema 4.7%, infusion-site pruritus 4.4%, AST↑ 3.9%, QT prolongation 2.1%, WBC↓ 2.0%, infusion-site pain 2.0% and swelling 1.9%. Abdominal discomfort, rash and itching are postmarketing events at 0.01–0.03%.</t>
        </is>
      </c>
      <c r="I822" s="3" t="inlineStr">
        <is>
          <t>TFDA 仿單 Taigexyn Infusion 8.1, 8.3 — https://mcp.fda.gov.tw/im_detail_1/%E8%A1%9B%E9%83%A8%E8%97%A5%E8%A3%BD%E5%AD%97%E7%AC%AC060558%E8%99%9F</t>
        </is>
      </c>
      <c r="J822" s="3" t="inlineStr">
        <is>
          <t>Open</t>
        </is>
      </c>
      <c r="K822" s="3" t="inlineStr"/>
    </row>
    <row r="823">
      <c r="A823" s="3" t="n">
        <v>130</v>
      </c>
      <c r="B823" s="3" t="inlineStr">
        <is>
          <t>Taigexyn (Nemonoxacin) (TAI05, TAI06)</t>
        </is>
      </c>
      <c r="C823" s="8" t="inlineStr">
        <is>
          <t>Medium</t>
        </is>
      </c>
      <c r="D823" s="3" t="inlineStr">
        <is>
          <t>Dosing – adult</t>
        </is>
      </c>
      <c r="E823" s="3" t="inlineStr"/>
      <c r="F823" s="3" t="inlineStr">
        <is>
          <t>Add recommended treatment duration 7–14 days</t>
        </is>
      </c>
      <c r="G823" s="3" t="inlineStr">
        <is>
          <t>500 mg once daily over at least 90 minutes; no duration given</t>
        </is>
      </c>
      <c r="H823" s="3" t="inlineStr">
        <is>
          <t>Recommended course is 7–14 days</t>
        </is>
      </c>
      <c r="I823" s="3" t="inlineStr">
        <is>
          <t>TFDA 仿單 衛部藥製字第060558號 §3.1 — https://mcp.fda.gov.tw/im_detail_1/%E8%A1%9B%E9%83%A8%E8%97%A5%E8%A3%BD%E5%AD%97%E7%AC%AC060558%E8%99%9F</t>
        </is>
      </c>
      <c r="J823" s="3" t="inlineStr">
        <is>
          <t>Open</t>
        </is>
      </c>
      <c r="K823" s="3" t="inlineStr"/>
    </row>
    <row r="824">
      <c r="A824" s="3" t="n">
        <v>138</v>
      </c>
      <c r="B824" s="3" t="inlineStr">
        <is>
          <t>Taigexyn (Nemonoxacin) (TAI05, TAI06)</t>
        </is>
      </c>
      <c r="C824" s="8" t="inlineStr">
        <is>
          <t>Medium</t>
        </is>
      </c>
      <c r="D824" s="3" t="inlineStr">
        <is>
          <t>Dosing – adult</t>
        </is>
      </c>
      <c r="E824" s="3" t="inlineStr"/>
      <c r="F824" s="3" t="inlineStr">
        <is>
          <t>Add treatment duration 7–14 days to TAI06 dosing</t>
        </is>
      </c>
      <c r="G824" s="3" t="inlineStr">
        <is>
          <t>500 mg once daily, infused over at least 90 min. No treatment duration is given.</t>
        </is>
      </c>
      <c r="H824" s="3" t="inlineStr">
        <is>
          <t>Recommended treatment duration is 7–14 days (建議的治療時間是連續使用7至14天)</t>
        </is>
      </c>
      <c r="I824" s="3" t="inlineStr">
        <is>
          <t>TFDA 仿單 Taigexyn Infusion 3.1 — https://mcp.fda.gov.tw/im_detail_1/%E8%A1%9B%E9%83%A8%E8%97%A5%E8%A3%BD%E5%AD%97%E7%AC%AC060558%E8%99%9F</t>
        </is>
      </c>
      <c r="J824" s="3" t="inlineStr">
        <is>
          <t>Open</t>
        </is>
      </c>
      <c r="K824" s="3" t="inlineStr"/>
    </row>
    <row r="825">
      <c r="A825" s="3" t="n">
        <v>141</v>
      </c>
      <c r="B825" s="3" t="inlineStr">
        <is>
          <t>Taigexyn (Nemonoxacin) (TAI05, TAI06)</t>
        </is>
      </c>
      <c r="C825" s="8" t="inlineStr">
        <is>
          <t>Medium</t>
        </is>
      </c>
      <c r="D825" s="3" t="inlineStr">
        <is>
          <t>Dosing – hepatic</t>
        </is>
      </c>
      <c r="E825" s="3" t="inlineStr"/>
      <c r="F825" s="3" t="inlineStr">
        <is>
          <t>State safety/efficacy not established in any hepatic impairment, not only hepatic failure</t>
        </is>
      </c>
      <c r="G825" s="3" t="inlineStr">
        <is>
          <t>'No adequate and well-controlled studies… in patient with hepatic failure'</t>
        </is>
      </c>
      <c r="H825" s="3" t="inlineStr">
        <is>
          <t>Safety and efficacy are not established in 肝功能不全 (any hepatic impairment, not only hepatic failure)</t>
        </is>
      </c>
      <c r="I825" s="3" t="inlineStr">
        <is>
          <t>TFDA 仿單 3.3 — https://mcp.fda.gov.tw/im_detail_1/%E8%A1%9B%E9%83%A8%E8%97%A5%E8%A3%BD%E5%AD%97%E7%AC%AC058540%E8%99%9F</t>
        </is>
      </c>
      <c r="J825" s="3" t="inlineStr">
        <is>
          <t>Open</t>
        </is>
      </c>
      <c r="K825" s="3" t="inlineStr"/>
    </row>
    <row r="826">
      <c r="A826" s="3" t="n">
        <v>959</v>
      </c>
      <c r="B826" s="3" t="inlineStr">
        <is>
          <t>Tamiflu (Oseltamivir) (TAM08, TAM06, ERA02, ERA03)</t>
        </is>
      </c>
      <c r="C826" s="8" t="inlineStr">
        <is>
          <t>Medium</t>
        </is>
      </c>
      <c r="D826" s="3" t="inlineStr">
        <is>
          <t>Dosing – adult</t>
        </is>
      </c>
      <c r="E826" s="3" t="inlineStr"/>
      <c r="F826" s="3" t="inlineStr">
        <is>
          <t>Change prophylaxis to 10 days post-exposure; up to 6 weeks outbreak, 12 weeks immunocompromised</t>
        </is>
      </c>
      <c r="G826" s="3" t="inlineStr">
        <is>
          <t>Influenza, seasonal, prophylaxis: 75 mg once daily for 1 to 2 weeks</t>
        </is>
      </c>
      <c r="H826" s="3" t="inlineStr">
        <is>
          <t>Post-exposure: 10 days (TW/SmPC) or at least 10 days (FDA); community outbreak: up to 6 weeks; immunocompromised: up to 12 weeks</t>
        </is>
      </c>
      <c r="I826" s="3" t="inlineStr">
        <is>
          <t>US FDA label §2.3; Taiwan insert §3.1 預防; UK SmPC §4.2</t>
        </is>
      </c>
      <c r="J826" s="3" t="inlineStr">
        <is>
          <t>Open</t>
        </is>
      </c>
      <c r="K826" s="3" t="inlineStr"/>
    </row>
    <row r="827">
      <c r="A827" s="3" t="n">
        <v>960</v>
      </c>
      <c r="B827" s="3" t="inlineStr">
        <is>
          <t>Tamiflu (Oseltamivir) (TAM08, TAM06, ERA02, ERA03)</t>
        </is>
      </c>
      <c r="C827" s="8" t="inlineStr">
        <is>
          <t>Medium</t>
        </is>
      </c>
      <c r="D827" s="3" t="inlineStr">
        <is>
          <t>Dosing – adult</t>
        </is>
      </c>
      <c r="E827" s="3" t="inlineStr"/>
      <c r="F827" s="3" t="inlineStr">
        <is>
          <t>Mark avian influenza regimen as off-label/guideline; label prophylaxis is once daily</t>
        </is>
      </c>
      <c r="G827" s="3" t="inlineStr">
        <is>
          <t>Influenza A, avian (H7N9 or H5N1), treatment/prophylaxis: 75 mg twice daily for 5 to 10 days</t>
        </is>
      </c>
      <c r="H827" s="3" t="inlineStr">
        <is>
          <t>Not a labelled indication or regimen in FDA, TW or SmPC. Labels give prophylaxis as 75 mg ONCE daily, so 'BID for prophylaxis' is not label-supported</t>
        </is>
      </c>
      <c r="I827" s="3" t="inlineStr">
        <is>
          <t>US FDA label §1–2; Taiwan insert §2–3; UK SmPC §4.1–4.2</t>
        </is>
      </c>
      <c r="J827" s="3" t="inlineStr">
        <is>
          <t>Open</t>
        </is>
      </c>
      <c r="K827" s="3" t="inlineStr"/>
    </row>
    <row r="828">
      <c r="A828" s="3" t="n">
        <v>966</v>
      </c>
      <c r="B828" s="3" t="inlineStr">
        <is>
          <t>Tamiflu (Oseltamivir) (TAM08, TAM06, ERA02, ERA03)</t>
        </is>
      </c>
      <c r="C828" s="8" t="inlineStr">
        <is>
          <t>Medium</t>
        </is>
      </c>
      <c r="D828" s="3" t="inlineStr">
        <is>
          <t>Dosing – adult</t>
        </is>
      </c>
      <c r="E828" s="3" t="inlineStr"/>
      <c r="F828" s="3" t="inlineStr">
        <is>
          <t>Change prophylaxis duration to ≥10 days post-exposure; up to 6 weeks outbreak</t>
        </is>
      </c>
      <c r="G828" s="3" t="inlineStr">
        <is>
          <t>75 mg once daily for 1 to 2 weeks</t>
        </is>
      </c>
      <c r="H828" s="3" t="inlineStr">
        <is>
          <t>Post-exposure: 10 days (仿單/SmPC) or at least 10 days (US). Community outbreak: up to 6 weeks (up to 12 weeks in immunocompromised patients). IDSA: 7 days after last exposure.</t>
        </is>
      </c>
      <c r="I828" s="3" t="inlineStr">
        <is>
          <t>仿單 §3.1; US label §2.3; UK SmPC §4.2; IDSA 2018 PMID 30566567</t>
        </is>
      </c>
      <c r="J828" s="3" t="inlineStr">
        <is>
          <t>Open</t>
        </is>
      </c>
      <c r="K828" s="3" t="inlineStr"/>
    </row>
    <row r="829">
      <c r="A829" s="3" t="n">
        <v>968</v>
      </c>
      <c r="B829" s="3" t="inlineStr">
        <is>
          <t>Tamiflu (Oseltamivir) (TAM08, TAM06, ERA02, ERA03)</t>
        </is>
      </c>
      <c r="C829" s="8" t="inlineStr">
        <is>
          <t>Medium</t>
        </is>
      </c>
      <c r="D829" s="3" t="inlineStr">
        <is>
          <t>Dosing – adult</t>
        </is>
      </c>
      <c r="E829" s="3" t="inlineStr"/>
      <c r="F829" s="3" t="inlineStr">
        <is>
          <t>Attribute avian regimen as guideline/off-label; label prophylaxis is once daily</t>
        </is>
      </c>
      <c r="G829" s="3" t="inlineStr">
        <is>
          <t>Influenza A, avian (H7N9 or H5N1), treatment/prophylaxis: 75 mg twice daily for 5 to 10 days</t>
        </is>
      </c>
      <c r="H829" s="3" t="inlineStr">
        <is>
          <t>None of the US label, SmPC or 仿單 gives a separate avian-influenza regimen. This line is guideline or off-label content shown without attribution, and the twice-daily prophylaxis is not a label regimen.</t>
        </is>
      </c>
      <c r="I829" s="3" t="inlineStr">
        <is>
          <t>US label §2.2–2.3; UK SmPC §4.2; 仿單 §3.1</t>
        </is>
      </c>
      <c r="J829" s="3" t="inlineStr">
        <is>
          <t>Open</t>
        </is>
      </c>
      <c r="K829" s="3" t="inlineStr"/>
    </row>
    <row r="830">
      <c r="A830" s="3" t="n">
        <v>961</v>
      </c>
      <c r="B830" s="3" t="inlineStr">
        <is>
          <t>Tamiflu (Oseltamivir) (TAM08, TAM06, ERA02, ERA03)</t>
        </is>
      </c>
      <c r="C830" s="8" t="inlineStr">
        <is>
          <t>Medium</t>
        </is>
      </c>
      <c r="D830" s="3" t="inlineStr">
        <is>
          <t>Dosing – pediatric</t>
        </is>
      </c>
      <c r="E830" s="3" t="inlineStr"/>
      <c r="F830" s="3" t="inlineStr">
        <is>
          <t>Use label 3 mg/kg BID for all &lt;1 yr; mark 3.5 mg/kg and infant prophylaxis as guideline/off-label</t>
        </is>
      </c>
      <c r="G830" s="3" t="inlineStr">
        <is>
          <t>Infants ≥9 months: 3.5 or 3 mg/kg/dose BID; prophylaxis for infants 3–8 months 3 mg/kg QD and ≥9 months 3.5 or 3 mg/kg QD</t>
        </is>
      </c>
      <c r="H830" s="3" t="inlineStr">
        <is>
          <t>&lt;1 year treatment: 3 mg/kg BID for all infants (TW/SmPC: 'regardless of weight'). Prophylaxis &lt;1 y: FDA says not established; SmPC allows 3 mg/kg QD post-exposure only during a pandemic. 3.5 mg/kg is not in any label</t>
        </is>
      </c>
      <c r="I830" s="3" t="inlineStr">
        <is>
          <t>US FDA label §2.2 Table 1, §8.4; Taiwan insert §3.1 '有關年齡未滿1歲的所有病人，不論病人體重多少，均應使用3mg/kg'; UK SmPC §4.2</t>
        </is>
      </c>
      <c r="J830" s="3" t="inlineStr">
        <is>
          <t>Open</t>
        </is>
      </c>
      <c r="K830" s="3" t="inlineStr"/>
    </row>
    <row r="831">
      <c r="A831" s="3" t="n">
        <v>967</v>
      </c>
      <c r="B831" s="3" t="inlineStr">
        <is>
          <t>Tamiflu (Oseltamivir) (TAM08, TAM06, ERA02, ERA03)</t>
        </is>
      </c>
      <c r="C831" s="8" t="inlineStr">
        <is>
          <t>Medium</t>
        </is>
      </c>
      <c r="D831" s="3" t="inlineStr">
        <is>
          <t>Dosing – pediatric</t>
        </is>
      </c>
      <c r="E831" s="3" t="inlineStr"/>
      <c r="F831" s="3" t="inlineStr">
        <is>
          <t>Label 3 mg/kg BID &lt;1 yr; mark 3.5 mg/kg and infant prophylaxis as off-label (IDSA/AAP)</t>
        </is>
      </c>
      <c r="G831" s="3" t="inlineStr">
        <is>
          <t>Treatment: infants ≤8 months 3 mg/kg BID; ≥9 months 3.5 or 3 mg/kg BID. Prophylaxis: infants 3–8 months 3 mg/kg QD; ≥9 months 3.5 or 3 mg/kg QD. None of this is marked as off-label.</t>
        </is>
      </c>
      <c r="H831" s="3" t="inlineStr">
        <is>
          <t>Labels give 3 mg/kg BID for all infants under 1 year (US from 2 weeks; 仿單/SmPC from term neonates; not for &lt;36 weeks post-conceptual age). Prophylaxis under 1 year is not established in the US label and is approved by the SmPC only during a pandemic (3 mg/kg QD). The 仿單 prophylaxis indication starts at ≥1 year. The 3.5 mg/kg (9–11 months) and ≥3-month prophylaxis doses come from the IDSA/CDC table and are off-label.</t>
        </is>
      </c>
      <c r="I831" s="3" t="inlineStr">
        <is>
          <t>US label §2.2 Table 1 and §8.4; UK SmPC §4.1–4.2; 仿單 §2, §3.1; IDSA 2018 Table 8</t>
        </is>
      </c>
      <c r="J831" s="3" t="inlineStr">
        <is>
          <t>Open</t>
        </is>
      </c>
      <c r="K831" s="3" t="inlineStr"/>
    </row>
    <row r="832">
      <c r="A832" s="3" t="n">
        <v>765</v>
      </c>
      <c r="B832" s="3" t="inlineStr">
        <is>
          <t>Tetracycline (TET09)</t>
        </is>
      </c>
      <c r="C832" s="8" t="inlineStr">
        <is>
          <t>Medium</t>
        </is>
      </c>
      <c r="D832" s="3" t="inlineStr">
        <is>
          <t>Adverse effects</t>
        </is>
      </c>
      <c r="E832" s="3" t="inlineStr">
        <is>
          <t>Missing C. difficile warning</t>
        </is>
      </c>
      <c r="F832" s="3" t="inlineStr">
        <is>
          <t>Add photosensitivity, oesophagitis, IIH, hepatotoxicity, azotemia, tooth staining, CDAD, blood dyscrasias</t>
        </is>
      </c>
      <c r="G832" s="3" t="inlineStr">
        <is>
          <t>噁心、嘔吐、腹瀉、胃腸不適、皮疹、頭痛 only</t>
        </is>
      </c>
      <c r="H832" s="3" t="inlineStr">
        <is>
          <t>Labels also list photosensitivity, oesophagitis/oesophageal ulceration, intracranial hypertension, hepatotoxicity/liver failure, BUN rise/renal toxicity, tooth discoloration/enamel hypoplasia, Candida overgrowth, CDAD, haematologic reactions, hypersensitivity/SLE exacerbation</t>
        </is>
      </c>
      <c r="I832" s="3" t="inlineStr">
        <is>
          <t>US FDA label WARNINGS + ADVERSE REACTIONS; TW 仿單 §8</t>
        </is>
      </c>
      <c r="J832" s="3" t="inlineStr">
        <is>
          <t>Open</t>
        </is>
      </c>
      <c r="K832" s="3" t="inlineStr"/>
    </row>
    <row r="833">
      <c r="A833" s="3" t="n">
        <v>772</v>
      </c>
      <c r="B833" s="3" t="inlineStr">
        <is>
          <t>Tetracycline (TET09)</t>
        </is>
      </c>
      <c r="C833" s="8" t="inlineStr">
        <is>
          <t>Medium</t>
        </is>
      </c>
      <c r="D833" s="3" t="inlineStr">
        <is>
          <t>Adverse effects</t>
        </is>
      </c>
      <c r="E833" s="3" t="inlineStr">
        <is>
          <t>Missing C. difficile warning</t>
        </is>
      </c>
      <c r="F833" s="3" t="inlineStr">
        <is>
          <t>Add serious ADRs: oesophagitis, photosensitivity, IIH, hepatotoxicity, CDAD, tooth staining, anaphylaxis</t>
        </is>
      </c>
      <c r="G833" s="3" t="inlineStr">
        <is>
          <t>噁心、嘔吐、腹瀉、胃腸不適、皮疹、頭痛</t>
        </is>
      </c>
      <c r="H833" s="3" t="inlineStr">
        <is>
          <t>Also: oesophagitis/ulceration, photosensitivity, permanent tooth discoloration and enamel hypoplasia, intracranial hypertension, hepatotoxicity and liver failure, BUN rise and azotemia, Candida overgrowth, CDAD, blood dyscrasias, hypersensitivity including anaphylaxis and SLE exacerbation</t>
        </is>
      </c>
      <c r="I833" s="3" t="inlineStr">
        <is>
          <t>US FDA label WARNINGS/ADVERSE REACTIONS; TW 仿單 §8</t>
        </is>
      </c>
      <c r="J833" s="3" t="inlineStr">
        <is>
          <t>Open</t>
        </is>
      </c>
      <c r="K833" s="3" t="inlineStr"/>
    </row>
    <row r="834">
      <c r="A834" s="3" t="n">
        <v>763</v>
      </c>
      <c r="B834" s="3" t="inlineStr">
        <is>
          <t>Tetracycline (TET09)</t>
        </is>
      </c>
      <c r="C834" s="8" t="inlineStr">
        <is>
          <t>Medium</t>
        </is>
      </c>
      <c r="D834" s="3" t="inlineStr">
        <is>
          <t>Breastfeeding</t>
        </is>
      </c>
      <c r="E834" s="3" t="inlineStr">
        <is>
          <t>LactMed outdated</t>
        </is>
      </c>
      <c r="F834" s="3" t="inlineStr">
        <is>
          <t>Change to LactMed: short-term use acceptable; avoid prolonged courses</t>
        </is>
      </c>
      <c r="G834" s="3" t="inlineStr">
        <is>
          <t>可能會永久地使哺乳嬰兒的牙齒染色，避免使用此類藥物</t>
        </is>
      </c>
      <c r="H834" s="3" t="inlineStr">
        <is>
          <t>LactMed: short-term use probably acceptable (low milk levels, absorption limited by milk calcium); avoid only prolonged or repeated courses. TW 仿單: 權衡危險與效益</t>
        </is>
      </c>
      <c r="I834" s="3" t="inlineStr">
        <is>
          <t>LactMed NBK501108: https://www.ncbi.nlm.nih.gov/books/NBK501108/</t>
        </is>
      </c>
      <c r="J834" s="3" t="inlineStr">
        <is>
          <t>Open</t>
        </is>
      </c>
      <c r="K834" s="3" t="inlineStr"/>
    </row>
    <row r="835">
      <c r="A835" s="3" t="n">
        <v>770</v>
      </c>
      <c r="B835" s="3" t="inlineStr">
        <is>
          <t>Tetracycline (TET09)</t>
        </is>
      </c>
      <c r="C835" s="8" t="inlineStr">
        <is>
          <t>Medium</t>
        </is>
      </c>
      <c r="D835" s="3" t="inlineStr">
        <is>
          <t>Breastfeeding</t>
        </is>
      </c>
      <c r="E835" s="3" t="inlineStr">
        <is>
          <t>LactMed outdated</t>
        </is>
      </c>
      <c r="F835" s="3" t="inlineStr">
        <is>
          <t>Change to LactMed: short-term use acceptable; TW: weigh risk/benefit</t>
        </is>
      </c>
      <c r="G835" s="3" t="inlineStr">
        <is>
          <t>可能會永久地使哺乳嬰兒的牙齒染色，避免使用此類藥物</t>
        </is>
      </c>
      <c r="H835" s="3" t="inlineStr">
        <is>
          <t>LactMed: short-term use probably acceptable (low milk levels, milk calcium limits absorption, infant serum undetectable); avoid prolonged or repeated courses. TW §6.2: weigh risk and benefit (權衡利弊), not an outright ban.</t>
        </is>
      </c>
      <c r="I835" s="3" t="inlineStr">
        <is>
          <t>LactMed NBK501108: https://www.ncbi.nlm.nih.gov/books/NBK501108/ ; TW 仿單 §6.2</t>
        </is>
      </c>
      <c r="J835" s="3" t="inlineStr">
        <is>
          <t>Open</t>
        </is>
      </c>
      <c r="K835" s="3" t="inlineStr"/>
    </row>
    <row r="836">
      <c r="A836" s="3" t="n">
        <v>762</v>
      </c>
      <c r="B836" s="3" t="inlineStr">
        <is>
          <t>Tetracycline (TET09)</t>
        </is>
      </c>
      <c r="C836" s="8" t="inlineStr">
        <is>
          <t>Medium</t>
        </is>
      </c>
      <c r="D836" s="3" t="inlineStr">
        <is>
          <t>Contraindication/warning</t>
        </is>
      </c>
      <c r="E836" s="3" t="inlineStr"/>
      <c r="F836" s="3" t="inlineStr">
        <is>
          <t>Remove Canadian contraindications; use TW/US: tetracycline hypersensitivity only</t>
        </is>
      </c>
      <c r="G836" s="3" t="inlineStr">
        <is>
          <t>Quotes 'Canadian labeling: Additional contraindications: severe liver disease; severe renal disease; use in children'</t>
        </is>
      </c>
      <c r="H836" s="3" t="inlineStr">
        <is>
          <t>US label: hypersensitivity to any tetracycline only. TW 仿單 §4: 對四環素類過敏. Canadian labeling is not a source for this product</t>
        </is>
      </c>
      <c r="I836" s="3" t="inlineStr">
        <is>
          <t>US FDA label CONTRAINDICATIONS; TW 仿單 §4</t>
        </is>
      </c>
      <c r="J836" s="3" t="inlineStr">
        <is>
          <t>Open</t>
        </is>
      </c>
      <c r="K836" s="3" t="inlineStr"/>
    </row>
    <row r="837">
      <c r="A837" s="3" t="n">
        <v>769</v>
      </c>
      <c r="B837" s="3" t="inlineStr">
        <is>
          <t>Tetracycline (TET09)</t>
        </is>
      </c>
      <c r="C837" s="8" t="inlineStr">
        <is>
          <t>Medium</t>
        </is>
      </c>
      <c r="D837" s="3" t="inlineStr">
        <is>
          <t>Contraindication/warning</t>
        </is>
      </c>
      <c r="E837" s="3" t="inlineStr"/>
      <c r="F837" s="3" t="inlineStr">
        <is>
          <t>Replace Canadian contraindications with TW/US: hypersensitivity only; &lt;8 y as warning</t>
        </is>
      </c>
      <c r="G837" s="3" t="inlineStr">
        <is>
          <t>Canadian labeling: additional contraindications of severe liver disease, severe renal disease, and use in children</t>
        </is>
      </c>
      <c r="H837" s="3" t="inlineStr">
        <is>
          <t>US: only hypersensitivity to any tetracycline. TW §4: tetracycline-class hypersensitivity. Children under 8 is a warning in both (avoid unless other drugs ineffective), not a contraindication. The Canadian label is outside the source hierarchy.</t>
        </is>
      </c>
      <c r="I837" s="3" t="inlineStr">
        <is>
          <t>US FDA label CONTRAINDICATIONS; TW 仿單 §4</t>
        </is>
      </c>
      <c r="J837" s="3" t="inlineStr">
        <is>
          <t>Open</t>
        </is>
      </c>
      <c r="K837" s="3" t="inlineStr"/>
    </row>
    <row r="838">
      <c r="A838" s="3" t="n">
        <v>761</v>
      </c>
      <c r="B838" s="3" t="inlineStr">
        <is>
          <t>Tetracycline (TET09)</t>
        </is>
      </c>
      <c r="C838" s="8" t="inlineStr">
        <is>
          <t>Medium</t>
        </is>
      </c>
      <c r="D838" s="3" t="inlineStr">
        <is>
          <t>Dosing – renal/dialysis</t>
        </is>
      </c>
      <c r="E838" s="3" t="inlineStr">
        <is>
          <t>Renal table outdated</t>
        </is>
      </c>
      <c r="F838" s="3" t="inlineStr">
        <is>
          <t>Restore missing '&lt;10' threshold and cite source, or use label: reduce dose/extend interval</t>
        </is>
      </c>
      <c r="G838" s="3" t="inlineStr">
        <is>
          <t>GFR &gt;50: q8–12h; GFR 10–50: q12–24h; 'GFR 根據適應症，每24小時' (the '&lt;10' threshold is missing)</t>
        </is>
      </c>
      <c r="H838" s="3" t="inlineStr">
        <is>
          <t>Neither label gives numeric GFR intervals. TW: 降低劑量, 延長治療需測血清濃度. US: reduce individual doses and/or extend the interval</t>
        </is>
      </c>
      <c r="I838" s="3" t="inlineStr">
        <is>
          <t>TW 仿單 §6.7; US FDA label 'Use in Specific Population': https://dailymed.nlm.nih.gov/dailymed/drugInfo.cfm?setid=02e88b4a-57ae-4ef6-ba48-97c657202b94</t>
        </is>
      </c>
      <c r="J838" s="3" t="inlineStr">
        <is>
          <t>Open</t>
        </is>
      </c>
      <c r="K838" s="3" t="inlineStr"/>
    </row>
    <row r="839">
      <c r="A839" s="3" t="n">
        <v>768</v>
      </c>
      <c r="B839" s="3" t="inlineStr">
        <is>
          <t>Tetracycline (TET09)</t>
        </is>
      </c>
      <c r="C839" s="8" t="inlineStr">
        <is>
          <t>Medium</t>
        </is>
      </c>
      <c r="D839" s="3" t="inlineStr">
        <is>
          <t>Dosing – renal/dialysis</t>
        </is>
      </c>
      <c r="E839" s="3" t="inlineStr">
        <is>
          <t>Renal table outdated</t>
        </is>
      </c>
      <c r="F839" s="3" t="inlineStr">
        <is>
          <t>Restore '&lt;10' threshold with source, or use label wording; prefer doxycycline in CKD</t>
        </is>
      </c>
      <c r="G839" s="3" t="inlineStr">
        <is>
          <t>GFR &gt;50: q8–12h; GFR 10–50: q12–24h; last line 'GFR 根據適應症，每24小時給予建議劑量' with the '&lt;10' threshold lost</t>
        </is>
      </c>
      <c r="H839" s="3" t="inlineStr">
        <is>
          <t>Neither label gives numeric GFR cut-offs. TW: reduce dose and check serum levels in prolonged therapy (§6.7.3, 6.7.5). US: reduce individual doses and/or extend the interval. Doxycycline is preferred in CKD (PMID 4825113).</t>
        </is>
      </c>
      <c r="I839" s="3" t="inlineStr">
        <is>
          <t>TW 仿單 §6.7; US FDA label Use in Specific Population: https://dailymed.nlm.nih.gov/dailymed/drugInfo.cfm?setid=3ce3e8dc-7fbd-4f8d-a65f-092e1ef21725</t>
        </is>
      </c>
      <c r="J839" s="3" t="inlineStr">
        <is>
          <t>Open</t>
        </is>
      </c>
      <c r="K839" s="3" t="inlineStr"/>
    </row>
    <row r="840">
      <c r="A840" s="3" t="n">
        <v>774</v>
      </c>
      <c r="B840" s="3" t="inlineStr">
        <is>
          <t>Tetracycline (TET09)</t>
        </is>
      </c>
      <c r="C840" s="8" t="inlineStr">
        <is>
          <t>Medium</t>
        </is>
      </c>
      <c r="D840" s="3" t="inlineStr">
        <is>
          <t>Indication/coverage</t>
        </is>
      </c>
      <c r="E840" s="3" t="inlineStr"/>
      <c r="F840" s="3" t="inlineStr">
        <is>
          <t>Add CDC 2021 caveat: tetracycline not recommended for gonorrhoea</t>
        </is>
      </c>
      <c r="G840" s="3" t="inlineStr">
        <is>
          <t>淋病：每6小時口服2粒，為時5天 (matches the TW insert)</t>
        </is>
      </c>
      <c r="H840" s="3" t="inlineStr">
        <is>
          <t>CDC 2021: US N. gonorrhoeae strains are 'not adequately susceptible to … tetracycline … use of these antimicrobials cannot be recommended'. The regimen matches the label but is out of date for stewardship and should carry a caveat.</t>
        </is>
      </c>
      <c r="I840" s="3" t="inlineStr">
        <is>
          <t>CDC STI Treatment Guidelines 2021, PMID 34292926 (PMC8344968): https://pubmed.ncbi.nlm.nih.gov/34292926/</t>
        </is>
      </c>
      <c r="J840" s="3" t="inlineStr">
        <is>
          <t>Open</t>
        </is>
      </c>
      <c r="K840" s="3" t="inlineStr"/>
    </row>
    <row r="841">
      <c r="A841" s="3" t="n">
        <v>1315</v>
      </c>
      <c r="B841" s="3" t="inlineStr">
        <is>
          <t>Tivicay (Dolutegravir) (TIV01)</t>
        </is>
      </c>
      <c r="C841" s="8" t="inlineStr">
        <is>
          <t>Medium</t>
        </is>
      </c>
      <c r="D841" s="3" t="inlineStr">
        <is>
          <t>Breastfeeding</t>
        </is>
      </c>
      <c r="E841" s="3" t="inlineStr">
        <is>
          <t>LactMed outdated</t>
        </is>
      </c>
      <c r="F841" s="3" t="inlineStr">
        <is>
          <t>Update with LactMed: low milk levels, first-line during breastfeeding with undetectable viral load.</t>
        </is>
      </c>
      <c r="G841" s="3" t="inlineStr">
        <is>
          <t>Infant risk cannot be ruled out. (MDX)</t>
        </is>
      </c>
      <c r="H841" s="3" t="inlineStr">
        <is>
          <t>This is incomplete. LactMed (rev. 2026-07-15) says milk levels are low and recommends DTG as a first-line ARV during breastfeeding. Mothers with a sustained undetectable viral load who choose to breastfeed should be supported. The TW insert and UK SmPC advise against breastfeeding.</t>
        </is>
      </c>
      <c r="I841" s="3" t="inlineStr">
        <is>
          <t>LactMed NBK500631 https://www.ncbi.nlm.nih.gov/books/NBK500631/</t>
        </is>
      </c>
      <c r="J841" s="3" t="inlineStr">
        <is>
          <t>Open</t>
        </is>
      </c>
      <c r="K841" s="3" t="inlineStr"/>
    </row>
    <row r="842">
      <c r="A842" s="3" t="n">
        <v>1321</v>
      </c>
      <c r="B842" s="3" t="inlineStr">
        <is>
          <t>Tivicay (Dolutegravir) (TIV01)</t>
        </is>
      </c>
      <c r="C842" s="8" t="inlineStr">
        <is>
          <t>Medium</t>
        </is>
      </c>
      <c r="D842" s="3" t="inlineStr">
        <is>
          <t>Breastfeeding</t>
        </is>
      </c>
      <c r="E842" s="3" t="inlineStr">
        <is>
          <t>LactMed outdated</t>
        </is>
      </c>
      <c r="F842" s="3" t="inlineStr">
        <is>
          <t>Update with LactMed 2026: low milk levels, support breastfeeding with undetectable viral load.</t>
        </is>
      </c>
      <c r="G842" s="3" t="inlineStr">
        <is>
          <t>Infant risk cannot be ruled out. (MDX)</t>
        </is>
      </c>
      <c r="H842" s="3" t="inlineStr">
        <is>
          <t>LactMed (2026-07-15): low milk levels; recommended as a first-line drug during breastfeeding; support breastfeeding when the viral load is undetectable. TW and UK labels advise against breastfeeding.</t>
        </is>
      </c>
      <c r="I842" s="3" t="inlineStr">
        <is>
          <t>LactMed NBK500631: https://www.ncbi.nlm.nih.gov/books/NBK500631/</t>
        </is>
      </c>
      <c r="J842" s="3" t="inlineStr">
        <is>
          <t>Open</t>
        </is>
      </c>
      <c r="K842" s="3" t="inlineStr"/>
    </row>
    <row r="843">
      <c r="A843" s="3" t="n">
        <v>1314</v>
      </c>
      <c r="B843" s="3" t="inlineStr">
        <is>
          <t>Tivicay (Dolutegravir) (TIV01)</t>
        </is>
      </c>
      <c r="C843" s="8" t="inlineStr">
        <is>
          <t>Medium</t>
        </is>
      </c>
      <c r="D843" s="3" t="inlineStr">
        <is>
          <t>Pregnancy</t>
        </is>
      </c>
      <c r="E843" s="3" t="inlineStr"/>
      <c r="F843" s="3" t="inlineStr">
        <is>
          <t>Replace 'fetal risk cannot be ruled out' with current NTD data; can use in pregnancy if needed.</t>
        </is>
      </c>
      <c r="G843" s="3" t="inlineStr">
        <is>
          <t>Fetal risk cannot be ruled out. (TH)</t>
        </is>
      </c>
      <c r="H843" s="3" t="inlineStr">
        <is>
          <t>This is out of date. The current labels say the Botswana and Eswatini surveillance (&gt;14,000 pregnancies) shows a neural tube defect rate with DTG at conception similar to non-DTG ART (0.11% vs 0.11%). APR data show no increased birth-defect risk. The UK SmPC says it 'can be used during pregnancy if clinically needed'.</t>
        </is>
      </c>
      <c r="I843" s="3" t="inlineStr">
        <is>
          <t>US FDA label §8.1 https://dailymed.nlm.nih.gov/dailymed/drugInfo.cfm?setid=63df5af3-b8ac-4e76-9830-2dbb340af922; UK SmPC §4.6 https://www.medicines.org.uk/emc/product/10057/smpc</t>
        </is>
      </c>
      <c r="J843" s="3" t="inlineStr">
        <is>
          <t>Open</t>
        </is>
      </c>
      <c r="K843" s="3" t="inlineStr"/>
    </row>
    <row r="844">
      <c r="A844" s="3" t="n">
        <v>1320</v>
      </c>
      <c r="B844" s="3" t="inlineStr">
        <is>
          <t>Tivicay (Dolutegravir) (TIV01)</t>
        </is>
      </c>
      <c r="C844" s="8" t="inlineStr">
        <is>
          <t>Medium</t>
        </is>
      </c>
      <c r="D844" s="3" t="inlineStr">
        <is>
          <t>Pregnancy</t>
        </is>
      </c>
      <c r="E844" s="3" t="inlineStr"/>
      <c r="F844" s="3" t="inlineStr">
        <is>
          <t>Replace category-type text with narrative: usable in pregnancy if needed; NTD rate similar to non-DTG ART.</t>
        </is>
      </c>
      <c r="G844" s="3" t="inlineStr">
        <is>
          <t>Fetal risk cannot be ruled out. (TH)</t>
        </is>
      </c>
      <c r="H844" s="3" t="inlineStr">
        <is>
          <t>Letter-type categories are retired. The labels say DTG can be used in pregnancy if clinically needed. Botswana/Eswatini data (over 14,000 pregnancies) show NTD prevalence similar to non-DTG ART.</t>
        </is>
      </c>
      <c r="I844" s="3" t="inlineStr">
        <is>
          <t>UK SmPC §4.6; US FDA label §8.1; TW insert §6.1</t>
        </is>
      </c>
      <c r="J844" s="3" t="inlineStr">
        <is>
          <t>Open</t>
        </is>
      </c>
      <c r="K844" s="3" t="inlineStr"/>
    </row>
    <row r="845">
      <c r="A845" s="3" t="n">
        <v>1230</v>
      </c>
      <c r="B845" s="3" t="inlineStr">
        <is>
          <t>Triumeq (Dolutegravir/Abacavir/Lamivudine) (TRI05)</t>
        </is>
      </c>
      <c r="C845" s="8" t="inlineStr">
        <is>
          <t>Medium</t>
        </is>
      </c>
      <c r="D845" s="3" t="inlineStr">
        <is>
          <t>Contraindication/warning</t>
        </is>
      </c>
      <c r="E845" s="3" t="inlineStr"/>
      <c r="F845" s="3" t="inlineStr">
        <is>
          <t>Move INSTI resistance to limitation of use; list labelled contraindications incl. HLA-B*5701, dofetilide, hepatic impairment.</t>
        </is>
      </c>
      <c r="G845" s="3" t="inlineStr">
        <is>
          <t>Item 5: 'Known or clinically suspected INSTI resistance' listed as a contraindication</t>
        </is>
      </c>
      <c r="H845" s="3" t="inlineStr">
        <is>
          <t>INSTI resistance is a Limitation of Use ('not recommended alone… DTG dose insufficient'), not a contraindication. The labelled contraindications are HLA-B*5701, prior hypersensitivity to any component, dofetilide (US/TW) or fampridine (UK), and moderate/severe hepatic impairment (US/TW).</t>
        </is>
      </c>
      <c r="I845" s="3" t="inlineStr">
        <is>
          <t>US DailyMed §1 Limitations of Use, §4; TW 仿單 §2 使用限制, §4 禁忌</t>
        </is>
      </c>
      <c r="J845" s="3" t="inlineStr">
        <is>
          <t>Open</t>
        </is>
      </c>
      <c r="K845" s="3" t="inlineStr"/>
    </row>
    <row r="846">
      <c r="A846" s="3" t="n">
        <v>1234</v>
      </c>
      <c r="B846" s="3" t="inlineStr">
        <is>
          <t>Triumeq (Dolutegravir/Abacavir/Lamivudine) (TRI05)</t>
        </is>
      </c>
      <c r="C846" s="8" t="inlineStr">
        <is>
          <t>Medium</t>
        </is>
      </c>
      <c r="D846" s="3" t="inlineStr">
        <is>
          <t>Contraindication/warning</t>
        </is>
      </c>
      <c r="E846" s="3" t="inlineStr"/>
      <c r="F846" s="3" t="inlineStr">
        <is>
          <t>Reclassify INSTI resistance as limitation of use; add UK fampridine contraindication.</t>
        </is>
      </c>
      <c r="G846" s="3" t="inlineStr">
        <is>
          <t>Lists 'known or clinically suspected INSTI resistance' as a contraindication (item 5)</t>
        </is>
      </c>
      <c r="H846" s="3" t="inlineStr">
        <is>
          <t>INSTI resistance is a limitation of use ('not recommended', because the DTG dose is insufficient), not a labelled contraindication. Also, the UK SmPC 4.3 contraindicates fampridine/dalfampridine, which the hospital page does not mention.</t>
        </is>
      </c>
      <c r="I846" s="3" t="inlineStr">
        <is>
          <t>US label §1 Limitations of Use, §4; Taiwan insert §2 使用限制, §4; UK SmPC 4.3</t>
        </is>
      </c>
      <c r="J846" s="3" t="inlineStr">
        <is>
          <t>Open</t>
        </is>
      </c>
      <c r="K846" s="3" t="inlineStr"/>
    </row>
    <row r="847">
      <c r="A847" s="3" t="n">
        <v>1228</v>
      </c>
      <c r="B847" s="3" t="inlineStr">
        <is>
          <t>Triumeq (Dolutegravir/Abacavir/Lamivudine) (TRI05)</t>
        </is>
      </c>
      <c r="C847" s="8" t="inlineStr">
        <is>
          <t>Medium</t>
        </is>
      </c>
      <c r="D847" s="3" t="inlineStr">
        <is>
          <t>Dosing – pediatric</t>
        </is>
      </c>
      <c r="E847" s="3" t="inlineStr"/>
      <c r="F847" s="3" t="inlineStr">
        <is>
          <t>Correct pediatric threshold to ≥25 kg (FC tablet) per US/UK; TW ≥12 y; remove 40 kg.</t>
        </is>
      </c>
      <c r="G847" s="3" t="inlineStr">
        <is>
          <t>Adult and pediatric patients weighing ≥40 kg</t>
        </is>
      </c>
      <c r="H847" s="3" t="inlineStr">
        <is>
          <t>FC tablet: ≥25 kg (US §2.3–2.5, UK §4.1). TW insert: adults and adolescents ≥12 y. US overall indication: ≥3 months and ≥6 kg (using Triumeq PD below 25 kg). 40 kg is not a labelled threshold in the current labels.</t>
        </is>
      </c>
      <c r="I847" s="3" t="inlineStr">
        <is>
          <t>US DailyMed §1, §2.5 — https://dailymed.nlm.nih.gov/dailymed/drugInfo.cfm?setid=2997739a-aa91-42aa-a206-a70e2db7b84f; UK SmPC §4.1 — https://www.medicines.org.uk/emc/product/3318/smpc</t>
        </is>
      </c>
      <c r="J847" s="3" t="inlineStr">
        <is>
          <t>Open</t>
        </is>
      </c>
      <c r="K847" s="3" t="inlineStr"/>
    </row>
    <row r="848">
      <c r="A848" s="3" t="n">
        <v>1233</v>
      </c>
      <c r="B848" s="3" t="inlineStr">
        <is>
          <t>Triumeq (Dolutegravir/Abacavir/Lamivudine) (TRI05)</t>
        </is>
      </c>
      <c r="C848" s="8" t="inlineStr">
        <is>
          <t>Medium</t>
        </is>
      </c>
      <c r="D848" s="3" t="inlineStr">
        <is>
          <t>Dosing – pediatric</t>
        </is>
      </c>
      <c r="E848" s="3" t="inlineStr"/>
      <c r="F848" s="3" t="inlineStr">
        <is>
          <t>Change pediatric threshold from 40 kg to ≥25 kg (US/UK) / ≥12 y (TW).</t>
        </is>
      </c>
      <c r="G848" s="3" t="inlineStr">
        <is>
          <t>Treatment of HIV-1 in adult and pediatric patients weighing ≥40 kg; &lt;40 kg not recommended</t>
        </is>
      </c>
      <c r="H848" s="3" t="inlineStr">
        <is>
          <t>Taiwan insert: adults and adolescents ≥12 years. US label and UK SmPC: film-coated tablet for ≥25 kg (PD dispersible for 6 to &lt;25 kg). The 40 kg figure is not in any current label; the Taiwan insert mentions 40 kg only in PK subgroups.</t>
        </is>
      </c>
      <c r="I848" s="3" t="inlineStr">
        <is>
          <t>Taiwan insert §2, §6.4; US label §1, §2.5; UK SmPC 4.1/4.2</t>
        </is>
      </c>
      <c r="J848" s="3" t="inlineStr">
        <is>
          <t>Open</t>
        </is>
      </c>
      <c r="K848" s="3" t="inlineStr"/>
    </row>
    <row r="849">
      <c r="A849" s="3" t="n">
        <v>1237</v>
      </c>
      <c r="B849" s="3" t="inlineStr">
        <is>
          <t>Triumeq (Dolutegravir/Abacavir/Lamivudine) (TRI05)</t>
        </is>
      </c>
      <c r="C849" s="8" t="inlineStr">
        <is>
          <t>Medium</t>
        </is>
      </c>
      <c r="D849" s="3" t="inlineStr">
        <is>
          <t>Pregnancy</t>
        </is>
      </c>
      <c r="E849" s="3" t="inlineStr">
        <is>
          <t>LactMed outdated</t>
        </is>
      </c>
      <c r="F849" s="3" t="inlineStr">
        <is>
          <t>Cite source for pregnancy 'alternative' wording; add TW no-breastfeed advice and LactMed position.</t>
        </is>
      </c>
      <c r="G849" s="3" t="inlineStr">
        <is>
          <t>Pregnancy: 'An alternative regimen' for ART-naive pregnant patients. Breastfeeding: only states that the components are present in milk.</t>
        </is>
      </c>
      <c r="H849" s="3" t="inlineStr">
        <is>
          <t>Labels: UK 4.6 says Triumeq 'can be used during pregnancy if clinically needed', and Tsepamo/Eswatini data (&gt;14,000) show no NTD excess. The 'alternative' wording could not be checked against the DHHS perinatal guideline (clinicalinfo.hiv.gov blocked by proxy). Breastfeeding: the TW insert advises mothers not to breastfeed on Triumeq; LactMed supports informed breastfeeding with a sustained undetectable viral load.</t>
        </is>
      </c>
      <c r="I849" s="3" t="inlineStr">
        <is>
          <t>UK SmPC 4.6; US label §8.1/§8.2; Taiwan insert §6.1/§6.2; LactMed NBK500631/NBK501547/NBK501536</t>
        </is>
      </c>
      <c r="J849" s="3" t="inlineStr">
        <is>
          <t>Open</t>
        </is>
      </c>
      <c r="K849" s="3" t="inlineStr"/>
    </row>
    <row r="850">
      <c r="A850" s="3" t="n">
        <v>1339</v>
      </c>
      <c r="B850" s="3" t="inlineStr">
        <is>
          <t>Truvada (Emtricitabine/TDF) (TRU01, TRU03)</t>
        </is>
      </c>
      <c r="C850" s="8" t="inlineStr">
        <is>
          <t>Medium</t>
        </is>
      </c>
      <c r="D850" s="3" t="inlineStr">
        <is>
          <t>Breastfeeding</t>
        </is>
      </c>
      <c r="E850" s="3" t="inlineStr"/>
      <c r="F850" s="3" t="inlineStr">
        <is>
          <t>Split advice: HIV treatment—do not breastfeed; PrEP—weigh benefits, minimal infant exposure.</t>
        </is>
      </c>
      <c r="G850" s="3" t="inlineStr">
        <is>
          <t>Infant risk cannot be ruled out.</t>
        </is>
      </c>
      <c r="H850" s="3" t="inlineStr">
        <is>
          <t>The labels separate the two uses. For HIV treatment, instruct the mother not to breastfeed (US/TW 8.2), and UK 4.6 says 'should not be used during breast-feeding'. For PrEP in HIV-negative women, weigh benefits; infant exposure is very low (tenofovir undetectable, FTC &lt;1% of infant therapeutic Cmax).</t>
        </is>
      </c>
      <c r="I850" s="3" t="inlineStr">
        <is>
          <t>US 8.2; TW 8.2; UK 4.6</t>
        </is>
      </c>
      <c r="J850" s="3" t="inlineStr">
        <is>
          <t>Open</t>
        </is>
      </c>
      <c r="K850" s="3" t="inlineStr"/>
    </row>
    <row r="851">
      <c r="A851" s="3" t="n">
        <v>1329</v>
      </c>
      <c r="B851" s="3" t="inlineStr">
        <is>
          <t>Truvada (Emtricitabine/TDF) (TRU01, TRU03)</t>
        </is>
      </c>
      <c r="C851" s="8" t="inlineStr">
        <is>
          <t>Medium</t>
        </is>
      </c>
      <c r="D851" s="3" t="inlineStr">
        <is>
          <t>Dosing – hepatic</t>
        </is>
      </c>
      <c r="E851" s="3" t="inlineStr"/>
      <c r="F851" s="3" t="inlineStr">
        <is>
          <t>Fill hepatic field: no adjustment; warn HBV flare on stopping and risk in liver disease.</t>
        </is>
      </c>
      <c r="G851" s="3" t="inlineStr">
        <is>
          <t>(empty)</t>
        </is>
      </c>
      <c r="H851" s="3" t="inlineStr">
        <is>
          <t>No dose adjustment in hepatic impairment (SmPC 4.2). Warn about the HBV flare on stopping and about the risk in significant liver disease (SmPC 4.4; FDA boxed warning).</t>
        </is>
      </c>
      <c r="I851" s="3" t="inlineStr">
        <is>
          <t>UK SmPC 4.2/4.4 https://www.medicines.org.uk/emc/product/3890/smpc</t>
        </is>
      </c>
      <c r="J851" s="3" t="inlineStr">
        <is>
          <t>Open</t>
        </is>
      </c>
      <c r="K851" s="3" t="inlineStr"/>
    </row>
    <row r="852">
      <c r="A852" s="3" t="n">
        <v>1328</v>
      </c>
      <c r="B852" s="3" t="inlineStr">
        <is>
          <t>Truvada (Emtricitabine/TDF) (TRU01, TRU03)</t>
        </is>
      </c>
      <c r="C852" s="8" t="inlineStr">
        <is>
          <t>Medium</t>
        </is>
      </c>
      <c r="D852" s="3" t="inlineStr">
        <is>
          <t>Dosing – pediatric</t>
        </is>
      </c>
      <c r="E852" s="3" t="inlineStr"/>
      <c r="F852" s="3" t="inlineStr">
        <is>
          <t>State ≥35 kg 1 tab QD; &lt;35 kg not approved in Taiwan; drop US-only &lt;17 kg cutoff.</t>
        </is>
      </c>
      <c r="G852" s="3" t="inlineStr">
        <is>
          <t>1. &lt;17 kg: Not intended for use; safety and efficacy have not been established; 2. ≥35 kg: Refer to adult use</t>
        </is>
      </c>
      <c r="H852" s="3" t="inlineStr">
        <is>
          <t>This is not empty, as the brief said, but it is inconsistent. The &lt;17 kg cutoff is the US one, which depends on US-only low-strength tablets. The Taiwan insert for the stocked product says it is not approved below 35 kg, and the field leaves 17–&lt;35 kg undefined. It should say: ≥35 kg 1 tab QD; &lt;35 kg not approved in Taiwan (US low-strength tabs not available).</t>
        </is>
      </c>
      <c r="I852" s="3" t="inlineStr">
        <is>
          <t>TW仿單 8.4 (TRUVADA 未被核准使用於體重低於 35 公斤的兒童) https://mcp.fda.gov.tw/insert/pdfcasefile/07360bcf-31f4-4cca-ac0a-db88549997d1 ; US FDA label 2.4/8.4</t>
        </is>
      </c>
      <c r="J852" s="3" t="inlineStr">
        <is>
          <t>Open</t>
        </is>
      </c>
      <c r="K852" s="3" t="inlineStr"/>
    </row>
    <row r="853">
      <c r="A853" s="3" t="n">
        <v>1337</v>
      </c>
      <c r="B853" s="3" t="inlineStr">
        <is>
          <t>Truvada (Emtricitabine/TDF) (TRU01, TRU03)</t>
        </is>
      </c>
      <c r="C853" s="8" t="inlineStr">
        <is>
          <t>Medium</t>
        </is>
      </c>
      <c r="D853" s="3" t="inlineStr">
        <is>
          <t>Dosing – pediatric</t>
        </is>
      </c>
      <c r="E853" s="3" t="inlineStr"/>
      <c r="F853" s="3" t="inlineStr">
        <is>
          <t>Address 17–&lt;35 kg gap: low-strength tabs unavailable; TW approves ≥35 kg only.</t>
        </is>
      </c>
      <c r="G853" s="3" t="inlineStr">
        <is>
          <t>1. &lt;17 kg: Not intended for use; 2. ≥35 kg: Refer to adult use. (Correction to the brief, which said this field was empty.)</t>
        </is>
      </c>
      <c r="H853" s="3" t="inlineStr">
        <is>
          <t>The 17 to &lt;35 kg band is not addressed. In the US it uses low-strength tablets (100/150, 133/200, 167/250 mg), which are not available in Taiwan or the hospital. The TW insert approves only ≥35 kg for treatment, and PrEP only for adolescents ≥35 kg. The '&lt;17 kg' cut-off comes from the US label, not the TW insert.</t>
        </is>
      </c>
      <c r="I853" s="3" t="inlineStr">
        <is>
          <t>TW 1.1/2.3; US 2.4 Table 1, 8.4</t>
        </is>
      </c>
      <c r="J853" s="3" t="inlineStr">
        <is>
          <t>Open</t>
        </is>
      </c>
      <c r="K853" s="3" t="inlineStr"/>
    </row>
    <row r="854">
      <c r="A854" s="3" t="n">
        <v>1325</v>
      </c>
      <c r="B854" s="3" t="inlineStr">
        <is>
          <t>Truvada (Emtricitabine/TDF) (TRU01, TRU03)</t>
        </is>
      </c>
      <c r="C854" s="8" t="inlineStr">
        <is>
          <t>Medium</t>
        </is>
      </c>
      <c r="D854" s="3" t="inlineStr">
        <is>
          <t>Indication/coverage</t>
        </is>
      </c>
      <c r="E854" s="3" t="inlineStr"/>
      <c r="F854" s="3" t="inlineStr">
        <is>
          <t>Correct 'PEP' to PrEP; PrEP covers adults and adolescents ≥35 kg.</t>
        </is>
      </c>
      <c r="G854" s="3" t="inlineStr">
        <is>
          <t>HIV infection, Treatment or Preexposure (PEP) in high-risk adults</t>
        </is>
      </c>
      <c r="H854" s="3" t="inlineStr">
        <is>
          <t>The abbreviation should be PrEP (pre-exposure prophylaxis); PEP means post-exposure prophylaxis, a different use. The PrEP indication also covers adolescents ≥35 kg, not adults only.</t>
        </is>
      </c>
      <c r="I854" s="3" t="inlineStr">
        <is>
          <t>US FDA label 1.2; TW仿單 1.2 https://mcp.fda.gov.tw/insert/pdfcasefile/07360bcf-31f4-4cca-ac0a-db88549997d1</t>
        </is>
      </c>
      <c r="J854" s="3" t="inlineStr">
        <is>
          <t>Open</t>
        </is>
      </c>
      <c r="K854" s="3" t="inlineStr"/>
    </row>
    <row r="855">
      <c r="A855" s="3" t="n">
        <v>1334</v>
      </c>
      <c r="B855" s="3" t="inlineStr">
        <is>
          <t>Truvada (Emtricitabine/TDF) (TRU01, TRU03)</t>
        </is>
      </c>
      <c r="C855" s="8" t="inlineStr">
        <is>
          <t>Medium</t>
        </is>
      </c>
      <c r="D855" s="3" t="inlineStr">
        <is>
          <t>Indication/coverage</t>
        </is>
      </c>
      <c r="E855" s="3" t="inlineStr"/>
      <c r="F855" s="3" t="inlineStr">
        <is>
          <t>Correct PEP to PrEP on sticker; include adolescents ≥35 kg.</t>
        </is>
      </c>
      <c r="G855" s="3" t="inlineStr">
        <is>
          <t>HIV infection, Treatment or Preexposure (PEP) in high-risk adults</t>
        </is>
      </c>
      <c r="H855" s="3" t="inlineStr">
        <is>
          <t>The abbreviation is PrEP (pre-exposure prophylaxis); PEP means post-exposure prophylaxis. The PrEP indication also covers adolescents ≥35 kg, not only adults.</t>
        </is>
      </c>
      <c r="I855" s="3" t="inlineStr">
        <is>
          <t>US 1.2; TW 1.2 — https://mcp.fda.gov.tw/im_detail_1/%E8%A1%9B%E7%BD%B2%E8%97%A5%E8%BC%B8%E5%AD%97%E7%AC%AC024769%E8%99%9F</t>
        </is>
      </c>
      <c r="J855" s="3" t="inlineStr">
        <is>
          <t>Open</t>
        </is>
      </c>
      <c r="K855" s="3" t="inlineStr"/>
    </row>
    <row r="856">
      <c r="A856" s="3" t="n">
        <v>199</v>
      </c>
      <c r="B856" s="3" t="inlineStr">
        <is>
          <t>UFO (Fosfomycin) (UFO02)</t>
        </is>
      </c>
      <c r="C856" s="8" t="inlineStr">
        <is>
          <t>Medium</t>
        </is>
      </c>
      <c r="D856" s="3" t="inlineStr">
        <is>
          <t>Adverse effects</t>
        </is>
      </c>
      <c r="E856" s="3" t="inlineStr"/>
      <c r="F856" s="3" t="inlineStr">
        <is>
          <t>Replace oral ADRs with IV: hypernatraemia, hypokalaemia, phlebitis, neutropenia, LFT rise, seizures</t>
        </is>
      </c>
      <c r="G856" s="3" t="inlineStr">
        <is>
          <t>Oral-sachet trial AEs: diarrhoea, headache, dysmenorrhoea, vaginitis, back pain, etc.; bag label '腹瀉、腹痛、頭痛'</t>
        </is>
      </c>
      <c r="H856" s="3" t="inlineStr">
        <is>
          <t>IV: hypernatraemia, hypokalaemia, injection-site phlebitis, dysgeusia, erythematous rash (common); neutropenia/agranulocytosis; raised LFTs; seizures at high dose; QT prolongation (US)</t>
        </is>
      </c>
      <c r="I856" s="3" t="inlineStr">
        <is>
          <t>Taiwan insert §5.1, §8.1; UK SmPC §4.4, §4.8; US Contepo §5</t>
        </is>
      </c>
      <c r="J856" s="3" t="inlineStr">
        <is>
          <t>Open</t>
        </is>
      </c>
      <c r="K856" s="3" t="inlineStr"/>
    </row>
    <row r="857">
      <c r="A857" s="3" t="n">
        <v>210</v>
      </c>
      <c r="B857" s="3" t="inlineStr">
        <is>
          <t>UFO (Fosfomycin) (UFO02)</t>
        </is>
      </c>
      <c r="C857" s="8" t="inlineStr">
        <is>
          <t>Medium</t>
        </is>
      </c>
      <c r="D857" s="3" t="inlineStr">
        <is>
          <t>Adverse effects</t>
        </is>
      </c>
      <c r="E857" s="3" t="inlineStr"/>
      <c r="F857" s="3" t="inlineStr">
        <is>
          <t>Replace oral ADR profile with IV-specific ADRs incl. electrolyte disturbances</t>
        </is>
      </c>
      <c r="G857" s="3" t="inlineStr">
        <is>
          <t>Oral-sachet adverse-event profile (diarrhoea 9–10%, nausea, backache, rhinitis, pharyngitis, etc.)</t>
        </is>
      </c>
      <c r="H857" s="3" t="inlineStr">
        <is>
          <t>IV-specific: hypernatraemia and hypokalaemia (common), injection-site phlebitis, dysgeusia, erythematous rash, neutropenia or agranulocytosis, raised LFTs, seizures at high dose. QT prolongation per US CONTEPO.</t>
        </is>
      </c>
      <c r="I857" s="3" t="inlineStr">
        <is>
          <t>Taiwan insert UFO §5.1, §8.1; UK SmPC §4.8; US CONTEPO §5.2</t>
        </is>
      </c>
      <c r="J857" s="3" t="inlineStr">
        <is>
          <t>Open</t>
        </is>
      </c>
      <c r="K857" s="3" t="inlineStr"/>
    </row>
    <row r="858">
      <c r="A858" s="3" t="n">
        <v>201</v>
      </c>
      <c r="B858" s="3" t="inlineStr">
        <is>
          <t>UFO (Fosfomycin) (UFO02)</t>
        </is>
      </c>
      <c r="C858" s="8" t="inlineStr">
        <is>
          <t>Medium</t>
        </is>
      </c>
      <c r="D858" s="3" t="inlineStr">
        <is>
          <t>Breastfeeding</t>
        </is>
      </c>
      <c r="E858" s="3" t="inlineStr">
        <is>
          <t>LactMed outdated</t>
        </is>
      </c>
      <c r="F858" s="3" t="inlineStr">
        <is>
          <t>Update lactation: LactMed low levels, adverse effects unlikely; TW not first choice</t>
        </is>
      </c>
      <c r="G858" s="3" t="inlineStr">
        <is>
          <t>Infant risk cannot be ruled out.</t>
        </is>
      </c>
      <c r="H858" s="3" t="inlineStr">
        <is>
          <t>LactMed: low milk levels and poor infant absorption, unlikely to cause adverse effects. Taiwan/UK: small amounts in milk, not first choice. US Contepo: avoid breastfeeding during treatment and for 24 h after.</t>
        </is>
      </c>
      <c r="I858" s="3" t="inlineStr">
        <is>
          <t>LactMed NBK501353 — https://www.ncbi.nlm.nih.gov/books/NBK501353/; Taiwan insert §6.2</t>
        </is>
      </c>
      <c r="J858" s="3" t="inlineStr">
        <is>
          <t>Open</t>
        </is>
      </c>
      <c r="K858" s="3" t="inlineStr"/>
    </row>
    <row r="859">
      <c r="A859" s="3" t="n">
        <v>211</v>
      </c>
      <c r="B859" s="3" t="inlineStr">
        <is>
          <t>UFO (Fosfomycin) (UFO02)</t>
        </is>
      </c>
      <c r="C859" s="8" t="inlineStr">
        <is>
          <t>Medium</t>
        </is>
      </c>
      <c r="D859" s="3" t="inlineStr">
        <is>
          <t>Breastfeeding</t>
        </is>
      </c>
      <c r="E859" s="3" t="inlineStr">
        <is>
          <t>LactMed outdated</t>
        </is>
      </c>
      <c r="F859" s="3" t="inlineStr">
        <is>
          <t>Update lactation per LactMed/TW: low levels, unlikely harm, not first choice</t>
        </is>
      </c>
      <c r="G859" s="3" t="inlineStr">
        <is>
          <t>Infant risk cannot be ruled out</t>
        </is>
      </c>
      <c r="H859" s="3" t="inlineStr">
        <is>
          <t>Small amounts pass into milk; not a first choice for breastfeeding women (Taiwan/UK labels). LactMed: low levels, poorly absorbed, adverse effects unlikely.</t>
        </is>
      </c>
      <c r="I859" s="3" t="inlineStr">
        <is>
          <t>Taiwan insert UFO §6.2; LactMed NBK501353 https://www.ncbi.nlm.nih.gov/books/NBK501353/</t>
        </is>
      </c>
      <c r="J859" s="3" t="inlineStr">
        <is>
          <t>Open</t>
        </is>
      </c>
      <c r="K859" s="3" t="inlineStr"/>
    </row>
    <row r="860">
      <c r="A860" s="3" t="n">
        <v>195</v>
      </c>
      <c r="B860" s="3" t="inlineStr">
        <is>
          <t>UFO (Fosfomycin) (UFO02)</t>
        </is>
      </c>
      <c r="C860" s="8" t="inlineStr">
        <is>
          <t>Medium</t>
        </is>
      </c>
      <c r="D860" s="3" t="inlineStr">
        <is>
          <t>Indication/coverage</t>
        </is>
      </c>
      <c r="E860" s="3" t="inlineStr"/>
      <c r="F860" s="3" t="inlineStr">
        <is>
          <t>Replace oral-sachet cystitis indication with IV UFO indications per TW insert</t>
        </is>
      </c>
      <c r="G860" s="3" t="inlineStr">
        <is>
          <t>Cystitis, acute uncomplicated in women due to E. coli and E. faecalis (US oral sachet text)</t>
        </is>
      </c>
      <c r="H860" s="3" t="inlineStr">
        <is>
          <t>IV UFO: cUTI, endocarditis, bone/joint, HAP/VAP, cSSTI, bacterial meningitis, cIAI and associated bacteraemia, for infections not suitable for treatment with another antibiotic alone</t>
        </is>
      </c>
      <c r="I860" s="3" t="inlineStr">
        <is>
          <t>Taiwan insert §2 — https://mcp.fda.gov.tw/im_detail_1/%E8%A1%9B%E7%BD%B2%E8%97%A5%E8%A3%BD%E5%AD%97%E7%AC%AC035049%E8%99%9F</t>
        </is>
      </c>
      <c r="J860" s="3" t="inlineStr">
        <is>
          <t>Open</t>
        </is>
      </c>
      <c r="K860" s="3" t="inlineStr"/>
    </row>
    <row r="861">
      <c r="A861" s="3" t="n">
        <v>205</v>
      </c>
      <c r="B861" s="3" t="inlineStr">
        <is>
          <t>UFO (Fosfomycin) (UFO02)</t>
        </is>
      </c>
      <c r="C861" s="8" t="inlineStr">
        <is>
          <t>Medium</t>
        </is>
      </c>
      <c r="D861" s="3" t="inlineStr">
        <is>
          <t>Indication/coverage</t>
        </is>
      </c>
      <c r="E861" s="3" t="inlineStr"/>
      <c r="F861" s="3" t="inlineStr">
        <is>
          <t>Replace oral cystitis indication with IV UFO indications</t>
        </is>
      </c>
      <c r="G861" s="3" t="inlineStr">
        <is>
          <t>Acute uncomplicated cystitis in women due to E. coli and E. faecalis (this is the US oral sachet indication)</t>
        </is>
      </c>
      <c r="H861" s="3" t="inlineStr">
        <is>
          <t>IV fosfomycin is for infections not suitable for treatment with another antibiotic alone: cUTI, infective endocarditis, bone and joint infection, HAP/VAP, cSSTI, bacterial meningitis, cIAI, and related bacteraemia</t>
        </is>
      </c>
      <c r="I861" s="3" t="inlineStr">
        <is>
          <t>Taiwan insert UFO §2 https://mcp.fda.gov.tw/im_detail_1/%E8%A1%9B%E7%BD%B2%E8%97%A5%E8%A3%BD%E5%AD%97%E7%AC%AC035049%E8%99%9F</t>
        </is>
      </c>
      <c r="J861" s="3" t="inlineStr">
        <is>
          <t>Open</t>
        </is>
      </c>
      <c r="K861" s="3" t="inlineStr"/>
    </row>
    <row r="862">
      <c r="A862" s="3" t="n">
        <v>992</v>
      </c>
      <c r="B862" s="3" t="inlineStr">
        <is>
          <t>ValTREX (Valaciclovir) (VAL03)</t>
        </is>
      </c>
      <c r="C862" s="8" t="inlineStr">
        <is>
          <t>Medium</t>
        </is>
      </c>
      <c r="D862" s="3" t="inlineStr">
        <is>
          <t>Adverse effects</t>
        </is>
      </c>
      <c r="E862" s="3" t="inlineStr">
        <is>
          <t>Missing SCAR (SJS/TEN/DRESS)</t>
        </is>
      </c>
      <c r="F862" s="3" t="inlineStr">
        <is>
          <t>Remove anorexia/nasopharyngitis; add acute renal failure, CNS effects, TTP/HUS, SCARs (AGEP/DRESS/SJS/TEN)</t>
        </is>
      </c>
      <c r="G862" s="3" t="inlineStr">
        <is>
          <t>Headache, nausea, abdominal pain, nasopharyngitis and anorexia, AST/SGOT level raised</t>
        </is>
      </c>
      <c r="H862" s="3" t="inlineStr">
        <is>
          <t>Anorexia does not appear in the FDA, UK or TW labels. Nasopharyngitis occurred at the placebo rate in the FDA transmission trial (16% vs 15%), so it is not a drug effect. The list omits the label warnings: acute renal failure, CNS effects, TTP/HUS and SCARs (AGEP/DRESS/SJS/TEN; FDA 5.4 added 11/2025; TW 5.1).</t>
        </is>
      </c>
      <c r="I862" s="3" t="inlineStr">
        <is>
          <t>US FDA label 5.1–5.4, 6.1 https://dailymed.nlm.nih.gov/dailymed/drugInfo.cfm?setid=f8e0d8f8-cb73-4206-a484-88f5c4fbd719; Taiwan insert 5.1, 8 https://mcp.fda.gov.tw/im_detail_1/%E8%A1%9B%E7%BD%B2%E8%97%A5%E8%BC%B8%E5%AD%97%E7%AC%AC021788%E8%99%9F</t>
        </is>
      </c>
      <c r="J862" s="3" t="inlineStr">
        <is>
          <t>Open</t>
        </is>
      </c>
      <c r="K862" s="3" t="inlineStr"/>
    </row>
    <row r="863">
      <c r="A863" s="3" t="n">
        <v>1004</v>
      </c>
      <c r="B863" s="3" t="inlineStr">
        <is>
          <t>ValTREX (Valaciclovir) (VAL03)</t>
        </is>
      </c>
      <c r="C863" s="8" t="inlineStr">
        <is>
          <t>Medium</t>
        </is>
      </c>
      <c r="D863" s="3" t="inlineStr">
        <is>
          <t>Adverse effects</t>
        </is>
      </c>
      <c r="E863" s="3" t="inlineStr">
        <is>
          <t>Missing SCAR (SJS/TEN/DRESS)</t>
        </is>
      </c>
      <c r="F863" s="3" t="inlineStr">
        <is>
          <t>Add serious warnings: TTP/HUS, acute renal failure, CNS toxicity, SCARs (no rechallenge)</t>
        </is>
      </c>
      <c r="G863" s="3" t="inlineStr">
        <is>
          <t>Headache, nausea, abdominal pain, nasopharyngitis and anorexia, AST/SGOT level raised (no serious reactions listed)</t>
        </is>
      </c>
      <c r="H863" s="3" t="inlineStr">
        <is>
          <t>The labels' serious warnings are missing: TTP/HUS at 8 g/day, acute renal failure, CNS toxicity (elderly/renal impairment), and SCARs (AGEP, DRESS, SJS/TEN; no rechallenge).</t>
        </is>
      </c>
      <c r="I863" s="3" t="inlineStr">
        <is>
          <t>US VALTREX (GSK) label 5.1–5.4 https://dailymed.nlm.nih.gov/dailymed/drugInfo.cfm?setid=f8e0d8f8-cb73-4206-a484-88f5c4fbd719; TW仿單 5.1 https://mcp.fda.gov.tw/im_detail_1/%E8%A1%9B%E7%BD%B2%E8%97%A5%E8%BC%B8%E5%AD%97%E7%AC%AC021788%E8%99%9F</t>
        </is>
      </c>
      <c r="J863" s="3" t="inlineStr">
        <is>
          <t>Open</t>
        </is>
      </c>
      <c r="K863" s="3" t="inlineStr"/>
    </row>
    <row r="864">
      <c r="A864" s="3" t="n">
        <v>994</v>
      </c>
      <c r="B864" s="3" t="inlineStr">
        <is>
          <t>ValTREX (Valaciclovir) (VAL03)</t>
        </is>
      </c>
      <c r="C864" s="8" t="inlineStr">
        <is>
          <t>Medium</t>
        </is>
      </c>
      <c r="D864" s="3" t="inlineStr">
        <is>
          <t>Dosing – adult</t>
        </is>
      </c>
      <c r="E864" s="3" t="inlineStr"/>
      <c r="F864" s="3" t="inlineStr">
        <is>
          <t>Add TW HSV doses and suppression dosing (500 mg QD; 250 mg BID if ≥10/yr; 500 mg BID immunocompromised)</t>
        </is>
      </c>
      <c r="G864" s="3" t="inlineStr">
        <is>
          <t>Genital herpes initial 1 g BID × 10 days; recurrent 500 mg BID × 3 days (US doses); no suppression dose listed.</t>
        </is>
      </c>
      <c r="H864" s="3" t="inlineStr">
        <is>
          <t>The stocked product's TW insert gives 500 mg BID (up to 10 days for a first episode, 5 days for recurrences) and suppression 500 mg QD (≥10/yr 250 mg BID; immunocompromised 500 mg BID). Suppression is a TW-licensed indication (復發性生殖器疱疹的預防) but has no dose on the hospital page.</t>
        </is>
      </c>
      <c r="I864" s="3" t="inlineStr">
        <is>
          <t>Taiwan insert 3.1 https://mcp.fda.gov.tw/im_detail_1/%E8%A1%9B%E7%BD%B2%E8%97%A5%E8%BC%B8%E5%AD%97%E7%AC%AC021788%E8%99%9F</t>
        </is>
      </c>
      <c r="J864" s="3" t="inlineStr">
        <is>
          <t>Open</t>
        </is>
      </c>
      <c r="K864" s="3" t="inlineStr"/>
    </row>
    <row r="865">
      <c r="A865" s="3" t="n">
        <v>1005</v>
      </c>
      <c r="B865" s="3" t="inlineStr">
        <is>
          <t>ValTREX (Valaciclovir) (VAL03)</t>
        </is>
      </c>
      <c r="C865" s="8" t="inlineStr">
        <is>
          <t>Medium</t>
        </is>
      </c>
      <c r="D865" s="3" t="inlineStr">
        <is>
          <t>Dosing – adult</t>
        </is>
      </c>
      <c r="E865" s="3" t="inlineStr"/>
      <c r="F865" s="3" t="inlineStr">
        <is>
          <t>Add TW HSV dosing and suppressive regimens matching renal section</t>
        </is>
      </c>
      <c r="G865" s="3" t="inlineStr">
        <is>
          <t>Genital herpes: initial 1 g BID × 10 d; recurrent 500 mg BID × 3 d (US label). No suppressive dose is given, although the renal section lists suppressive therapy.</t>
        </is>
      </c>
      <c r="H865" s="3" t="inlineStr">
        <is>
          <t>Stocked product's TW insert: HSV 500 mg BID (recurrent × 5 d, initial up to 10 d); suppression 500 mg QD (≥10/yr 250 mg BID), immunocompromised 500 mg BID.</t>
        </is>
      </c>
      <c r="I865" s="3" t="inlineStr">
        <is>
          <t>TW仿單 3.1 用法用量 https://mcp.fda.gov.tw/im_detail_1/%E8%A1%9B%E7%BD%B2%E8%97%A5%E8%BC%B8%E5%AD%97%E7%AC%AC021788%E8%99%9F</t>
        </is>
      </c>
      <c r="J865" s="3" t="inlineStr">
        <is>
          <t>Open</t>
        </is>
      </c>
      <c r="K865" s="3" t="inlineStr"/>
    </row>
    <row r="866">
      <c r="A866" s="3" t="n">
        <v>999</v>
      </c>
      <c r="B866" s="3" t="inlineStr">
        <is>
          <t>ValTREX (Valaciclovir) (VAL03)</t>
        </is>
      </c>
      <c r="C866" s="8" t="inlineStr">
        <is>
          <t>Medium</t>
        </is>
      </c>
      <c r="D866" s="3" t="inlineStr">
        <is>
          <t>Dosing – renal/dialysis</t>
        </is>
      </c>
      <c r="E866" s="3" t="inlineStr">
        <is>
          <t>Renal table outdated</t>
        </is>
      </c>
      <c r="F866" s="3" t="inlineStr">
        <is>
          <t>Add TW insert renal thresholds (15–30, &lt;15, HD post-dialysis) alongside or instead of US table</t>
        </is>
      </c>
      <c r="G866" s="3" t="inlineStr">
        <is>
          <t>US thresholds: zoster CrCl 30–49 → 1 g Q12H, 10–29 → 1 g Q24H, &lt;10 → 0.5 g Q24H; HSV steps at 30/10</t>
        </is>
      </c>
      <c r="H866" s="3" t="inlineStr">
        <is>
          <t>The stocked product's TW insert says: zoster CrCl 15–30 → 1000 mg BID, &lt;15 → 1000 mg QD; HSV treatment &lt;15 → 500 mg QD; suppression &lt;15 → 250 mg QD (immunocompetent) / 500 mg QD (immunocompromised); HD → use the &lt;15 dose after dialysis.</t>
        </is>
      </c>
      <c r="I866" s="3" t="inlineStr">
        <is>
          <t>TW仿單 3.3 腎功能不全者之劑量 https://mcp.fda.gov.tw/im_detail_1/%E8%A1%9B%E7%BD%B2%E8%97%A5%E8%BC%B8%E5%AD%97%E7%AC%AC021788%E8%99%9F</t>
        </is>
      </c>
      <c r="J866" s="3" t="inlineStr">
        <is>
          <t>Open</t>
        </is>
      </c>
      <c r="K866" s="3" t="inlineStr"/>
    </row>
    <row r="867">
      <c r="A867" s="3" t="n">
        <v>989</v>
      </c>
      <c r="B867" s="3" t="inlineStr">
        <is>
          <t>ValTREX (Valaciclovir) (VAL03)</t>
        </is>
      </c>
      <c r="C867" s="8" t="inlineStr">
        <is>
          <t>Medium</t>
        </is>
      </c>
      <c r="D867" s="3" t="inlineStr">
        <is>
          <t>Indication/coverage</t>
        </is>
      </c>
      <c r="E867" s="3" t="inlineStr"/>
      <c r="F867" s="3" t="inlineStr">
        <is>
          <t>Mark chickenpox and cold sores (and paediatric dosing) as US-approved, off-label per TW insert</t>
        </is>
      </c>
      <c r="G867" s="3" t="inlineStr">
        <is>
          <t>Lists chickenpox in immunocompetent children and herpes labialis (cold sores), with paediatric chickenpox 20 mg/kg TID and cold sores &gt;12 y (US-label content).</t>
        </is>
      </c>
      <c r="H867" s="3" t="inlineStr">
        <is>
          <t>The TW insert for the stocked product (衛署藥輸字第021788號) lists only 帶狀疱疹；復發性生殖器疱疹的預防及治療 and states 兒童劑量：尚無資料. Chickenpox and cold sores are FDA-approved only. They still count as approved under the FDA-or-UK rule but are off-label in Taiwan, and the hospital page does not say so.</t>
        </is>
      </c>
      <c r="I867" s="3" t="inlineStr">
        <is>
          <t>Taiwan insert 2 適應症 and 3.3 兒童劑量 https://mcp.fda.gov.tw/im_detail_1/%E8%A1%9B%E7%BD%B2%E8%97%A5%E8%BC%B8%E5%AD%97%E7%AC%AC021788%E8%99%9F; US FDA label 1.2 https://dailymed.nlm.nih.gov/dailymed/drugInfo.cfm?setid=f8e0d8f8-cb73-4206-a484-88f5c4fbd719</t>
        </is>
      </c>
      <c r="J867" s="3" t="inlineStr">
        <is>
          <t>Open</t>
        </is>
      </c>
      <c r="K867" s="3" t="inlineStr"/>
    </row>
    <row r="868">
      <c r="A868" s="3" t="n">
        <v>998</v>
      </c>
      <c r="B868" s="3" t="inlineStr">
        <is>
          <t>ValTREX (Valaciclovir) (VAL03)</t>
        </is>
      </c>
      <c r="C868" s="8" t="inlineStr">
        <is>
          <t>Medium</t>
        </is>
      </c>
      <c r="D868" s="3" t="inlineStr">
        <is>
          <t>Indication/coverage</t>
        </is>
      </c>
      <c r="E868" s="3" t="inlineStr"/>
      <c r="F868" s="3" t="inlineStr">
        <is>
          <t>Note chickenpox/cold sores and paediatric dosing are US/UK approvals, not TW-licensed for this product</t>
        </is>
      </c>
      <c r="G868" s="3" t="inlineStr">
        <is>
          <t>Chickenpox in immunocompetent children (2–18 y, 20 mg/kg TID) and herpes labialis (cold sores, incl. &gt;12 y), taken from the US label</t>
        </is>
      </c>
      <c r="H868" s="3" t="inlineStr">
        <is>
          <t>The TW insert for the stocked product lists only 帶狀疱疹；復發性生殖器疱疹的預防及治療, and its paediatric section says 兒童劑量：尚無資料. These are US/UK approvals, not TW approvals for this product.</t>
        </is>
      </c>
      <c r="I868" s="3" t="inlineStr">
        <is>
          <t>TW仿單 2 適應症, 3.3 兒童劑量 https://mcp.fda.gov.tw/im_detail_1/%E8%A1%9B%E7%BD%B2%E8%97%A5%E8%BC%B8%E5%AD%97%E7%AC%AC021788%E8%99%9F</t>
        </is>
      </c>
      <c r="J868" s="3" t="inlineStr">
        <is>
          <t>Open</t>
        </is>
      </c>
      <c r="K868" s="3" t="inlineStr"/>
    </row>
    <row r="869">
      <c r="A869" s="3" t="n">
        <v>991</v>
      </c>
      <c r="B869" s="3" t="inlineStr">
        <is>
          <t>ValTREX (Valaciclovir) (VAL03)</t>
        </is>
      </c>
      <c r="C869" s="8" t="inlineStr">
        <is>
          <t>Medium</t>
        </is>
      </c>
      <c r="D869" s="3" t="inlineStr">
        <is>
          <t>Pharmacokinetics/other</t>
        </is>
      </c>
      <c r="E869" s="3" t="inlineStr"/>
      <c r="F869" s="3" t="inlineStr">
        <is>
          <t>Correct imprint to 'GXCF1' white film-coated tablet; FV/250 appears to be Famvir</t>
        </is>
      </c>
      <c r="G869" s="3" t="inlineStr">
        <is>
          <t>標記1 'FV', 標記2 '250' (color code 13, shape 01)</t>
        </is>
      </c>
      <c r="H869" s="3" t="inlineStr">
        <is>
          <t>TW insert 1.4: '本藥為刻有"GXCF1"字樣之白色膜衣錠劑'. The FV/250 imprint does not match the stocked VALTREX 500 mg; it resembles a famciclovir (Famvir 250 mg) imprint, which needs checking. This could cause misidentification of returned or loose tablets.</t>
        </is>
      </c>
      <c r="I869" s="3" t="inlineStr">
        <is>
          <t>Taiwan insert 1.4 藥品外觀 https://mcp.fda.gov.tw/im_detail_1/%E8%A1%9B%E7%BD%B2%E8%97%A5%E8%BC%B8%E5%AD%97%E7%AC%AC021788%E8%99%9F</t>
        </is>
      </c>
      <c r="J869" s="3" t="inlineStr">
        <is>
          <t>Open</t>
        </is>
      </c>
      <c r="K869" s="3" t="inlineStr"/>
    </row>
    <row r="870">
      <c r="A870" s="3" t="n">
        <v>1003</v>
      </c>
      <c r="B870" s="3" t="inlineStr">
        <is>
          <t>ValTREX (Valaciclovir) (VAL03)</t>
        </is>
      </c>
      <c r="C870" s="8" t="inlineStr">
        <is>
          <t>Medium</t>
        </is>
      </c>
      <c r="D870" s="3" t="inlineStr">
        <is>
          <t>Pharmacokinetics/other</t>
        </is>
      </c>
      <c r="E870" s="3" t="inlineStr"/>
      <c r="F870" s="3" t="inlineStr">
        <is>
          <t>Verify stock and correct imprint to 'GXCF1' white film-coated tablet</t>
        </is>
      </c>
      <c r="G870" s="3" t="inlineStr">
        <is>
          <t>標記1 'FV', 標記2 '250'</t>
        </is>
      </c>
      <c r="H870" s="3" t="inlineStr">
        <is>
          <t>TW insert 1.4: 本藥為刻有"GXCF1"字樣之白色膜衣錠劑 (white film-coated tablet engraved GXCF1). The hospital markings ('250') look like a different product or strength; please check against the stock on hand.</t>
        </is>
      </c>
      <c r="I870" s="3" t="inlineStr">
        <is>
          <t>TW仿單 1.4 藥品外觀 https://mcp.fda.gov.tw/im_detail_1/%E8%A1%9B%E7%BD%B2%E8%97%A5%E8%BC%B8%E5%AD%97%E7%AC%AC021788%E8%99%9F</t>
        </is>
      </c>
      <c r="J870" s="3" t="inlineStr">
        <is>
          <t>Open</t>
        </is>
      </c>
      <c r="K870" s="3" t="inlineStr"/>
    </row>
    <row r="871">
      <c r="A871" s="3" t="n">
        <v>1046</v>
      </c>
      <c r="B871" s="3" t="inlineStr">
        <is>
          <t>Valcyte (Valganciclovir) (VAL02)</t>
        </is>
      </c>
      <c r="C871" s="8" t="inlineStr">
        <is>
          <t>Medium</t>
        </is>
      </c>
      <c r="D871" s="3" t="inlineStr">
        <is>
          <t>Contraindication/warning</t>
        </is>
      </c>
      <c r="E871" s="3" t="inlineStr"/>
      <c r="F871" s="3" t="inlineStr">
        <is>
          <t>Contraindication = hypersensitivity only (UK +breastfeeding); move cytopenias and HD to warnings</t>
        </is>
      </c>
      <c r="G871" s="3" t="inlineStr">
        <is>
          <t>1. Hypersensitivity; 2. ANC &lt;500/mm3, platelet &lt;25,000/mm3 or Hgb &lt;8 g/dL; 3. Patients on hemodialysis</t>
        </is>
      </c>
      <c r="H871" s="3" t="inlineStr">
        <is>
          <t>The only contraindication is hypersensitivity to valganciclovir/ganciclovir/excipients (UK also: breastfeeding). The blood-count thresholds are a warning ('should not be initiated' / 'should be avoided'). Hemodialysis is 'not recommended / tablets should not be used' because the required dose is under 450 mg, and the label recommends IV ganciclovir instead.</t>
        </is>
      </c>
      <c r="I871" s="3" t="inlineStr">
        <is>
          <t>TW insert §4 禁忌, §5.1 骨髓抑制; US FDA §4, §5.1, §8.6; UK SmPC §4.3, §4.4</t>
        </is>
      </c>
      <c r="J871" s="3" t="inlineStr">
        <is>
          <t>Open</t>
        </is>
      </c>
      <c r="K871" s="3" t="inlineStr"/>
    </row>
    <row r="872">
      <c r="A872" s="3" t="n">
        <v>1057</v>
      </c>
      <c r="B872" s="3" t="inlineStr">
        <is>
          <t>Valcyte (Valganciclovir) (VAL02)</t>
        </is>
      </c>
      <c r="C872" s="8" t="inlineStr">
        <is>
          <t>Medium</t>
        </is>
      </c>
      <c r="D872" s="3" t="inlineStr">
        <is>
          <t>Contraindication/warning</t>
        </is>
      </c>
      <c r="E872" s="3" t="inlineStr"/>
      <c r="F872" s="3" t="inlineStr">
        <is>
          <t>Move ANC/platelet/Hb thresholds from contraindications to warnings</t>
        </is>
      </c>
      <c r="G872" s="3" t="inlineStr">
        <is>
          <t>Absolute neutrophil count &lt;500/mm3, platelet count &lt;25,000/mm3 or Hgb &lt;8 gm/dL listed as a contraindication</t>
        </is>
      </c>
      <c r="H872" s="3" t="inlineStr">
        <is>
          <t>This is a warning (do not start / avoid), not a contraindication. The only labelled contraindication is hypersensitivity to valganciclovir/ganciclovir; the UK SmPC also contraindicates breastfeeding.</t>
        </is>
      </c>
      <c r="I872" s="3" t="inlineStr">
        <is>
          <t>US label 4 &amp; 5.1; UK SmPC 4.3 &amp; 4.4; TW insert 4 禁忌 &amp; 5.1 骨髓抑制</t>
        </is>
      </c>
      <c r="J872" s="3" t="inlineStr">
        <is>
          <t>Open</t>
        </is>
      </c>
      <c r="K872" s="3" t="inlineStr"/>
    </row>
    <row r="873">
      <c r="A873" s="3" t="n">
        <v>1058</v>
      </c>
      <c r="B873" s="3" t="inlineStr">
        <is>
          <t>Valcyte (Valganciclovir) (VAL02)</t>
        </is>
      </c>
      <c r="C873" s="8" t="inlineStr">
        <is>
          <t>Medium</t>
        </is>
      </c>
      <c r="D873" s="3" t="inlineStr">
        <is>
          <t>Contraindication/warning</t>
        </is>
      </c>
      <c r="E873" s="3" t="inlineStr"/>
      <c r="F873" s="3" t="inlineStr">
        <is>
          <t>Move HD from contraindication to 'tablets not recommended'; use IV ganciclovir renal dosing</t>
        </is>
      </c>
      <c r="G873" s="3" t="inlineStr">
        <is>
          <t>Patients on hemodialysis</t>
        </is>
      </c>
      <c r="H873" s="3" t="inlineStr">
        <is>
          <t>Not a contraindication. Tablets should not be used / are not recommended in hemodialysis because the required dose is below 450 mg. Use IV ganciclovir with renal dosing (US 8.6), or valganciclovir oral solution 200/100 mg 3×/wk after HD (Kotton 2025), which the hospital does not stock.</t>
        </is>
      </c>
      <c r="I873" s="3" t="inlineStr">
        <is>
          <t>US label 2.5, 8.6, 12.3; UK SmPC 4.2/5.2; Kotton 2025 Table 5, PMID 40200403</t>
        </is>
      </c>
      <c r="J873" s="3" t="inlineStr">
        <is>
          <t>Open</t>
        </is>
      </c>
      <c r="K873" s="3" t="inlineStr"/>
    </row>
    <row r="874">
      <c r="A874" s="3" t="n">
        <v>1049</v>
      </c>
      <c r="B874" s="3" t="inlineStr">
        <is>
          <t>Valcyte (Valganciclovir) (VAL02)</t>
        </is>
      </c>
      <c r="C874" s="8" t="inlineStr">
        <is>
          <t>Medium</t>
        </is>
      </c>
      <c r="D874" s="3" t="inlineStr">
        <is>
          <t>Dosing – adult</t>
        </is>
      </c>
      <c r="E874" s="3" t="inlineStr"/>
      <c r="F874" s="3" t="inlineStr">
        <is>
          <t>Label CD4-based maintenance stop as HIV OI guideline; state label: duration individualized</t>
        </is>
      </c>
      <c r="G874" s="3" t="inlineStr">
        <is>
          <t>may consider discontinuation after 3 to 6 months of treatment, inactive lesions, and CD4 &gt;100 cells/mm3 for 3 to 6 months on ART</t>
        </is>
      </c>
      <c r="H874" s="3" t="inlineStr">
        <is>
          <t>Not in any label. The labels say only 'duration of maintenance treatment should be determined on an individual basis'. The CD4 criterion comes from HIV opportunistic-infection guidelines and is unsourced on the hospital page.</t>
        </is>
      </c>
      <c r="I874" s="3" t="inlineStr">
        <is>
          <t>TW insert §3.1 '維持治療的時間應依個別情況判定'; UK SmPC §4.2</t>
        </is>
      </c>
      <c r="J874" s="3" t="inlineStr">
        <is>
          <t>Open</t>
        </is>
      </c>
      <c r="K874" s="3" t="inlineStr"/>
    </row>
    <row r="875">
      <c r="A875" s="3" t="n">
        <v>1062</v>
      </c>
      <c r="B875" s="3" t="inlineStr">
        <is>
          <t>Valcyte (Valganciclovir) (VAL02)</t>
        </is>
      </c>
      <c r="C875" s="8" t="inlineStr">
        <is>
          <t>Medium</t>
        </is>
      </c>
      <c r="D875" s="3" t="inlineStr">
        <is>
          <t>Dosing – adult</t>
        </is>
      </c>
      <c r="E875" s="3" t="inlineStr"/>
      <c r="F875" s="3" t="inlineStr">
        <is>
          <t>Label CD4-based discontinuation as HIV OI guideline; label says individualized</t>
        </is>
      </c>
      <c r="G875" s="3" t="inlineStr">
        <is>
          <t>May consider discontinuation after 3 to 6 months if lesions inactive and CD4 &gt;100 cells/mm3 for 3 to 6 months on ART</t>
        </is>
      </c>
      <c r="H875" s="3" t="inlineStr">
        <is>
          <t>Not in any label; the labels say maintenance duration is determined individually. This comes from HIV OI guidelines (e.g., CDC/NIH/HIVMA, Kaplan 2009, PMID 19357635). I could not verify the current wording because clinicalinfo.hiv.gov was blocked by the network proxy, so it should be labelled as a guideline recommendation, not label text.</t>
        </is>
      </c>
      <c r="I875" s="3" t="inlineStr">
        <is>
          <t>TW insert 3.1 '維持治療的時間應依個別情況判定'; UK SmPC 4.2 'duration of maintenance treatment should be determined on an individual basis'</t>
        </is>
      </c>
      <c r="J875" s="3" t="inlineStr">
        <is>
          <t>Open</t>
        </is>
      </c>
      <c r="K875" s="3" t="inlineStr"/>
    </row>
    <row r="876">
      <c r="A876" s="3" t="n">
        <v>1063</v>
      </c>
      <c r="B876" s="3" t="inlineStr">
        <is>
          <t>Valcyte (Valganciclovir) (VAL02)</t>
        </is>
      </c>
      <c r="C876" s="8" t="inlineStr">
        <is>
          <t>Medium</t>
        </is>
      </c>
      <c r="D876" s="3" t="inlineStr">
        <is>
          <t>Dosing – adult</t>
        </is>
      </c>
      <c r="E876" s="3" t="inlineStr"/>
      <c r="F876" s="3" t="inlineStr">
        <is>
          <t>Add labelled duration: start within 10 d; to day 200 kidney, day 100 other SOT</t>
        </is>
      </c>
      <c r="G876" s="3" t="inlineStr">
        <is>
          <t>'duration of prophylaxis is dependent on type of transplant, as well as donor and recipient CMV serostatus' (no day count)</t>
        </is>
      </c>
      <c r="H876" s="3" t="inlineStr">
        <is>
          <t>Labelled duration: start within 10 days, continue to day 200 for kidney and day 100 for other SOT (TW/US); UK kidney 100 days, extendable to 200.</t>
        </is>
      </c>
      <c r="I876" s="3" t="inlineStr">
        <is>
          <t>TW insert 3.1; US label 2.2; UK SmPC 4.2</t>
        </is>
      </c>
      <c r="J876" s="3" t="inlineStr">
        <is>
          <t>Open</t>
        </is>
      </c>
      <c r="K876" s="3" t="inlineStr"/>
    </row>
    <row r="877">
      <c r="A877" s="3" t="n">
        <v>1050</v>
      </c>
      <c r="B877" s="3" t="inlineStr">
        <is>
          <t>Valcyte (Valganciclovir) (VAL02)</t>
        </is>
      </c>
      <c r="C877" s="8" t="inlineStr">
        <is>
          <t>Medium</t>
        </is>
      </c>
      <c r="D877" s="3" t="inlineStr">
        <is>
          <t>Dosing – pediatric</t>
        </is>
      </c>
      <c r="E877" s="3" t="inlineStr"/>
      <c r="F877" s="3" t="inlineStr">
        <is>
          <t>Add US/UK paediatric SOT prophylaxis 7 × BSA × CrCl QD (max 900 mg); TW not recommended</t>
        </is>
      </c>
      <c r="G877" s="3" t="inlineStr">
        <is>
          <t>(blank)</t>
        </is>
      </c>
      <c r="H877" s="3" t="inlineStr">
        <is>
          <t>The TW insert does not recommend pediatric use. The US/UK labels approve pediatric SOT prophylaxis at 7 × BSA × CrCl (Schwartz) once daily, max 900 mg.</t>
        </is>
      </c>
      <c r="I877" s="3" t="inlineStr">
        <is>
          <t>TW insert §3.3/§6.4; US FDA §2.3; UK SmPC §4.2</t>
        </is>
      </c>
      <c r="J877" s="3" t="inlineStr">
        <is>
          <t>Open</t>
        </is>
      </c>
      <c r="K877" s="3" t="inlineStr"/>
    </row>
    <row r="878">
      <c r="A878" s="3" t="n">
        <v>1065</v>
      </c>
      <c r="B878" s="3" t="inlineStr">
        <is>
          <t>Valcyte (Valganciclovir) (VAL02)</t>
        </is>
      </c>
      <c r="C878" s="8" t="inlineStr">
        <is>
          <t>Medium</t>
        </is>
      </c>
      <c r="D878" s="3" t="inlineStr">
        <is>
          <t>Dosing – pediatric</t>
        </is>
      </c>
      <c r="E878" s="3" t="inlineStr"/>
      <c r="F878" s="3" t="inlineStr">
        <is>
          <t>Add US/UK paediatric 7 × BSA × CrCl dosing; note oral solution preferred, TW not recommended</t>
        </is>
      </c>
      <c r="G878" s="3" t="inlineStr">
        <is>
          <t>(blank)</t>
        </is>
      </c>
      <c r="H878" s="3" t="inlineStr">
        <is>
          <t>TW insert: not recommended in children. US/UK labels: SOT prophylaxis at 7 × BSA × CrCl once daily, max 900 mg. The oral solution is preferred, and tablets are usable only when the calculated dose is 405–495 mg.</t>
        </is>
      </c>
      <c r="I878" s="3" t="inlineStr">
        <is>
          <t>TW insert 3.3/6.4; US label 2.3; UK SmPC 4.2</t>
        </is>
      </c>
      <c r="J878" s="3" t="inlineStr">
        <is>
          <t>Open</t>
        </is>
      </c>
      <c r="K878" s="3" t="inlineStr"/>
    </row>
    <row r="879">
      <c r="A879" s="3" t="n">
        <v>1064</v>
      </c>
      <c r="B879" s="3" t="inlineStr">
        <is>
          <t>Valcyte (Valganciclovir) (VAL02)</t>
        </is>
      </c>
      <c r="C879" s="8" t="inlineStr">
        <is>
          <t>Medium</t>
        </is>
      </c>
      <c r="D879" s="3" t="inlineStr">
        <is>
          <t>Indication/coverage</t>
        </is>
      </c>
      <c r="E879" s="3" t="inlineStr"/>
      <c r="F879" s="3" t="inlineStr">
        <is>
          <t>Specify retinitis in AIDS and prophylaxis in high-risk (D+/R−) SOT only</t>
        </is>
      </c>
      <c r="G879" s="3" t="inlineStr">
        <is>
          <t>CMV retinitis; Prophylaxis of CMV disease</t>
        </is>
      </c>
      <c r="H879" s="3" t="inlineStr">
        <is>
          <t>Retinitis is approved only in patients with AIDS. Prophylaxis is approved only for high-risk (D+/R−) solid organ transplant recipients.</t>
        </is>
      </c>
      <c r="I879" s="3" t="inlineStr">
        <is>
          <t>TW insert 2 適應症; US label 1; UK SmPC 4.1</t>
        </is>
      </c>
      <c r="J879" s="3" t="inlineStr">
        <is>
          <t>Open</t>
        </is>
      </c>
      <c r="K879" s="3" t="inlineStr"/>
    </row>
    <row r="880">
      <c r="A880" s="3" t="n">
        <v>1056</v>
      </c>
      <c r="B880" s="3" t="inlineStr">
        <is>
          <t>Valcyte (Valganciclovir) (VAL02)</t>
        </is>
      </c>
      <c r="C880" s="8" t="inlineStr">
        <is>
          <t>Medium</t>
        </is>
      </c>
      <c r="D880" s="3" t="inlineStr">
        <is>
          <t>Pregnancy</t>
        </is>
      </c>
      <c r="E880" s="3" t="inlineStr">
        <is>
          <t>Missing boxed warning</t>
        </is>
      </c>
      <c r="F880" s="3" t="inlineStr">
        <is>
          <t>Replace letter C with narrative; add boxed warning for fetal toxicity</t>
        </is>
      </c>
      <c r="G880" s="3" t="inlineStr">
        <is>
          <t>C; Fetal risk cannot be ruled out</t>
        </is>
      </c>
      <c r="H880" s="3" t="inlineStr">
        <is>
          <t>FDA letter categories are retired; the label gives narrative text. Animal teratogenicity at about 2× human exposure, no human data, avoid unless benefit outweighs risk, Boxed Warning for fetal toxicity.</t>
        </is>
      </c>
      <c r="I880" s="3" t="inlineStr">
        <is>
          <t>US FDA Valcyte label 8.1 / Boxed Warning https://dailymed.nlm.nih.gov/dailymed/drugInfo.cfm?setid=4c517a39-2ded-4c5a-8d56-276853414b31; TW insert 6.1</t>
        </is>
      </c>
      <c r="J880" s="3" t="inlineStr">
        <is>
          <t>Open</t>
        </is>
      </c>
      <c r="K880" s="3" t="inlineStr"/>
    </row>
    <row r="881">
      <c r="A881" s="3" t="n">
        <v>435</v>
      </c>
      <c r="B881" s="3" t="inlineStr">
        <is>
          <t>Vancomycin (UVA01)</t>
        </is>
      </c>
      <c r="C881" s="8" t="inlineStr">
        <is>
          <t>Medium</t>
        </is>
      </c>
      <c r="D881" s="3" t="inlineStr">
        <is>
          <t>Breastfeeding</t>
        </is>
      </c>
      <c r="E881" s="3" t="inlineStr">
        <is>
          <t>LactMed outdated</t>
        </is>
      </c>
      <c r="F881" s="3" t="inlineStr">
        <is>
          <t>Replace 'not recommended': LactMed no special precautions; labels use caution</t>
        </is>
      </c>
      <c r="G881" s="3" t="inlineStr">
        <is>
          <t>Enters breast milk / not recommended</t>
        </is>
      </c>
      <c r="H881" s="3" t="inlineStr">
        <is>
          <t>LactMed says milk levels are low and oral absorption is poor, so no special precautions are required. The labels (FDA, SmPC, 仿單) say vancomycin is excreted in milk and to use caution, and the SmPC adds that infant GI absorption is unlikely. No source says 'not recommended'.</t>
        </is>
      </c>
      <c r="I881" s="3" t="inlineStr">
        <is>
          <t>LactMed NBK501263 https://www.ncbi.nlm.nih.gov/books/NBK501263/ ; UK SmPC 4.6 https://www.medicines.org.uk/emc/product/15737/smpc ; Taiwan 仿單 6.2</t>
        </is>
      </c>
      <c r="J881" s="3" t="inlineStr">
        <is>
          <t>Open</t>
        </is>
      </c>
      <c r="K881" s="3" t="inlineStr"/>
    </row>
    <row r="882">
      <c r="A882" s="3" t="n">
        <v>441</v>
      </c>
      <c r="B882" s="3" t="inlineStr">
        <is>
          <t>Vancomycin (UVA01)</t>
        </is>
      </c>
      <c r="C882" s="8" t="inlineStr">
        <is>
          <t>Medium</t>
        </is>
      </c>
      <c r="D882" s="3" t="inlineStr">
        <is>
          <t>Breastfeeding</t>
        </is>
      </c>
      <c r="E882" s="3" t="inlineStr">
        <is>
          <t>LactMed outdated</t>
        </is>
      </c>
      <c r="F882" s="3" t="inlineStr">
        <is>
          <t>Replace 'not recommended' with LactMed: no special precautions</t>
        </is>
      </c>
      <c r="G882" s="3" t="inlineStr">
        <is>
          <t>Enters breast milk / not recommended</t>
        </is>
      </c>
      <c r="H882" s="3" t="inlineStr">
        <is>
          <t>LactMed: low milk levels and poor oral absorption, 'No special precautions are required'. Taiwan insert and US label: excreted in milk, use with caution, decide between stopping nursing or stopping the drug. UK: infant unlikely to absorb a significant amount. None of them says 'not recommended'.</t>
        </is>
      </c>
      <c r="I882" s="3" t="inlineStr">
        <is>
          <t>LactMed NBK501263 https://www.ncbi.nlm.nih.gov/books/NBK501263/; Taiwan insert 6.2 https://mcp.fda.gov.tw/im_detail_1/%E8%A1%9B%E7%BD%B2%E8%97%A5%E8%A3%BD%E5%AD%97%E7%AC%AC041443%E8%99%9F; UK SmPC 4.6</t>
        </is>
      </c>
      <c r="J882" s="3" t="inlineStr">
        <is>
          <t>Open</t>
        </is>
      </c>
      <c r="K882" s="3" t="inlineStr"/>
    </row>
    <row r="883">
      <c r="A883" s="3" t="n">
        <v>439</v>
      </c>
      <c r="B883" s="3" t="inlineStr">
        <is>
          <t>Vancomycin (UVA01)</t>
        </is>
      </c>
      <c r="C883" s="8" t="inlineStr">
        <is>
          <t>Medium</t>
        </is>
      </c>
      <c r="D883" s="3" t="inlineStr">
        <is>
          <t>Dosing – pediatric</t>
        </is>
      </c>
      <c r="E883" s="3" t="inlineStr"/>
      <c r="F883" s="3" t="inlineStr">
        <is>
          <t>Label: 10 mg/kg q6h (40 mg/kg/day; UK up to 60); q6h only; AUC 400–600 per ASHP</t>
        </is>
      </c>
      <c r="G883" s="3" t="inlineStr">
        <is>
          <t>45-60 mg/kg/day divided q6-8h, AUC24 target 400</t>
        </is>
      </c>
      <c r="H883" s="3" t="inlineStr">
        <is>
          <t>FDA and 仿單: 10 mg/kg q6h (40 mg/kg/day); neonates 15 mg/kg then 10 mg/kg q12h (week 1) then q8h. SmPC: 10-15 mg/kg q6h (40-60 mg/kg/day), and doses above 60 mg/kg/day not generally recommended. ASHP 2020 gives an AUC target of 400-600, not a single value of 400, and 'q8h' is not a labelled interval for children. This is minor, and I took the hospital values from the source brief without opening the hospital page myself.</t>
        </is>
      </c>
      <c r="I883" s="3" t="inlineStr">
        <is>
          <t>US FDA D&amp;A ; UK SmPC 4.2/4.4 ; Taiwan 仿單 3.1 ; Rybak 2020 PMID 32191793 https://pubmed.ncbi.nlm.nih.gov/32191793/</t>
        </is>
      </c>
      <c r="J883" s="3" t="inlineStr">
        <is>
          <t>Open</t>
        </is>
      </c>
      <c r="K883" s="3" t="inlineStr"/>
    </row>
    <row r="884">
      <c r="A884" s="3" t="n">
        <v>445</v>
      </c>
      <c r="B884" s="3" t="inlineStr">
        <is>
          <t>Vancomycin (UVA01)</t>
        </is>
      </c>
      <c r="C884" s="8" t="inlineStr">
        <is>
          <t>Medium</t>
        </is>
      </c>
      <c r="D884" s="3" t="inlineStr">
        <is>
          <t>Dosing – pediatric</t>
        </is>
      </c>
      <c r="E884" s="3" t="inlineStr"/>
      <c r="F884" s="3" t="inlineStr">
        <is>
          <t>Pediatric: 10–15 mg/kg q6h (40–60 mg/kg/day); remove q8h; cite AUC 400–600 to ASHP</t>
        </is>
      </c>
      <c r="G884" s="3" t="inlineStr">
        <is>
          <t>45-60 mg/kg/day divided q6-8h, AUC24 target 400</t>
        </is>
      </c>
      <c r="H884" s="3" t="inlineStr">
        <is>
          <t>Taiwan insert/US: 10 mg/kg q6h (40 mg/kg/day); UK: 10-15 mg/kg q6h (40-60 mg/kg/day, q6h only) and &gt;60 mg/kg/day not generally recommended. No label uses q8h for children past the neonatal period. AUC 400-600 is from the ASHP 2020 guideline, not a label.</t>
        </is>
      </c>
      <c r="I884" s="3" t="inlineStr">
        <is>
          <t>Taiwan insert 3.1; UK SmPC 4.2/4.4; ASHP 2020 (PMID 32191793)</t>
        </is>
      </c>
      <c r="J884" s="3" t="inlineStr">
        <is>
          <t>Open</t>
        </is>
      </c>
      <c r="K884" s="3" t="inlineStr"/>
    </row>
    <row r="885">
      <c r="A885" s="3" t="n">
        <v>1075</v>
      </c>
      <c r="B885" s="3" t="inlineStr">
        <is>
          <t>Veklury (Remdesivir) (VEK02, VEK03)</t>
        </is>
      </c>
      <c r="C885" s="8" t="inlineStr">
        <is>
          <t>Medium</t>
        </is>
      </c>
      <c r="D885" s="3" t="inlineStr">
        <is>
          <t>Breastfeeding</t>
        </is>
      </c>
      <c r="E885" s="3" t="inlineStr">
        <is>
          <t>LactMed outdated</t>
        </is>
      </c>
      <c r="F885" s="3" t="inlineStr">
        <is>
          <t>Update: present in milk at very low levels (RID &lt;5%), no infant adverse effects</t>
        </is>
      </c>
      <c r="G885" s="3" t="inlineStr">
        <is>
          <t>'It is not known if remdesivir is present in breast milk.'</t>
        </is>
      </c>
      <c r="H885" s="3" t="inlineStr">
        <is>
          <t>Remdesivir and GS-441524 are present in human milk at very low levels. No adverse effects in breastfed infants (n=11 pharmacovigilance reports; LactMed: 5 patients, RID &lt;5%).</t>
        </is>
      </c>
      <c r="I885" s="3" t="inlineStr">
        <is>
          <t>仿單 §6.2 ; US §8.2 ; LactMed NBK556881 https://www.ncbi.nlm.nih.gov/books/NBK556881/</t>
        </is>
      </c>
      <c r="J885" s="3" t="inlineStr">
        <is>
          <t>Open</t>
        </is>
      </c>
      <c r="K885" s="3" t="inlineStr"/>
    </row>
    <row r="886">
      <c r="A886" s="3" t="n">
        <v>1087</v>
      </c>
      <c r="B886" s="3" t="inlineStr">
        <is>
          <t>Veklury (Remdesivir) (VEK02, VEK03)</t>
        </is>
      </c>
      <c r="C886" s="8" t="inlineStr">
        <is>
          <t>Medium</t>
        </is>
      </c>
      <c r="D886" s="3" t="inlineStr">
        <is>
          <t>Breastfeeding</t>
        </is>
      </c>
      <c r="E886" s="3" t="inlineStr">
        <is>
          <t>LactMed outdated</t>
        </is>
      </c>
      <c r="F886" s="3" t="inlineStr">
        <is>
          <t>Update: low milk levels, no infant adverse effects (n=11); cite LactMed</t>
        </is>
      </c>
      <c r="G886" s="3" t="inlineStr">
        <is>
          <t>It is not known if remdesivir is present in breast milk</t>
        </is>
      </c>
      <c r="H886" s="3" t="inlineStr">
        <is>
          <t>Remdesivir and GS-441524 are present in human milk at very low levels. No adverse effects in breastfed infants (n=11)</t>
        </is>
      </c>
      <c r="I886" s="3" t="inlineStr">
        <is>
          <t>TW仿單 §6.2; FDA label §8.2; LactMed NBK556881 https://www.ncbi.nlm.nih.gov/books/NBK556881/</t>
        </is>
      </c>
      <c r="J886" s="3" t="inlineStr">
        <is>
          <t>Open</t>
        </is>
      </c>
      <c r="K886" s="3" t="inlineStr"/>
    </row>
    <row r="887">
      <c r="A887" s="3" t="n">
        <v>1070</v>
      </c>
      <c r="B887" s="3" t="inlineStr">
        <is>
          <t>Veklury (Remdesivir) (VEK02, VEK03)</t>
        </is>
      </c>
      <c r="C887" s="8" t="inlineStr">
        <is>
          <t>Medium</t>
        </is>
      </c>
      <c r="D887" s="3" t="inlineStr">
        <is>
          <t>Dosing – adult</t>
        </is>
      </c>
      <c r="E887" s="3" t="inlineStr"/>
      <c r="F887" s="3" t="inlineStr">
        <is>
          <t>Add 3-day course for high-risk non-O2 patients; remove 'until discharge'; 5 d extendable to 10</t>
        </is>
      </c>
      <c r="G887" s="3" t="inlineStr">
        <is>
          <t>'Generally 5 days or until hospital discharge, ... may extend up to 10 days' (hospitalized only). There is no 3-day course for patients not on O2 or not hospitalized.</t>
        </is>
      </c>
      <c r="H887" s="3" t="inlineStr">
        <is>
          <t>Patients on O2 (TW/UK) or not on IMV/ECMO (US) get 5 days, extendable to a 10-day maximum. US IMV/ECMO patients get 10 days. High-risk patients not on O2 (TW/UK) or not hospitalized (US) get 3 days, started within 7 days of symptom onset. 'Until hospital discharge' is not in the current labels.</t>
        </is>
      </c>
      <c r="I887" s="3" t="inlineStr">
        <is>
          <t>仿單 §3.1.3 治療時間 ; US §2.3 ; UK §4.2 Table 2</t>
        </is>
      </c>
      <c r="J887" s="3" t="inlineStr">
        <is>
          <t>Open</t>
        </is>
      </c>
      <c r="K887" s="3" t="inlineStr"/>
    </row>
    <row r="888">
      <c r="A888" s="3" t="n">
        <v>1083</v>
      </c>
      <c r="B888" s="3" t="inlineStr">
        <is>
          <t>Veklury (Remdesivir) (VEK02, VEK03)</t>
        </is>
      </c>
      <c r="C888" s="8" t="inlineStr">
        <is>
          <t>Medium</t>
        </is>
      </c>
      <c r="D888" s="3" t="inlineStr">
        <is>
          <t>Dosing – adult</t>
        </is>
      </c>
      <c r="E888" s="3" t="inlineStr"/>
      <c r="F888" s="3" t="inlineStr">
        <is>
          <t>Add 3-day non-O2 high-risk course; 5 d extendable to 10; 10 d IMV/ECMO US only</t>
        </is>
      </c>
      <c r="G888" s="3" t="inlineStr">
        <is>
          <t>Generally 5 days or until hospital discharge; may extend up to 10 days (e.g. IMV/ECMO). No 3-day regimen given</t>
        </is>
      </c>
      <c r="H888" s="3" t="inlineStr">
        <is>
          <t>TW: 5 days for O2-requiring pneumonia, extendable by up to 5 days to a 10-day maximum if there is no improvement. 3 days for non-O2 high-risk patients, started within 7 days of symptom onset. The US label alone gives 10 days for IMV/ECMO</t>
        </is>
      </c>
      <c r="I888" s="3" t="inlineStr">
        <is>
          <t>TW仿單 §3.1.3; FDA label §2.3</t>
        </is>
      </c>
      <c r="J888" s="3" t="inlineStr">
        <is>
          <t>Open</t>
        </is>
      </c>
      <c r="K888" s="3" t="inlineStr"/>
    </row>
    <row r="889">
      <c r="A889" s="3" t="n">
        <v>1069</v>
      </c>
      <c r="B889" s="3" t="inlineStr">
        <is>
          <t>Veklury (Remdesivir) (VEK02, VEK03)</t>
        </is>
      </c>
      <c r="C889" s="8" t="inlineStr">
        <is>
          <t>Medium</t>
        </is>
      </c>
      <c r="D889" s="3" t="inlineStr">
        <is>
          <t>Dosing – pediatric</t>
        </is>
      </c>
      <c r="E889" s="3" t="inlineStr"/>
      <c r="F889" s="3" t="inlineStr">
        <is>
          <t>Update eligibility to ≥28 days ≥3 kg; 200/100 mg for ≥40 kg regardless of age</t>
        </is>
      </c>
      <c r="G889" s="3" t="inlineStr">
        <is>
          <t>'In patients over 12 years of age and weigh at least 40 kg: 200 mg ... 100 mg once daily.'</t>
        </is>
      </c>
      <c r="H889" s="3" t="inlineStr">
        <is>
          <t>Current labels allow use from ≥28 days and ≥3 kg (TW/UK) or from birth at ≥1.5 kg (US). The adult dose applies at ≥40 kg regardless of age.</t>
        </is>
      </c>
      <c r="I889" s="3" t="inlineStr">
        <is>
          <t>仿單 §3.1.3 ; US §2.3 ; UK §4.2</t>
        </is>
      </c>
      <c r="J889" s="3" t="inlineStr">
        <is>
          <t>Open</t>
        </is>
      </c>
      <c r="K889" s="3" t="inlineStr"/>
    </row>
    <row r="890">
      <c r="A890" s="3" t="n">
        <v>1082</v>
      </c>
      <c r="B890" s="3" t="inlineStr">
        <is>
          <t>Veklury (Remdesivir) (VEK02, VEK03)</t>
        </is>
      </c>
      <c r="C890" s="8" t="inlineStr">
        <is>
          <t>Medium</t>
        </is>
      </c>
      <c r="D890" s="3" t="inlineStr">
        <is>
          <t>Dosing – pediatric</t>
        </is>
      </c>
      <c r="E890" s="3" t="inlineStr"/>
      <c r="F890" s="3" t="inlineStr">
        <is>
          <t>Update VEK03 eligibility: ≥28 days; 200/100 mg ≥40 kg, 5/2.5 mg/kg 3–&lt;40 kg</t>
        </is>
      </c>
      <c r="G890" s="3" t="inlineStr">
        <is>
          <t>Patients over 12 years and ≥40 kg: 200 mg on day 1, then 100 mg</t>
        </is>
      </c>
      <c r="H890" s="3" t="inlineStr">
        <is>
          <t>Adults and children ≥28 days: 200/100 mg if ≥40 kg, 5/2.5 mg/kg if 3 to &lt;40 kg</t>
        </is>
      </c>
      <c r="I890" s="3" t="inlineStr">
        <is>
          <t>TW仿單 §3.1.3</t>
        </is>
      </c>
      <c r="J890" s="3" t="inlineStr">
        <is>
          <t>Open</t>
        </is>
      </c>
      <c r="K890" s="3" t="inlineStr"/>
    </row>
    <row r="891">
      <c r="A891" s="3" t="n">
        <v>1067</v>
      </c>
      <c r="B891" s="3" t="inlineStr">
        <is>
          <t>Veklury (Remdesivir) (VEK02, VEK03)</t>
        </is>
      </c>
      <c r="C891" s="8" t="inlineStr">
        <is>
          <t>Medium</t>
        </is>
      </c>
      <c r="D891" s="3" t="inlineStr">
        <is>
          <t>Indication/coverage</t>
        </is>
      </c>
      <c r="E891" s="3" t="inlineStr"/>
      <c r="F891" s="3" t="inlineStr">
        <is>
          <t>Update indication: ≥28 days ≥3 kg, O2-requiring pneumonia or high-risk non-O2 (US from birth ≥1.5 kg)</t>
        </is>
      </c>
      <c r="G891" s="3" t="inlineStr">
        <is>
          <t>Adults and pediatric patients (12 years of age and older and weighing at least 40 kg) for the treatment of COVID-19 requiring hospitalization.</t>
        </is>
      </c>
      <c r="H891" s="3" t="inlineStr">
        <is>
          <t>仿單/UK: adults and children ≥28 days [UK ≥4 weeks] and ≥3 kg with pneumonia requiring O2, or no O2 but at high risk of severe COVID-19. US: birth to &lt;18 y ≥1.5 kg, hospitalized or non-hospitalized mild-to-moderate at high risk.</t>
        </is>
      </c>
      <c r="I891" s="3" t="inlineStr">
        <is>
          <t>仿單 §2 https://mcp.fda.gov.tw/im_detail_1/%E8%A1%9B%E9%83%A8%E8%97%A5%E8%BC%B8%E5%AD%97%E7%AC%AC027899%E8%99%9F ; US §1 https://dailymed.nlm.nih.gov/dailymed/drugInfo.cfm?setid=c0978fa8-53ff-4ca2-82a7-567fd3e958ca ; UK §4.1 https://www.medicines.org.uk/emc/product/11597/smpc</t>
        </is>
      </c>
      <c r="J891" s="3" t="inlineStr">
        <is>
          <t>Open</t>
        </is>
      </c>
      <c r="K891" s="3" t="inlineStr"/>
    </row>
    <row r="892">
      <c r="A892" s="3" t="n">
        <v>1076</v>
      </c>
      <c r="B892" s="3" t="inlineStr">
        <is>
          <t>Veklury (Remdesivir) (VEK02, VEK03)</t>
        </is>
      </c>
      <c r="C892" s="8" t="inlineStr">
        <is>
          <t>Medium</t>
        </is>
      </c>
      <c r="D892" s="3" t="inlineStr">
        <is>
          <t>Indication/coverage</t>
        </is>
      </c>
      <c r="E892" s="3" t="inlineStr"/>
      <c r="F892" s="3" t="inlineStr">
        <is>
          <t>Remove or source WHO statement to current guideline; not label content</t>
        </is>
      </c>
      <c r="G892" s="3" t="inlineStr">
        <is>
          <t>'... the World Health Organization recommends against the use of remdesivir in hospitalized patients, regardless of disease severity.'</t>
        </is>
      </c>
      <c r="H892" s="3" t="inlineStr">
        <is>
          <t>This is guideline commentary, not label content, and I did not verify it against a current WHO guideline URL. The labels approve use in hospitalized patients. It should not be copied into Notion unless it is sourced to the current WHO guideline.</t>
        </is>
      </c>
      <c r="I892" s="3" t="inlineStr">
        <is>
          <t>US §1 ; 仿單 §2 (no such statement in any label)</t>
        </is>
      </c>
      <c r="J892" s="3" t="inlineStr">
        <is>
          <t>Open</t>
        </is>
      </c>
      <c r="K892" s="3" t="inlineStr"/>
    </row>
    <row r="893">
      <c r="A893" s="3" t="n">
        <v>1077</v>
      </c>
      <c r="B893" s="3" t="inlineStr">
        <is>
          <t>Veklury (Remdesivir) (VEK02, VEK03)</t>
        </is>
      </c>
      <c r="C893" s="8" t="inlineStr">
        <is>
          <t>Medium</t>
        </is>
      </c>
      <c r="D893" s="3" t="inlineStr">
        <is>
          <t>Indication/coverage</t>
        </is>
      </c>
      <c r="E893" s="3" t="inlineStr"/>
      <c r="F893" s="3" t="inlineStr">
        <is>
          <t>Add high-risk non-O2 patients (3-day course) to bag 臨床用途</t>
        </is>
      </c>
      <c r="G893" s="3" t="inlineStr">
        <is>
          <t>重度新型冠狀病毒感染病人</t>
        </is>
      </c>
      <c r="H893" s="3" t="inlineStr">
        <is>
          <t>The label also covers patients not on O2 who are at high risk of progressing to severe COVID-19, given as a 3-day course.</t>
        </is>
      </c>
      <c r="I893" s="3" t="inlineStr">
        <is>
          <t>仿單 §2 適應症</t>
        </is>
      </c>
      <c r="J893" s="3" t="inlineStr">
        <is>
          <t>Open</t>
        </is>
      </c>
      <c r="K893" s="3" t="inlineStr"/>
    </row>
    <row r="894">
      <c r="A894" s="3" t="n">
        <v>1079</v>
      </c>
      <c r="B894" s="3" t="inlineStr">
        <is>
          <t>Veklury (Remdesivir) (VEK02, VEK03)</t>
        </is>
      </c>
      <c r="C894" s="8" t="inlineStr">
        <is>
          <t>Medium</t>
        </is>
      </c>
      <c r="D894" s="3" t="inlineStr">
        <is>
          <t>Indication/coverage</t>
        </is>
      </c>
      <c r="E894" s="3" t="inlineStr"/>
      <c r="F894" s="3" t="inlineStr">
        <is>
          <t>Update indication to ≥28 days ≥3 kg O2 or high-risk non-O2 (US from birth ≥1.5 kg)</t>
        </is>
      </c>
      <c r="G894" s="3" t="inlineStr">
        <is>
          <t>Adults and pediatric patients ≥12 years and ≥40 kg, for COVID-19 requiring hospitalization</t>
        </is>
      </c>
      <c r="H894" s="3" t="inlineStr">
        <is>
          <t>TW: adults and children ≥28 days and ≥3 kg, either with pneumonia requiring O2 or not on O2 but at high risk of severe COVID-19. US: birth to &lt;18 y and ≥1.5 kg, hospitalized or non-hospitalized high-risk</t>
        </is>
      </c>
      <c r="I894" s="3" t="inlineStr">
        <is>
          <t>TW仿單 §2 https://mcp.fda.gov.tw/im_detail_1/%E8%A1%9B%E9%83%A8%E8%97%A5%E8%BC%B8%E5%AD%97%E7%AC%AC027899%E8%99%9F; FDA label §1 https://dailymed.nlm.nih.gov/dailymed/drugInfo.cfm?setid=c0978fa8-53ff-4ca2-82a7-567fd3e958ca</t>
        </is>
      </c>
      <c r="J894" s="3" t="inlineStr">
        <is>
          <t>Open</t>
        </is>
      </c>
      <c r="K894" s="3" t="inlineStr"/>
    </row>
    <row r="895">
      <c r="A895" s="3" t="n">
        <v>1089</v>
      </c>
      <c r="B895" s="3" t="inlineStr">
        <is>
          <t>Veklury (Remdesivir) (VEK02, VEK03)</t>
        </is>
      </c>
      <c r="C895" s="8" t="inlineStr">
        <is>
          <t>Medium</t>
        </is>
      </c>
      <c r="D895" s="3" t="inlineStr">
        <is>
          <t>Indication/coverage</t>
        </is>
      </c>
      <c r="E895" s="3" t="inlineStr"/>
      <c r="F895" s="3" t="inlineStr">
        <is>
          <t>Replace unverified WHO statement with current IDSA recommendation or remove</t>
        </is>
      </c>
      <c r="G895" s="3" t="inlineStr">
        <is>
          <t>WHO recommends against the use of remdesivir in hospitalized patients regardless of disease severity</t>
        </is>
      </c>
      <c r="H895" s="3" t="inlineStr">
        <is>
          <t>This is guideline commentary, not label content. I could not verify the current WHO position because who.int is blocked by the proxy, and the statement may be outdated. IDSA suggests remdesivir for severe COVID-19 on O2 and recommends it for high-risk outpatients</t>
        </is>
      </c>
      <c r="I895" s="3" t="inlineStr">
        <is>
          <t>IDSA COVID-19 Guideline https://www.idsociety.org/practice-guideline/covid-19-guideline-treatment-and-management/</t>
        </is>
      </c>
      <c r="J895" s="3" t="inlineStr">
        <is>
          <t>Open</t>
        </is>
      </c>
      <c r="K895" s="3" t="inlineStr"/>
    </row>
    <row r="896">
      <c r="A896" s="3" t="n">
        <v>1400</v>
      </c>
      <c r="B896" s="3" t="inlineStr">
        <is>
          <t>Vemlidy (Tenofovir alafenamide) (VEM01)</t>
        </is>
      </c>
      <c r="C896" s="8" t="inlineStr">
        <is>
          <t>Medium</t>
        </is>
      </c>
      <c r="D896" s="3" t="inlineStr">
        <is>
          <t>Dosing – hepatic</t>
        </is>
      </c>
      <c r="E896" s="3" t="inlineStr"/>
      <c r="F896" s="3" t="inlineStr">
        <is>
          <t>Per TW insert, no adjustment in Child-Pugh A–C; 'not recommended B/C' is US-only.</t>
        </is>
      </c>
      <c r="G896" s="3" t="inlineStr">
        <is>
          <t>Child-Pugh A: no change; Child-Pugh B/C: not recommended</t>
        </is>
      </c>
      <c r="H896" s="3" t="inlineStr">
        <is>
          <t>TW insert (the stocked product) and UK SmPC: no adjustment for Child-Pugh A, B or C (UK: limited data for CPT &gt;9, monitor closely). Only the US label says not recommended in decompensated B/C.</t>
        </is>
      </c>
      <c r="I896" s="3" t="inlineStr">
        <is>
          <t>TW insert §3.3.2/§6.6; UK SmPC §4.2/§4.4; US DailyMed §2.4/§8.7</t>
        </is>
      </c>
      <c r="J896" s="3" t="inlineStr">
        <is>
          <t>Open</t>
        </is>
      </c>
      <c r="K896" s="3" t="inlineStr"/>
    </row>
    <row r="897">
      <c r="A897" s="3" t="n">
        <v>1406</v>
      </c>
      <c r="B897" s="3" t="inlineStr">
        <is>
          <t>Vemlidy (Tenofovir alafenamide) (VEM01)</t>
        </is>
      </c>
      <c r="C897" s="8" t="inlineStr">
        <is>
          <t>Medium</t>
        </is>
      </c>
      <c r="D897" s="3" t="inlineStr">
        <is>
          <t>Dosing – hepatic</t>
        </is>
      </c>
      <c r="E897" s="3" t="inlineStr"/>
      <c r="F897" s="3" t="inlineStr">
        <is>
          <t>Per TW insert, no adjustment in Child-Pugh A–C; note US-only restriction.</t>
        </is>
      </c>
      <c r="G897" s="3" t="inlineStr">
        <is>
          <t>Child-Pugh A no adjustment; decompensated (Child-Pugh B or C): use not recommended</t>
        </is>
      </c>
      <c r="H897" s="3" t="inlineStr">
        <is>
          <t>TW insert for the stocked product: no adjustment in Child-Pugh A, B or C. UK: no adjustment (monitor closely if CPT &gt;9). Only the US label says not recommended in B/C.</t>
        </is>
      </c>
      <c r="I897" s="3" t="inlineStr">
        <is>
          <t>TW insert 3.3.2/6.6; UK SmPC 4.2/4.4; US FDA 2.4/8.7</t>
        </is>
      </c>
      <c r="J897" s="3" t="inlineStr">
        <is>
          <t>Open</t>
        </is>
      </c>
      <c r="K897" s="3" t="inlineStr"/>
    </row>
    <row r="898">
      <c r="A898" s="3" t="n">
        <v>1405</v>
      </c>
      <c r="B898" s="3" t="inlineStr">
        <is>
          <t>Vemlidy (Tenofovir alafenamide) (VEM01)</t>
        </is>
      </c>
      <c r="C898" s="8" t="inlineStr">
        <is>
          <t>Medium</t>
        </is>
      </c>
      <c r="D898" s="3" t="inlineStr">
        <is>
          <t>Dosing – pediatric</t>
        </is>
      </c>
      <c r="E898" s="3" t="inlineStr"/>
      <c r="F898" s="3" t="inlineStr">
        <is>
          <t>Fill paediatric dose: 25 mg daily for ≥6 y and ≥25 kg.</t>
        </is>
      </c>
      <c r="G898" s="3" t="inlineStr">
        <is>
          <t>(blank)</t>
        </is>
      </c>
      <c r="H898" s="3" t="inlineStr">
        <is>
          <t>25 mg once daily for children ≥6 y and ≥25 kg; not established &lt;6 y or &lt;25 kg</t>
        </is>
      </c>
      <c r="I898" s="3" t="inlineStr">
        <is>
          <t>TW insert 3.1.2/6.4; US FDA 2.2/8.4; UK SmPC 4.2</t>
        </is>
      </c>
      <c r="J898" s="3" t="inlineStr">
        <is>
          <t>Open</t>
        </is>
      </c>
      <c r="K898" s="3" t="inlineStr"/>
    </row>
    <row r="899">
      <c r="A899" s="3" t="n">
        <v>1399</v>
      </c>
      <c r="B899" s="3" t="inlineStr">
        <is>
          <t>Vemlidy (Tenofovir alafenamide) (VEM01)</t>
        </is>
      </c>
      <c r="C899" s="8" t="inlineStr">
        <is>
          <t>Medium</t>
        </is>
      </c>
      <c r="D899" s="3" t="inlineStr">
        <is>
          <t>Indication/coverage</t>
        </is>
      </c>
      <c r="E899" s="3" t="inlineStr"/>
      <c r="F899" s="3" t="inlineStr">
        <is>
          <t>Add paediatric indication ≥6 y and ≥25 kg; 'compensated' qualifier is US-only.</t>
        </is>
      </c>
      <c r="G899" s="3" t="inlineStr">
        <is>
          <t>Adults with compensated liver disease</t>
        </is>
      </c>
      <c r="H899" s="3" t="inlineStr">
        <is>
          <t>Adults AND paediatric patients ≥6 y weighing ≥25 kg. TW and UK have no 'compensated' qualifier; the US label still says 'with compensated liver disease', so only the 'adults' part is out of date for the US.</t>
        </is>
      </c>
      <c r="I899" s="3" t="inlineStr">
        <is>
          <t>TW insert §2; US DailyMed §1; UK SmPC §4.1</t>
        </is>
      </c>
      <c r="J899" s="3" t="inlineStr">
        <is>
          <t>Open</t>
        </is>
      </c>
      <c r="K899" s="3" t="inlineStr"/>
    </row>
    <row r="900">
      <c r="A900" s="3" t="n">
        <v>1404</v>
      </c>
      <c r="B900" s="3" t="inlineStr">
        <is>
          <t>Vemlidy (Tenofovir alafenamide) (VEM01)</t>
        </is>
      </c>
      <c r="C900" s="8" t="inlineStr">
        <is>
          <t>Medium</t>
        </is>
      </c>
      <c r="D900" s="3" t="inlineStr">
        <is>
          <t>Indication/coverage</t>
        </is>
      </c>
      <c r="E900" s="3" t="inlineStr"/>
      <c r="F900" s="3" t="inlineStr">
        <is>
          <t>Add children ≥6 y and ≥25 kg; drop 'compensated' qualifier per TW insert.</t>
        </is>
      </c>
      <c r="G900" s="3" t="inlineStr">
        <is>
          <t>Treatment of chronic HBV infection in adults with compensated liver disease</t>
        </is>
      </c>
      <c r="H900" s="3" t="inlineStr">
        <is>
          <t>TW and UK: chronic HBV in adults and children ≥6 y and ≥25 kg, with no 'compensated' qualifier. US: adults and children ≥6 y and ≥25 kg with compensated liver disease. The hospital text omits the paediatric population in all three labels; the 'compensated' qualifier matches only the US label.</t>
        </is>
      </c>
      <c r="I900" s="3" t="inlineStr">
        <is>
          <t>TW insert 2; US FDA 1; UK SmPC 4.1</t>
        </is>
      </c>
      <c r="J900" s="3" t="inlineStr">
        <is>
          <t>Open</t>
        </is>
      </c>
      <c r="K900" s="3" t="inlineStr"/>
    </row>
    <row r="901">
      <c r="A901" s="3" t="n">
        <v>1401</v>
      </c>
      <c r="B901" s="3" t="inlineStr">
        <is>
          <t>Vemlidy (Tenofovir alafenamide) (VEM01)</t>
        </is>
      </c>
      <c r="C901" s="8" t="inlineStr">
        <is>
          <t>Medium</t>
        </is>
      </c>
      <c r="D901" s="3" t="inlineStr">
        <is>
          <t>Pregnancy</t>
        </is>
      </c>
      <c r="E901" s="3" t="inlineStr"/>
      <c r="F901" s="3" t="inlineStr">
        <is>
          <t>Replace TDF-switch statement with label pregnancy data (APR, no increased birth defects).</t>
        </is>
      </c>
      <c r="G901" s="3" t="inlineStr">
        <is>
          <t>An HIV/HBV coinfection 'switch to TDF' statement instead of pregnancy safety content</t>
        </is>
      </c>
      <c r="H901" s="3" t="inlineStr">
        <is>
          <t>Label narrative: APR data show no significant increase in birth defects (3.9%/4.8% vs 2.7% background), no animal embryo-fetal harm; UK: may be considered in pregnancy if necessary.</t>
        </is>
      </c>
      <c r="I901" s="3" t="inlineStr">
        <is>
          <t>US DailyMed §8.1; TW insert §6.1; UK SmPC §4.6</t>
        </is>
      </c>
      <c r="J901" s="3" t="inlineStr">
        <is>
          <t>Open</t>
        </is>
      </c>
      <c r="K901" s="3" t="inlineStr"/>
    </row>
    <row r="902">
      <c r="A902" s="3" t="n">
        <v>1407</v>
      </c>
      <c r="B902" s="3" t="inlineStr">
        <is>
          <t>Vemlidy (Tenofovir alafenamide) (VEM01)</t>
        </is>
      </c>
      <c r="C902" s="8" t="inlineStr">
        <is>
          <t>Medium</t>
        </is>
      </c>
      <c r="D902" s="3" t="inlineStr">
        <is>
          <t>Pregnancy</t>
        </is>
      </c>
      <c r="E902" s="3" t="inlineStr"/>
      <c r="F902" s="3" t="inlineStr">
        <is>
          <t>Replace guideline switch statement with label APR data; may be used if necessary.</t>
        </is>
      </c>
      <c r="G902" s="3" t="inlineStr">
        <is>
          <t>HIV/HBV-coinfected females taking TAF before pregnancy should be offered a switch to TDF or continue the current regimen</t>
        </is>
      </c>
      <c r="H902" s="3" t="inlineStr">
        <is>
          <t>Not label content. The labels give APR data (&gt;1,330 TAF exposures, no significant increase in birth defects) and UK says TAF may be considered in pregnancy if necessary. Vemlidy alone is not indicated in HIV coinfection.</t>
        </is>
      </c>
      <c r="I902" s="3" t="inlineStr">
        <is>
          <t>TW insert 6.2; US FDA 8.1; UK SmPC 4.6</t>
        </is>
      </c>
      <c r="J902" s="3" t="inlineStr">
        <is>
          <t>Open</t>
        </is>
      </c>
      <c r="K902" s="3" t="inlineStr"/>
    </row>
    <row r="903">
      <c r="A903" s="3" t="n">
        <v>18</v>
      </c>
      <c r="B903" s="3" t="inlineStr">
        <is>
          <t>Vfend (Voriconazole) (VFE01, VFE02, VOR03)</t>
        </is>
      </c>
      <c r="C903" s="8" t="inlineStr">
        <is>
          <t>Medium</t>
        </is>
      </c>
      <c r="D903" s="3" t="inlineStr">
        <is>
          <t>Contraindication/warning</t>
        </is>
      </c>
      <c r="E903" s="3" t="inlineStr"/>
      <c r="F903" s="3" t="inlineStr">
        <is>
          <t>Limit contraindication to voriconazole/excipients; other-azole hypersensitivity is a caution</t>
        </is>
      </c>
      <c r="G903" s="3" t="inlineStr">
        <is>
          <t>Hypersensitivity to voriconazole 'or other azoles' is a contraindication</t>
        </is>
      </c>
      <c r="H903" s="3" t="inlineStr">
        <is>
          <t>The contraindication covers voriconazole or its excipients only. US: no information on cross-sensitivity with other azoles. UK/TW: use caution in patients hypersensitive to other azoles; this is a warning, not a contraindication.</t>
        </is>
      </c>
      <c r="I903" s="3" t="inlineStr">
        <is>
          <t>US label 4; UK SmPC 4.3/4.4 Hypersensitivity; TW insert 4 禁忌 / 5.1 過敏</t>
        </is>
      </c>
      <c r="J903" s="3" t="inlineStr">
        <is>
          <t>Open</t>
        </is>
      </c>
      <c r="K903" s="3" t="inlineStr"/>
    </row>
    <row r="904">
      <c r="A904" s="3" t="n">
        <v>27</v>
      </c>
      <c r="B904" s="3" t="inlineStr">
        <is>
          <t>Vfend (Voriconazole) (VFE01, VFE02, VOR03)</t>
        </is>
      </c>
      <c r="C904" s="8" t="inlineStr">
        <is>
          <t>Medium</t>
        </is>
      </c>
      <c r="D904" s="3" t="inlineStr">
        <is>
          <t>Contraindication/warning</t>
        </is>
      </c>
      <c r="E904" s="3" t="inlineStr"/>
      <c r="F904" s="3" t="inlineStr">
        <is>
          <t>Restrict hypersensitivity contraindication to voriconazole/excipients; other azoles as caution</t>
        </is>
      </c>
      <c r="G904" s="3" t="inlineStr">
        <is>
          <t>'Hypersensitivity to voriconazole or other azoles'</t>
        </is>
      </c>
      <c r="H904" s="3" t="inlineStr">
        <is>
          <t>Only hypersensitivity to voriconazole or its excipients is a contraindication. For other azoles, UK §4.4 and TW §5.1 say use caution, and the US label says there is no information on cross-sensitivity. The hospital turns a precaution into a contraindication.</t>
        </is>
      </c>
      <c r="I904" s="3" t="inlineStr">
        <is>
          <t>US FDA label §4; UK SmPC §4.3/§4.4; Taiwan 仿單 §4/§5.1</t>
        </is>
      </c>
      <c r="J904" s="3" t="inlineStr">
        <is>
          <t>Open</t>
        </is>
      </c>
      <c r="K904" s="3" t="inlineStr"/>
    </row>
    <row r="905">
      <c r="A905" s="3" t="n">
        <v>22</v>
      </c>
      <c r="B905" s="3" t="inlineStr">
        <is>
          <t>Vfend (Voriconazole) (VFE01, VFE02, VOR03)</t>
        </is>
      </c>
      <c r="C905" s="8" t="inlineStr">
        <is>
          <t>Medium</t>
        </is>
      </c>
      <c r="D905" s="3" t="inlineStr">
        <is>
          <t>Dosing – adult</t>
        </is>
      </c>
      <c r="E905" s="3" t="inlineStr"/>
      <c r="F905" s="3" t="inlineStr">
        <is>
          <t>Remove '≥6 months' aspergillosis duration; minimum 6–12 weeks (IDSA), reassess &gt;180 days</t>
        </is>
      </c>
      <c r="G905" s="3" t="inlineStr">
        <is>
          <t>'duration ≥6 months'</t>
        </is>
      </c>
      <c r="H905" s="3" t="inlineStr">
        <is>
          <t>No label sets a minimum of 6 months. UK: treatment as short as possible; exposure beyond 180 days needs a benefit-risk assessment. IDSA 2016: treat IPA for a minimum of 6–12 weeks.</t>
        </is>
      </c>
      <c r="I905" s="3" t="inlineStr">
        <is>
          <t>UK SmPC 4.2 Duration of treatment / 4.4 Long-term treatment; IDSA 2016 aspergillosis guideline https://www.idsociety.org/practice-guideline/aspergillosis/ (PMID 27365388)</t>
        </is>
      </c>
      <c r="J905" s="3" t="inlineStr">
        <is>
          <t>Open</t>
        </is>
      </c>
      <c r="K905" s="3" t="inlineStr"/>
    </row>
    <row r="906">
      <c r="A906" s="3" t="n">
        <v>30</v>
      </c>
      <c r="B906" s="3" t="inlineStr">
        <is>
          <t>Vfend (Voriconazole) (VFE01, VFE02, VOR03)</t>
        </is>
      </c>
      <c r="C906" s="8" t="inlineStr">
        <is>
          <t>Medium</t>
        </is>
      </c>
      <c r="D906" s="3" t="inlineStr">
        <is>
          <t>Dosing – adult</t>
        </is>
      </c>
      <c r="E906" s="3" t="inlineStr"/>
      <c r="F906" s="3" t="inlineStr">
        <is>
          <t>Delete ≥6-month minimum; cite IDSA 6–12 weeks and UK &gt;180-day benefit-risk review</t>
        </is>
      </c>
      <c r="G906" s="3" t="inlineStr">
        <is>
          <t>'6 mg/kg twice daily for 2 doses, then 4 mg/kg twice daily; duration ≥6 months'</t>
        </is>
      </c>
      <c r="H906" s="3" t="inlineStr">
        <is>
          <t>No label gives a minimum of 6 months. UK §4.4 says IV treatment should be no longer than 6 months, and exposure over 180 days needs a benefit–risk assessment. IDSA 2016 recommends a minimum of 6–12 weeks.</t>
        </is>
      </c>
      <c r="I906" s="3" t="inlineStr">
        <is>
          <t>UK SmPC §4.2/§4.4 https://www.medicines.org.uk/emc/product/7976/smpc; IDSA Aspergillosis 2016 https://www.idsociety.org/practice-guideline/aspergillosis/</t>
        </is>
      </c>
      <c r="J906" s="3" t="inlineStr">
        <is>
          <t>Open</t>
        </is>
      </c>
      <c r="K906" s="3" t="inlineStr"/>
    </row>
    <row r="907">
      <c r="A907" s="3" t="n">
        <v>29</v>
      </c>
      <c r="B907" s="3" t="inlineStr">
        <is>
          <t>Vfend (Voriconazole) (VFE01, VFE02, VOR03)</t>
        </is>
      </c>
      <c r="C907" s="8" t="inlineStr">
        <is>
          <t>Medium</t>
        </is>
      </c>
      <c r="D907" s="3" t="inlineStr">
        <is>
          <t>Dosing – renal/dialysis</t>
        </is>
      </c>
      <c r="E907" s="3" t="inlineStr"/>
      <c r="F907" s="3" t="inlineStr">
        <is>
          <t>State IV should be avoided when CrCl &lt;50 (SBECD) unless justified; monitor SCr; remove 'no adjustment'</t>
        </is>
      </c>
      <c r="G907" s="3" t="inlineStr">
        <is>
          <t>For CrCl &lt;50, the brief records 'no dosage adjustment necessary' with oral voriconazole or alternative antifungals preferred. The scraped page text lost the '&lt;50' clause, so I confirmed the 'preferred' wording but not 'no dosage adjustment'. For CRRT/PIRRT, oral or an alternative is preferred.</t>
        </is>
      </c>
      <c r="H907" s="3" t="inlineStr">
        <is>
          <t>Taiwan and UK: SBECD accumulates, so give oral unless the benefit/risk assessment justifies IV, and monitor SCr closely. US: avoid IV when CrCl &lt;50. All three labels say a dosing change is needed, so 'no adjustment' understates this. CRRT is not in any label. Kiser 2015 (PMID 25645660) found CVVH clears SBECD and standard IV doses can be used.</t>
        </is>
      </c>
      <c r="I907" s="3" t="inlineStr">
        <is>
          <t>Taiwan 仿單 §3.3; UK SmPC (IV) §4.2; US §2.6; Kiser 2015 https://pubmed.ncbi.nlm.nih.gov/25645660/</t>
        </is>
      </c>
      <c r="J907" s="3" t="inlineStr">
        <is>
          <t>Open</t>
        </is>
      </c>
      <c r="K907" s="3" t="inlineStr"/>
    </row>
    <row r="908">
      <c r="A908" s="3" t="n">
        <v>20</v>
      </c>
      <c r="B908" s="3" t="inlineStr">
        <is>
          <t>Vfend (Voriconazole) (VFE01, VFE02, VOR03)</t>
        </is>
      </c>
      <c r="C908" s="8" t="inlineStr">
        <is>
          <t>Medium</t>
        </is>
      </c>
      <c r="D908" s="3" t="inlineStr">
        <is>
          <t>Drug interaction</t>
        </is>
      </c>
      <c r="E908" s="3" t="inlineStr"/>
      <c r="F908" s="3" t="inlineStr">
        <is>
          <t>Qualify: contraindicated only efavirenz ≥400 mg/day and ritonavir ≥400 mg q12h; efavirenz 300 mg allowed</t>
        </is>
      </c>
      <c r="G908" s="3" t="inlineStr">
        <is>
          <t>Lists 'ritonavir, efavirenz' as contraindicated with no dose qualifier</t>
        </is>
      </c>
      <c r="H908" s="3" t="inlineStr">
        <is>
          <t>Only efavirenz ≥400 mg once daily and high-dose ritonavir (400 mg q12h or more) are contraindicated. Efavirenz 300 mg/day can be given with voriconazole 400 mg PO q12h. Low-dose ritonavir should be avoided unless benefit/risk justifies it.</t>
        </is>
      </c>
      <c r="I908" s="3" t="inlineStr">
        <is>
          <t>US label 4 and Table 10; UK SmPC 4.3/4.4; TW insert 4 禁忌</t>
        </is>
      </c>
      <c r="J908" s="3" t="inlineStr">
        <is>
          <t>Open</t>
        </is>
      </c>
      <c r="K908" s="3" t="inlineStr"/>
    </row>
    <row r="909">
      <c r="A909" s="3" t="n">
        <v>33</v>
      </c>
      <c r="B909" s="3" t="inlineStr">
        <is>
          <t>Vfend (Voriconazole) (VFE01, VFE02, VOR03)</t>
        </is>
      </c>
      <c r="C909" s="8" t="inlineStr">
        <is>
          <t>Medium</t>
        </is>
      </c>
      <c r="D909" s="3" t="inlineStr">
        <is>
          <t>Indication/coverage</t>
        </is>
      </c>
      <c r="E909" s="3" t="inlineStr"/>
      <c r="F909" s="3" t="inlineStr">
        <is>
          <t>Add prophylaxis of invasive fungal infection in high-risk allogeneic HSCT recipients</t>
        </is>
      </c>
      <c r="G909" s="3" t="inlineStr">
        <is>
          <t>Invasive aspergillosis, serious invasive Candida infection, etc. Prophylaxis is not listed.</t>
        </is>
      </c>
      <c r="H909" s="3" t="inlineStr">
        <is>
          <t>UK §4.1 lists prophylaxis of invasive fungal infection in high-risk allogeneic HSCT recipients, and TW §2 lists prophylaxis in high-risk patients including HSCT. Prophylaxis therefore counts as approved under the database rule (FDA or UK).</t>
        </is>
      </c>
      <c r="I909" s="3" t="inlineStr">
        <is>
          <t>UK SmPC §4.1 https://www.medicines.org.uk/emc/product/7976/smpc; Taiwan 仿單 §2</t>
        </is>
      </c>
      <c r="J909" s="3" t="inlineStr">
        <is>
          <t>Open</t>
        </is>
      </c>
      <c r="K909" s="3" t="inlineStr"/>
    </row>
    <row r="910">
      <c r="A910" s="3" t="n">
        <v>17</v>
      </c>
      <c r="B910" s="3" t="inlineStr">
        <is>
          <t>Vfend (Voriconazole) (VFE01, VFE02, VOR03)</t>
        </is>
      </c>
      <c r="C910" s="8" t="inlineStr">
        <is>
          <t>Medium</t>
        </is>
      </c>
      <c r="D910" s="3" t="inlineStr">
        <is>
          <t>Pregnancy</t>
        </is>
      </c>
      <c r="E910" s="3" t="inlineStr">
        <is>
          <t>FDA letter category</t>
        </is>
      </c>
      <c r="F910" s="3" t="inlineStr">
        <is>
          <t>Remove pregnancy contraindication and category D; use only if benefit outweighs fetal risk, contraception</t>
        </is>
      </c>
      <c r="G910" s="3" t="inlineStr">
        <is>
          <t>Pregnancy is listed as a contraindication (禁忌症 item 5) and given 懷孕分類 D</t>
        </is>
      </c>
      <c r="H910" s="3" t="inlineStr">
        <is>
          <t>No label lists pregnancy as a contraindication. TW/UK: do not use unless the benefit to the mother clearly outweighs the fetal risk; effective contraception. US: can cause fetal harm, no letter category (FDA retired the letter categories).</t>
        </is>
      </c>
      <c r="I910" s="3" t="inlineStr">
        <is>
          <t>US label 4, 5.9, 8.1; UK SmPC 4.3/4.6 https://www.medicines.org.uk/emc/product/7976/smpc; TW insert 4 禁忌 and 懷孕 https://mcp.fda.gov.tw/im_detail_1/%E8%A1%9B%E7%BD%B2%E8%97%A5%E8%BC%B8%E5%AD%97%E7%AC%AC023648%E8%99%9F</t>
        </is>
      </c>
      <c r="J910" s="3" t="inlineStr">
        <is>
          <t>Open</t>
        </is>
      </c>
      <c r="K910" s="3" t="inlineStr"/>
    </row>
    <row r="911">
      <c r="A911" s="3" t="n">
        <v>25</v>
      </c>
      <c r="B911" s="3" t="inlineStr">
        <is>
          <t>Vfend (Voriconazole) (VFE01, VFE02, VOR03)</t>
        </is>
      </c>
      <c r="C911" s="8" t="inlineStr">
        <is>
          <t>Medium</t>
        </is>
      </c>
      <c r="D911" s="3" t="inlineStr">
        <is>
          <t>Pregnancy</t>
        </is>
      </c>
      <c r="E911" s="3" t="inlineStr">
        <is>
          <t>FDA letter category</t>
        </is>
      </c>
      <c r="F911" s="3" t="inlineStr">
        <is>
          <t>Remove pregnancy contraindication and category D on all records; add label narrative</t>
        </is>
      </c>
      <c r="G911" s="3" t="inlineStr">
        <is>
          <t>懷孕分類 D; contraindication list item '5. Pregnancy'</t>
        </is>
      </c>
      <c r="H911" s="3" t="inlineStr">
        <is>
          <t>Letter categories have been retired (PLLR). No label lists pregnancy as a contraindication. US: can cause fetal harm, inform the patient of the hazard. TW/UK: do not use unless the benefit to the mother clearly outweighs the risk to the fetus, and use effective contraception.</t>
        </is>
      </c>
      <c r="I911" s="3" t="inlineStr">
        <is>
          <t>US FDA label §4, §8.1 https://dailymed.nlm.nih.gov/dailymed/drugInfo.cfm?setid=ce3ef5cf-3087-4d92-9d94-9eb8287228db; UK SmPC §4.3, §4.6 https://www.medicines.org.uk/emc/product/7976/smpc; Taiwan 仿單 §4, §6.1 https://mcp.fda.gov.tw/im_detail_1/%E8%A1%9B%E7%BD%B2%E8%97%A5%E8%BC%B8%E5%AD%97%E7%AC%AC023648%E8%99%9F</t>
        </is>
      </c>
      <c r="J911" s="3" t="inlineStr">
        <is>
          <t>Open</t>
        </is>
      </c>
      <c r="K911" s="3" t="inlineStr"/>
    </row>
    <row r="912">
      <c r="A912" s="3" t="n">
        <v>1378</v>
      </c>
      <c r="B912" s="3" t="inlineStr">
        <is>
          <t>Viread (Tenofovir disoproxil) (VIR04)</t>
        </is>
      </c>
      <c r="C912" s="8" t="inlineStr">
        <is>
          <t>Medium</t>
        </is>
      </c>
      <c r="D912" s="3" t="inlineStr">
        <is>
          <t>Administration/compatibility</t>
        </is>
      </c>
      <c r="E912" s="3" t="inlineStr"/>
      <c r="F912" s="3" t="inlineStr">
        <is>
          <t>Change 'without food' to 'without regard to food' (US/TW).</t>
        </is>
      </c>
      <c r="G912" s="3" t="inlineStr">
        <is>
          <t>HIV and HBV: 300 mg once daily without food</t>
        </is>
      </c>
      <c r="H912" s="3" t="inlineStr">
        <is>
          <t>US/TW: 300 mg once daily without regard to food (毋須理會進食時間); UK SmPC: with food</t>
        </is>
      </c>
      <c r="I912" s="3" t="inlineStr">
        <is>
          <t>US label §2.2 https://dailymed.nlm.nih.gov/dailymed/drugInfo.cfm?setid=33fd6418-fbdc-42ca-a50d-ce2a476a5418; TW insert §2.1 https://mcp.fda.gov.tw/insert/pdfcasefile/e379214d-0838-4728-9c89-c2356353a2a4; UK SmPC §4.2 https://www.medicines.org.uk/emc/product/1615/smpc</t>
        </is>
      </c>
      <c r="J912" s="3" t="inlineStr">
        <is>
          <t>Open</t>
        </is>
      </c>
      <c r="K912" s="3" t="inlineStr"/>
    </row>
    <row r="913">
      <c r="A913" s="3" t="n">
        <v>1388</v>
      </c>
      <c r="B913" s="3" t="inlineStr">
        <is>
          <t>Viread (Tenofovir disoproxil) (VIR04)</t>
        </is>
      </c>
      <c r="C913" s="8" t="inlineStr">
        <is>
          <t>Medium</t>
        </is>
      </c>
      <c r="D913" s="3" t="inlineStr">
        <is>
          <t>Administration/compatibility</t>
        </is>
      </c>
      <c r="E913" s="3" t="inlineStr"/>
      <c r="F913" s="3" t="inlineStr">
        <is>
          <t>Change dosing to 'without regard to food'; no label says take without food.</t>
        </is>
      </c>
      <c r="G913" s="3" t="inlineStr">
        <is>
          <t>HIV infection: 300 mg once daily without food…; Hepatitis B infection: 300 mg once daily without food</t>
        </is>
      </c>
      <c r="H913" s="3" t="inlineStr">
        <is>
          <t>US 2.2 / TW 2.1: 'without regard to food' (毋須理會進食時間). UK 4.2: 'taken orally with food'. No label says to take it without food.</t>
        </is>
      </c>
      <c r="I913" s="3" t="inlineStr">
        <is>
          <t>US §2.2 https://dailymed.nlm.nih.gov/dailymed/drugInfo.cfm?setid=33fd6418-fbdc-42ca-a50d-ce2a476a5418 ; TW 仿單 §2.1 https://mcp.fda.gov.tw/im_detail_pdf/%E8%A1%9B%E7%BD%B2%E8%97%A5%E8%BC%B8%E5%AD%97%E7%AC%AC024690%E8%99%9F ; UK SmPC §4.2 https://www.medicines.org.uk/emc/product/1615/smpc</t>
        </is>
      </c>
      <c r="J913" s="3" t="inlineStr">
        <is>
          <t>Open</t>
        </is>
      </c>
      <c r="K913" s="3" t="inlineStr"/>
    </row>
    <row r="914">
      <c r="A914" s="3" t="n">
        <v>1387</v>
      </c>
      <c r="B914" s="3" t="inlineStr">
        <is>
          <t>Viread (Tenofovir disoproxil) (VIR04)</t>
        </is>
      </c>
      <c r="C914" s="8" t="inlineStr">
        <is>
          <t>Medium</t>
        </is>
      </c>
      <c r="D914" s="3" t="inlineStr">
        <is>
          <t>Adverse effects</t>
        </is>
      </c>
      <c r="E914" s="3" t="inlineStr"/>
      <c r="F914" s="3" t="inlineStr">
        <is>
          <t>Add renal toxicity/Fanconi, bone loss, lactic acidosis, HBV flare to side effects; add protein binding.</t>
        </is>
      </c>
      <c r="G914" s="3" t="inlineStr">
        <is>
          <t>主要副作用 lists only 噁心、腹瀉、嘔吐、脹氣; protein binding left blank</t>
        </is>
      </c>
      <c r="H914" s="3" t="inlineStr">
        <is>
          <t>Label-critical risks are missing: renal toxicity/Fanconi syndrome, bone loss/osteomalacia, lactic acidosis, and HBV flare after stopping. Protein binding is &lt;0.7% to plasma proteins and 7.2% to serum proteins (FDA 12.3 / TW insert).</t>
        </is>
      </c>
      <c r="I914" s="3" t="inlineStr">
        <is>
          <t>US label §5, §12.3 https://dailymed.nlm.nih.gov/dailymed/drugInfo.cfm?setid=33fd6418-fbdc-42ca-a50d-ce2a476a5418</t>
        </is>
      </c>
      <c r="J914" s="3" t="inlineStr">
        <is>
          <t>Open</t>
        </is>
      </c>
      <c r="K914" s="3" t="inlineStr"/>
    </row>
    <row r="915">
      <c r="A915" s="3" t="n">
        <v>1380</v>
      </c>
      <c r="B915" s="3" t="inlineStr">
        <is>
          <t>Viread (Tenofovir disoproxil) (VIR04)</t>
        </is>
      </c>
      <c r="C915" s="8" t="inlineStr">
        <is>
          <t>Medium</t>
        </is>
      </c>
      <c r="D915" s="3" t="inlineStr">
        <is>
          <t>Breastfeeding</t>
        </is>
      </c>
      <c r="E915" s="3" t="inlineStr">
        <is>
          <t>LactMed outdated</t>
        </is>
      </c>
      <c r="F915" s="3" t="inlineStr">
        <is>
          <t>Restrict breastfeeding warning to HIV; HBV mothers on TDF may breastfeed per LactMed/SmPC.</t>
        </is>
      </c>
      <c r="G915" s="3" t="inlineStr">
        <is>
          <t>Due to the risk of postnatal transmission of HIV, breastfeeding is not recommended.</t>
        </is>
      </c>
      <c r="H915" s="3" t="inlineStr">
        <is>
          <t>This applies only to HIV treatment. For HBV, LactMed and UK SmPC §4.6 say HBV-infected mothers on TDF may breastfeed, and US §8.2 says to weigh the benefits. LactMed 2026 also supports breastfeeding by people with HIV who have a sustained undetectable viral load.</t>
        </is>
      </c>
      <c r="I915" s="3" t="inlineStr">
        <is>
          <t>LactMed NBK501549 https://www.ncbi.nlm.nih.gov/books/NBK501549/; UK SmPC §4.6 https://www.medicines.org.uk/emc/product/1615/smpc</t>
        </is>
      </c>
      <c r="J915" s="3" t="inlineStr">
        <is>
          <t>Open</t>
        </is>
      </c>
      <c r="K915" s="3" t="inlineStr"/>
    </row>
    <row r="916">
      <c r="A916" s="3" t="n">
        <v>1390</v>
      </c>
      <c r="B916" s="3" t="inlineStr">
        <is>
          <t>Viread (Tenofovir disoproxil) (VIR04)</t>
        </is>
      </c>
      <c r="C916" s="8" t="inlineStr">
        <is>
          <t>Medium</t>
        </is>
      </c>
      <c r="D916" s="3" t="inlineStr">
        <is>
          <t>Breastfeeding</t>
        </is>
      </c>
      <c r="E916" s="3" t="inlineStr">
        <is>
          <t>LactMed outdated</t>
        </is>
      </c>
      <c r="F916" s="3" t="inlineStr">
        <is>
          <t>Limit no-breastfeeding statement to HIV; HBV mothers may breastfeed; update per LactMed.</t>
        </is>
      </c>
      <c r="G916" s="3" t="inlineStr">
        <is>
          <t>Due to the risk of postnatal transmission of HIV, breastfeeding is not recommended.</t>
        </is>
      </c>
      <c r="H916" s="3" t="inlineStr">
        <is>
          <t>Applies only to HIV. For HBV, UK 4.6 says HBV-infected mothers on TDF may breastfeed; US 8.2 says weigh benefits; LactMed says there is no justification for contraindicating it in HBV. For HIV, LactMed says a person with a sustained undetectable viral load on ART who chooses to breastfeed should be supported.</t>
        </is>
      </c>
      <c r="I916" s="3" t="inlineStr">
        <is>
          <t>LactMed NBK501549 https://www.ncbi.nlm.nih.gov/books/NBK501549/ ; UK SmPC §4.6 https://www.medicines.org.uk/emc/product/1615/smpc ; US §8.2</t>
        </is>
      </c>
      <c r="J916" s="3" t="inlineStr">
        <is>
          <t>Open</t>
        </is>
      </c>
      <c r="K916" s="3" t="inlineStr"/>
    </row>
    <row r="917">
      <c r="A917" s="3" t="n">
        <v>1397</v>
      </c>
      <c r="B917" s="3" t="inlineStr">
        <is>
          <t>Viread (Tenofovir disoproxil) (VIR04)</t>
        </is>
      </c>
      <c r="C917" s="8" t="inlineStr">
        <is>
          <t>Medium</t>
        </is>
      </c>
      <c r="D917" s="3" t="inlineStr">
        <is>
          <t>Contraindication/warning</t>
        </is>
      </c>
      <c r="E917" s="3" t="inlineStr"/>
      <c r="F917" s="3" t="inlineStr">
        <is>
          <t>Add renal monitoring: baseline/periodic SCr, CrCl, urine glucose/protein, phosphate in CKD.</t>
        </is>
      </c>
      <c r="G917" s="3" t="inlineStr">
        <is>
          <t>No monitoring instructions. 主要副作用 lists only 噁心、腹瀉、嘔吐、脹氣; the NxP nephrotoxicity flag is present.</t>
        </is>
      </c>
      <c r="H917" s="3" t="inlineStr">
        <is>
          <t>All labels require baseline and periodic SCr/CrCl, urine glucose and urine protein, plus phosphate in CKD (US); UK gives the schedule at 2–4 wk, 3 mo, then every 3–6 mo. Renal tubulopathy and bone loss are the key toxicities.</t>
        </is>
      </c>
      <c r="I917" s="3" t="inlineStr">
        <is>
          <t>US §2.1, §5.2 ; UK §4.4 https://www.medicines.org.uk/emc/product/1615/smpc</t>
        </is>
      </c>
      <c r="J917" s="3" t="inlineStr">
        <is>
          <t>Open</t>
        </is>
      </c>
      <c r="K917" s="3" t="inlineStr"/>
    </row>
    <row r="918">
      <c r="A918" s="3" t="n">
        <v>1394</v>
      </c>
      <c r="B918" s="3" t="inlineStr">
        <is>
          <t>Viread (Tenofovir disoproxil) (VIR04)</t>
        </is>
      </c>
      <c r="C918" s="8" t="inlineStr">
        <is>
          <t>Medium</t>
        </is>
      </c>
      <c r="D918" s="3" t="inlineStr">
        <is>
          <t>Dosing – pediatric</t>
        </is>
      </c>
      <c r="E918" s="3" t="inlineStr"/>
      <c r="F918" s="3" t="inlineStr">
        <is>
          <t>Fill paediatric dose: ≥12 y and ≥35 kg 300 mg daily; not established below.</t>
        </is>
      </c>
      <c r="G918" s="3" t="inlineStr">
        <is>
          <t>(empty)</t>
        </is>
      </c>
      <c r="H918" s="3" t="inlineStr">
        <is>
          <t>TW: ≥12 y and ≥35 kg → 300 mg QD. US: 8 mg/kg QD (max 300 mg) with weight-band strengths. UK: 12–&lt;18 y and ≥35 kg → 245 mg QD.</t>
        </is>
      </c>
      <c r="I918" s="3" t="inlineStr">
        <is>
          <t>TW 仿單 §2.1 ; US §2.2–2.3 ; UK §4.2</t>
        </is>
      </c>
      <c r="J918" s="3" t="inlineStr">
        <is>
          <t>Open</t>
        </is>
      </c>
      <c r="K918" s="3" t="inlineStr"/>
    </row>
    <row r="919">
      <c r="A919" s="3" t="n">
        <v>1385</v>
      </c>
      <c r="B919" s="3" t="inlineStr">
        <is>
          <t>Viread (Tenofovir disoproxil) (VIR04)</t>
        </is>
      </c>
      <c r="C919" s="8" t="inlineStr">
        <is>
          <t>Medium</t>
        </is>
      </c>
      <c r="D919" s="3" t="inlineStr">
        <is>
          <t>Dosing – renal/dialysis</t>
        </is>
      </c>
      <c r="E919" s="3" t="inlineStr"/>
      <c r="F919" s="3" t="inlineStr">
        <is>
          <t>Note CrCl calculated with ideal body weight; intervals PK-modelled, monitor response and renal function.</t>
        </is>
      </c>
      <c r="G919" s="3" t="inlineStr">
        <is>
          <t>Intervals listed with no basis for calculating CrCl</t>
        </is>
      </c>
      <c r="H919" s="3" t="inlineStr">
        <is>
          <t>US and TW tables say CrCl is calculated with ideal (lean) body weight; the intervals are based on PK modelling and need close monitoring of response and renal function</t>
        </is>
      </c>
      <c r="I919" s="3" t="inlineStr">
        <is>
          <t>US label §2.4 Table 3 footnote; TW insert 表1 footnote a '按理想（瘦）體重計算'</t>
        </is>
      </c>
      <c r="J919" s="3" t="inlineStr">
        <is>
          <t>Open</t>
        </is>
      </c>
      <c r="K919" s="3" t="inlineStr"/>
    </row>
    <row r="920">
      <c r="A920" s="3" t="n">
        <v>1350</v>
      </c>
      <c r="B920" s="3" t="inlineStr">
        <is>
          <t>Vocabria + Rekambys (Cabotegravir + Rilpivirine LA) (VOC02, REK01)</t>
        </is>
      </c>
      <c r="C920" s="8" t="inlineStr">
        <is>
          <t>Medium</t>
        </is>
      </c>
      <c r="D920" s="3" t="inlineStr">
        <is>
          <t>Administration/compatibility</t>
        </is>
      </c>
      <c r="E920" s="3" t="inlineStr"/>
      <c r="F920" s="3" t="inlineStr">
        <is>
          <t>Confirm stock of 2-mL vials (CAB 400 mg, RPV 600 mg) needed for monthly regimen.</t>
        </is>
      </c>
      <c r="G920" s="3" t="inlineStr">
        <is>
          <t>Only Vocabria 600 mg/3 mL and Rekambys 900 mg/3 mL listed (no 2-mL vials or oral lead-in tablets found)</t>
        </is>
      </c>
      <c r="H920" s="3" t="inlineStr">
        <is>
          <t>The monthly continuation dose needs cabotegravir 400 mg/2 mL + rilpivirine 600 mg/2 mL (both licensed in Taiwan under the same licence numbers). The 3-mL vials support only initiation and every-2-month dosing. Confirm the hospital's regimen and stock</t>
        </is>
      </c>
      <c r="I920" s="3" t="inlineStr">
        <is>
          <t>TW仿單 Vocabria 028218 §1.1 (400 mg/2 mL, 600 mg/3 mL); TW仿單 Rekambys 028217 §1.1 (600 mg/2 mL, 900 mg/3 mL); US FDA CABENUVA §2.4, §3</t>
        </is>
      </c>
      <c r="J920" s="3" t="inlineStr">
        <is>
          <t>Open</t>
        </is>
      </c>
      <c r="K920" s="3" t="inlineStr"/>
    </row>
    <row r="921">
      <c r="A921" s="3" t="n">
        <v>1357</v>
      </c>
      <c r="B921" s="3" t="inlineStr">
        <is>
          <t>Vocabria + Rekambys (Cabotegravir + Rilpivirine LA) (VOC02, REK01)</t>
        </is>
      </c>
      <c r="C921" s="8" t="inlineStr">
        <is>
          <t>Medium</t>
        </is>
      </c>
      <c r="D921" s="3" t="inlineStr">
        <is>
          <t>Administration/compatibility</t>
        </is>
      </c>
      <c r="E921" s="3" t="inlineStr"/>
      <c r="F921" s="3" t="inlineStr">
        <is>
          <t>Confirm 2-mL vial stock; otherwise restrict to Q2M schedule.</t>
        </is>
      </c>
      <c r="G921" s="3" t="inlineStr">
        <is>
          <t>The dosing text lists monthly continuation at 400 mg (CAB) / 600 mg (RPV), but only the 600 mg/3 mL and 900 mg/3 mL vials are coded.</t>
        </is>
      </c>
      <c r="H921" s="3" t="inlineStr">
        <is>
          <t>Monthly continuation uses the 2-mL vials (CAB 400 mg/2 mL; RPV 600 mg/2 mL), which are single-dose vials in separate presentations. If these are not stocked, only the Q2M schedule (and initiation doses) can be given from the coded products. Confirm with pharmacy.</t>
        </is>
      </c>
      <c r="I921" s="3" t="inlineStr">
        <is>
          <t>TW 仿單 Vocabria §1.1, Rekambys §1.1; US CABENUVA §3</t>
        </is>
      </c>
      <c r="J921" s="3" t="inlineStr">
        <is>
          <t>Open</t>
        </is>
      </c>
      <c r="K921" s="3" t="inlineStr"/>
    </row>
    <row r="922">
      <c r="A922" s="3" t="n">
        <v>1346</v>
      </c>
      <c r="B922" s="3" t="inlineStr">
        <is>
          <t>Vocabria + Rekambys (Cabotegravir + Rilpivirine LA) (VOC02, REK01)</t>
        </is>
      </c>
      <c r="C922" s="8" t="inlineStr">
        <is>
          <t>Medium</t>
        </is>
      </c>
      <c r="D922" s="3" t="inlineStr">
        <is>
          <t>Contraindication/warning</t>
        </is>
      </c>
      <c r="E922" s="3" t="inlineStr">
        <is>
          <t>Interaction list incomplete</t>
        </is>
      </c>
      <c r="F922" s="3" t="inlineStr">
        <is>
          <t>Add regimen-level contraindications with rilpivirine: rifabutin, systemic dexamethasone, St John's wort.</t>
        </is>
      </c>
      <c r="G922" s="3" t="inlineStr">
        <is>
          <t>Rifampicin, rifapentine, carbamazepine, oxcarbazepine, phenytoin, phenobarbital</t>
        </is>
      </c>
      <c r="H922" s="3" t="inlineStr">
        <is>
          <t>Correct for Vocabria alone (UK 4.3 / TW §4). Because Vocabria is always given with rilpivirine, the regimen also contraindicates rifabutin, systemic dexamethasone (more than a single dose) and St John's wort (FDA §4 / Rekambys 4.3). Vocabria's own label says rifabutin is 'not recommended'. Note: the TW Vocabria insert contradicts itself, saying 'not recommended' in §5.1 but 'Rifabutin並不會明顯改變cabotegravir的血中濃度。不須調整劑量' in Table 6, whereas UK Table 6 says 'should be avoided'</t>
        </is>
      </c>
      <c r="I922" s="3" t="inlineStr">
        <is>
          <t>US FDA CABENUVA §4, Table 8; UK SmPC Vocabria §4.3–4.5; UK SmPC Rekambys §4.3; TW仿單 Vocabria §4, §5.1, 表6</t>
        </is>
      </c>
      <c r="J922" s="3" t="inlineStr">
        <is>
          <t>Open</t>
        </is>
      </c>
      <c r="K922" s="3" t="inlineStr"/>
    </row>
    <row r="923">
      <c r="A923" s="3" t="n">
        <v>1353</v>
      </c>
      <c r="B923" s="3" t="inlineStr">
        <is>
          <t>Vocabria + Rekambys (Cabotegravir + Rilpivirine LA) (VOC02, REK01)</t>
        </is>
      </c>
      <c r="C923" s="8" t="inlineStr">
        <is>
          <t>Medium</t>
        </is>
      </c>
      <c r="D923" s="3" t="inlineStr">
        <is>
          <t>Contraindication/warning</t>
        </is>
      </c>
      <c r="E923" s="3" t="inlineStr">
        <is>
          <t>Interaction list incomplete</t>
        </is>
      </c>
      <c r="F923" s="3" t="inlineStr">
        <is>
          <t>Add regimen-level contraindications (rifabutin, dexamethasone, St John's wort) as co-administered with rilpivirine.</t>
        </is>
      </c>
      <c r="G923" s="3" t="inlineStr">
        <is>
          <t>Rifampicin, rifapentine, carbamazepine, oxcarbazepine, phenytoin, phenobarbital</t>
        </is>
      </c>
      <c r="H923" s="3" t="inlineStr">
        <is>
          <t>This matches the single-product Vocabria label exactly (TW §4, UK §4.3), so it is not wrong for cabotegravir alone. However, VOC02 is always given with rilpivirine, and the regimen-level contraindications also include rifabutin, systemic dexamethasone (more than a single dose) and St John's wort. Rifabutin is also 'not recommended' with Vocabria (TW §5.1). This is a lower-severity issue than the brief implies.</t>
        </is>
      </c>
      <c r="I923" s="3" t="inlineStr">
        <is>
          <t>TW 仿單 Vocabria §4, §5.1; TW Rekambys §4; US CABENUVA §4</t>
        </is>
      </c>
      <c r="J923" s="3" t="inlineStr">
        <is>
          <t>Open</t>
        </is>
      </c>
      <c r="K923" s="3" t="inlineStr"/>
    </row>
    <row r="924">
      <c r="A924" s="3" t="n">
        <v>1343</v>
      </c>
      <c r="B924" s="3" t="inlineStr">
        <is>
          <t>Vocabria + Rekambys (Cabotegravir + Rilpivirine LA) (VOC02, REK01)</t>
        </is>
      </c>
      <c r="C924" s="8" t="inlineStr">
        <is>
          <t>Medium</t>
        </is>
      </c>
      <c r="D924" s="3" t="inlineStr">
        <is>
          <t>Dosing – pediatric</t>
        </is>
      </c>
      <c r="E924" s="3" t="inlineStr"/>
      <c r="F924" s="3" t="inlineStr">
        <is>
          <t>Replace '&lt;18 not established' with: approved ≥12 y and ≥35 kg at adult doses.</t>
        </is>
      </c>
      <c r="G924" s="3" t="inlineStr">
        <is>
          <t>18歲以下兒童及青少年的安全性與療效尚未確立 (safety under 18 not established)</t>
        </is>
      </c>
      <c r="H924" s="3" t="inlineStr">
        <is>
          <t>Safety and efficacy established for 12 to &lt;18 years and ≥35 kg at adult doses (MOCHA trial); not established only below 12 years or 35 kg</t>
        </is>
      </c>
      <c r="I924" s="3" t="inlineStr">
        <is>
          <t>US FDA CABENUVA §8.4; UK SmPC §4.2; TW仿單 Vocabria §3 小兒族群 / Rekambys §3.3 小兒</t>
        </is>
      </c>
      <c r="J924" s="3" t="inlineStr">
        <is>
          <t>Open</t>
        </is>
      </c>
      <c r="K924" s="3" t="inlineStr"/>
    </row>
    <row r="925">
      <c r="A925" s="3" t="n">
        <v>1351</v>
      </c>
      <c r="B925" s="3" t="inlineStr">
        <is>
          <t>Vocabria + Rekambys (Cabotegravir + Rilpivirine LA) (VOC02, REK01)</t>
        </is>
      </c>
      <c r="C925" s="8" t="inlineStr">
        <is>
          <t>Medium</t>
        </is>
      </c>
      <c r="D925" s="3" t="inlineStr">
        <is>
          <t>Dosing – pediatric</t>
        </is>
      </c>
      <c r="E925" s="3" t="inlineStr"/>
      <c r="F925" s="3" t="inlineStr">
        <is>
          <t>Change pediatric/indication text to approved ≥12 y and ≥35 kg at adult doses.</t>
        </is>
      </c>
      <c r="G925" s="3" t="inlineStr">
        <is>
          <t>Both pages: '18 歲以下兒童及青少年的安全性與療效尚未確立'. The English indication text also says 'in adults'.</t>
        </is>
      </c>
      <c r="H925" s="3" t="inlineStr">
        <is>
          <t>Approved for adolescents ≥12 y AND ≥35 kg at adult doses. Not established only for &lt;12 y or &lt;35 kg.</t>
        </is>
      </c>
      <c r="I925" s="3" t="inlineStr">
        <is>
          <t>TW 仿單 Vocabria §2/§3.3 and Rekambys §2/§3.1; US CABENUVA §1/§8.4; UK SmPC §4.1/4.2</t>
        </is>
      </c>
      <c r="J925" s="3" t="inlineStr">
        <is>
          <t>Open</t>
        </is>
      </c>
      <c r="K925" s="3" t="inlineStr"/>
    </row>
    <row r="926">
      <c r="A926" s="3" t="n">
        <v>1342</v>
      </c>
      <c r="B926" s="3" t="inlineStr">
        <is>
          <t>Vocabria + Rekambys (Cabotegravir + Rilpivirine LA) (VOC02, REK01)</t>
        </is>
      </c>
      <c r="C926" s="8" t="inlineStr">
        <is>
          <t>Medium</t>
        </is>
      </c>
      <c r="D926" s="3" t="inlineStr">
        <is>
          <t>Indication/coverage</t>
        </is>
      </c>
      <c r="E926" s="3" t="inlineStr"/>
      <c r="F926" s="3" t="inlineStr">
        <is>
          <t>Extend indication to adolescents ≥12 y and ≥35 kg.</t>
        </is>
      </c>
      <c r="G926" s="3" t="inlineStr">
        <is>
          <t>Indicated for HIV-1 in suppressed '成人' / adults only</t>
        </is>
      </c>
      <c r="H926" s="3" t="inlineStr">
        <is>
          <t>Approved for adults AND adolescents ≥12 years weighing ≥35 kg</t>
        </is>
      </c>
      <c r="I926" s="3" t="inlineStr">
        <is>
          <t>US FDA CABENUVA §1; UK SmPC Vocabria/Rekambys §4.1; TW仿單 028218/028217 §2 適應症 (12歲以上且體重至少達35公斤)</t>
        </is>
      </c>
      <c r="J926" s="3" t="inlineStr">
        <is>
          <t>Open</t>
        </is>
      </c>
      <c r="K926" s="3" t="inlineStr"/>
    </row>
    <row r="927">
      <c r="A927" s="3" t="n">
        <v>979</v>
      </c>
      <c r="B927" s="3" t="inlineStr">
        <is>
          <t>Xofluza (Baloxavir) (XOF01)</t>
        </is>
      </c>
      <c r="C927" s="8" t="inlineStr">
        <is>
          <t>Medium</t>
        </is>
      </c>
      <c r="D927" s="3" t="inlineStr">
        <is>
          <t>Breastfeeding</t>
        </is>
      </c>
      <c r="E927" s="3" t="inlineStr"/>
      <c r="F927" s="3" t="inlineStr">
        <is>
          <t>Add TW insert: avoid breastfeeding during treatment; note LactMed view</t>
        </is>
      </c>
      <c r="G927" s="3" t="inlineStr">
        <is>
          <t>According to the manufacturer, the decision to breastfeed during therapy should consider the risk and benefits.</t>
        </is>
      </c>
      <c r="H927" s="3" t="inlineStr">
        <is>
          <t>The Taiwan insert for the stocked product is stricter: 哺乳婦請於投藥療程中避免母乳哺餵 (avoid breastfeeding during treatment). LactMed says breastfeeding need not stop, but an alternate may be preferred.</t>
        </is>
      </c>
      <c r="I927" s="3" t="inlineStr">
        <is>
          <t>Taiwan insert §6.2; LactMed NBK535610</t>
        </is>
      </c>
      <c r="J927" s="3" t="inlineStr">
        <is>
          <t>Open</t>
        </is>
      </c>
      <c r="K927" s="3" t="inlineStr"/>
    </row>
    <row r="928">
      <c r="A928" s="3" t="n">
        <v>987</v>
      </c>
      <c r="B928" s="3" t="inlineStr">
        <is>
          <t>Xofluza (Baloxavir) (XOF01)</t>
        </is>
      </c>
      <c r="C928" s="8" t="inlineStr">
        <is>
          <t>Medium</t>
        </is>
      </c>
      <c r="D928" s="3" t="inlineStr">
        <is>
          <t>Breastfeeding</t>
        </is>
      </c>
      <c r="E928" s="3" t="inlineStr"/>
      <c r="F928" s="3" t="inlineStr">
        <is>
          <t>Add TW advice to avoid breastfeeding during treatment; cite TW pregnancy wording, mark postpartum sentence as guideline</t>
        </is>
      </c>
      <c r="G928" s="3" t="inlineStr">
        <is>
          <t>Pregnancy: 'Other agents are currently recommended for... pregnant females and females up to 2 weeks postpartum.' Lactation: the decision to breastfeed should consider risks and benefits.</t>
        </is>
      </c>
      <c r="H928" s="3" t="inlineStr">
        <is>
          <t>The pregnancy sentence is not in any label (it is guideline-derived), and the field does not give the TW insert's wording (有益性高於危險性時才可投與). The lactation field omits the TW insert's stricter advice to avoid breastfeeding during treatment (投藥療程中避免母乳哺餵).</t>
        </is>
      </c>
      <c r="I928" s="3" t="inlineStr">
        <is>
          <t>Taiwan insert §6.1, §6.2 https://mcp.fda.gov.tw/im_detail_1/%E8%A1%9B%E9%83%A8%E8%97%A5%E8%BC%B8%E5%AD%97%E7%AC%AC027693%E8%99%9F</t>
        </is>
      </c>
      <c r="J928" s="3" t="inlineStr">
        <is>
          <t>Open</t>
        </is>
      </c>
      <c r="K928" s="3" t="inlineStr"/>
    </row>
    <row r="929">
      <c r="A929" s="3" t="n">
        <v>977</v>
      </c>
      <c r="B929" s="3" t="inlineStr">
        <is>
          <t>Xofluza (Baloxavir) (XOF01)</t>
        </is>
      </c>
      <c r="C929" s="8" t="inlineStr">
        <is>
          <t>Medium</t>
        </is>
      </c>
      <c r="D929" s="3" t="inlineStr">
        <is>
          <t>Dosing – hepatic</t>
        </is>
      </c>
      <c r="E929" s="3" t="inlineStr"/>
      <c r="F929" s="3" t="inlineStr">
        <is>
          <t>Add: no adjustment Child-Pugh A–B; Child-Pugh C not studied, use with caution</t>
        </is>
      </c>
      <c r="G929" s="3" t="inlineStr">
        <is>
          <t>No dosage adjustments (no studies proved)</t>
        </is>
      </c>
      <c r="H929" s="3" t="inlineStr">
        <is>
          <t>No adjustment for Child-Pugh A–B. Child-Pugh C has not been studied, and the Taiwan insert lists it as 慎重投與 (use with caution).</t>
        </is>
      </c>
      <c r="I929" s="3" t="inlineStr">
        <is>
          <t>Taiwan insert §5.1.1, §6.6; UK SmPC §4.2</t>
        </is>
      </c>
      <c r="J929" s="3" t="inlineStr">
        <is>
          <t>Open</t>
        </is>
      </c>
      <c r="K929" s="3" t="inlineStr"/>
    </row>
    <row r="930">
      <c r="A930" s="3" t="n">
        <v>976</v>
      </c>
      <c r="B930" s="3" t="inlineStr">
        <is>
          <t>Xofluza (Baloxavir) (XOF01)</t>
        </is>
      </c>
      <c r="C930" s="8" t="inlineStr">
        <is>
          <t>Medium</t>
        </is>
      </c>
      <c r="D930" s="3" t="inlineStr">
        <is>
          <t>Dosing – renal/dialysis</t>
        </is>
      </c>
      <c r="E930" s="3" t="inlineStr"/>
      <c r="F930" s="3" t="inlineStr">
        <is>
          <t>Add: no adjustment CrCl ≥30; no data for CrCl &lt;30</t>
        </is>
      </c>
      <c r="G930" s="3" t="inlineStr">
        <is>
          <t>No dosage adjustments (no studies proved)</t>
        </is>
      </c>
      <c r="H930" s="3" t="inlineStr">
        <is>
          <t>Taiwan: no adjustment for CrCl ≥30; no data for CrCl &lt;30. US: no clinically significant change for CrCl ≥50; severe impairment not evaluated. The hospital wording leaves out the CrCl &lt;30 no-data caveat.</t>
        </is>
      </c>
      <c r="I930" s="3" t="inlineStr">
        <is>
          <t>Taiwan insert §6.7/§11.3; DailyMed §12.3</t>
        </is>
      </c>
      <c r="J930" s="3" t="inlineStr">
        <is>
          <t>Open</t>
        </is>
      </c>
      <c r="K930" s="3" t="inlineStr"/>
    </row>
    <row r="931">
      <c r="A931" s="3" t="n">
        <v>985</v>
      </c>
      <c r="B931" s="3" t="inlineStr">
        <is>
          <t>Xofluza (Baloxavir) (XOF01)</t>
        </is>
      </c>
      <c r="C931" s="8" t="inlineStr">
        <is>
          <t>Medium</t>
        </is>
      </c>
      <c r="D931" s="3" t="inlineStr">
        <is>
          <t>Dosing – renal/dialysis</t>
        </is>
      </c>
      <c r="E931" s="3" t="inlineStr"/>
      <c r="F931" s="3" t="inlineStr">
        <is>
          <t>Add: no PK data for CrCl &lt;30 mL/min</t>
        </is>
      </c>
      <c r="G931" s="3" t="inlineStr">
        <is>
          <t>No dosage adjustments (no studies proved)</t>
        </is>
      </c>
      <c r="H931" s="3" t="inlineStr">
        <is>
          <t>TW (stocked product): no adjustment for CrCl ≥30 mL/min, and no PK data for CrCl &lt;30. The hospital text misses the CrCl &lt;30 data gap. It is broadly consistent otherwise.</t>
        </is>
      </c>
      <c r="I931" s="3" t="inlineStr">
        <is>
          <t>Taiwan insert §6.7 / §11.3 https://mcp.fda.gov.tw/im_detail_1/%E8%A1%9B%E9%83%A8%E8%97%A5%E8%BC%B8%E5%AD%97%E7%AC%AC027693%E8%99%9F</t>
        </is>
      </c>
      <c r="J931" s="3" t="inlineStr">
        <is>
          <t>Open</t>
        </is>
      </c>
      <c r="K931" s="3" t="inlineStr"/>
    </row>
    <row r="932">
      <c r="A932" s="3" t="n">
        <v>975</v>
      </c>
      <c r="B932" s="3" t="inlineStr">
        <is>
          <t>Xofluza (Baloxavir) (XOF01)</t>
        </is>
      </c>
      <c r="C932" s="8" t="inlineStr">
        <is>
          <t>Medium</t>
        </is>
      </c>
      <c r="D932" s="3" t="inlineStr">
        <is>
          <t>Indication/coverage</t>
        </is>
      </c>
      <c r="E932" s="3" t="inlineStr"/>
      <c r="F932" s="3" t="inlineStr">
        <is>
          <t>Change to ≥5 years AND ≥20 kg for treatment and PEP</t>
        </is>
      </c>
      <c r="G932" s="3" t="inlineStr">
        <is>
          <t>Patients &gt;5 y/o (treatment and PEP)</t>
        </is>
      </c>
      <c r="H932" s="3" t="inlineStr">
        <is>
          <t>Taiwan insert: ≥5 years AND ≥20 kg. The weight limit is missing, and '&gt;5' should be '≥5'.</t>
        </is>
      </c>
      <c r="I932" s="3" t="inlineStr">
        <is>
          <t>Taiwan insert §2 '5歲以上且體重20公斤以上'</t>
        </is>
      </c>
      <c r="J932" s="3" t="inlineStr">
        <is>
          <t>Open</t>
        </is>
      </c>
      <c r="K932" s="3" t="inlineStr"/>
    </row>
    <row r="933">
      <c r="A933" s="3" t="n">
        <v>978</v>
      </c>
      <c r="B933" s="3" t="inlineStr">
        <is>
          <t>Xofluza (Baloxavir) (XOF01)</t>
        </is>
      </c>
      <c r="C933" s="8" t="inlineStr">
        <is>
          <t>Medium</t>
        </is>
      </c>
      <c r="D933" s="3" t="inlineStr">
        <is>
          <t>Indication/coverage</t>
        </is>
      </c>
      <c r="E933" s="3" t="inlineStr"/>
      <c r="F933" s="3" t="inlineStr">
        <is>
          <t>Bag label: add post-exposure prophylaxis and ≥20 kg requirement</t>
        </is>
      </c>
      <c r="G933" s="3" t="inlineStr">
        <is>
          <t>治療成人及5歲以上兒童之A型及B型流感急性感染。</t>
        </is>
      </c>
      <c r="H933" s="3" t="inlineStr">
        <is>
          <t>The Taiwan insert also covers post-exposure prophylaxis, and both indications require ≥20 kg. The bag label leaves out PEP and the weight limit.</t>
        </is>
      </c>
      <c r="I933" s="3" t="inlineStr">
        <is>
          <t>Taiwan insert §2</t>
        </is>
      </c>
      <c r="J933" s="3" t="inlineStr">
        <is>
          <t>Open</t>
        </is>
      </c>
      <c r="K933" s="3" t="inlineStr"/>
    </row>
    <row r="934">
      <c r="A934" s="3" t="n">
        <v>984</v>
      </c>
      <c r="B934" s="3" t="inlineStr">
        <is>
          <t>Xofluza (Baloxavir) (XOF01)</t>
        </is>
      </c>
      <c r="C934" s="8" t="inlineStr">
        <is>
          <t>Medium</t>
        </is>
      </c>
      <c r="D934" s="3" t="inlineStr">
        <is>
          <t>Indication/coverage</t>
        </is>
      </c>
      <c r="E934" s="3" t="inlineStr"/>
      <c r="F934" s="3" t="inlineStr">
        <is>
          <t>Change to ≥5 yr and ≥20 kg for treatment and PEP; add PEP to bag label</t>
        </is>
      </c>
      <c r="G934" s="3" t="inlineStr">
        <is>
          <t>'&gt;5 y/o' for treatment and PEP. The bag label says 治療成人及5歲以上兒童之A型及B型流感急性感染 (treatment only).</t>
        </is>
      </c>
      <c r="H934" s="3" t="inlineStr">
        <is>
          <t>TW: 5 years and older AND ≥20 kg, for both treatment and PEP. The hospital text drops the ≥20 kg condition, and the bag label also drops PEP. Also, '&gt;5' (strictly greater) differs from the label's '≥5' (5歲以上).</t>
        </is>
      </c>
      <c r="I934" s="3" t="inlineStr">
        <is>
          <t>Taiwan insert §2 https://mcp.fda.gov.tw/im_detail_1/%E8%A1%9B%E9%83%A8%E8%97%A5%E8%BC%B8%E5%AD%97%E7%AC%AC027693%E8%99%9F</t>
        </is>
      </c>
      <c r="J934" s="3" t="inlineStr">
        <is>
          <t>Open</t>
        </is>
      </c>
      <c r="K934" s="3" t="inlineStr"/>
    </row>
    <row r="935">
      <c r="A935" s="3" t="n">
        <v>53</v>
      </c>
      <c r="B935" s="3" t="inlineStr">
        <is>
          <t>Zavicefta (Ceftazidime-Avibactam) (ZAV04)</t>
        </is>
      </c>
      <c r="C935" s="8" t="inlineStr">
        <is>
          <t>Medium</t>
        </is>
      </c>
      <c r="D935" s="3" t="inlineStr">
        <is>
          <t>Dosing – adult</t>
        </is>
      </c>
      <c r="E935" s="3" t="inlineStr"/>
      <c r="F935" s="3" t="inlineStr">
        <is>
          <t>Update durations: cIAI 5–14 days, HAP/VAP 7–14 days</t>
        </is>
      </c>
      <c r="G935" s="3" t="inlineStr">
        <is>
          <t>cIAI 4-5 days; HAP/VAP 7 days</t>
        </is>
      </c>
      <c r="H935" s="3" t="inlineStr">
        <is>
          <t>cIAI 5-14 days; HAP/VAP 7-14 days (US 2.1 Table 1, SmPC 4.2 Table 1, TW 表1)</t>
        </is>
      </c>
      <c r="I935" s="3" t="inlineStr">
        <is>
          <t>pharmacy.fjuh.fju.edu.tw ZAV04 (per source brief) vs https://mcp.fda.gov.tw/im_detail_1/%E8%A1%9B%E9%83%A8%E8%97%A5%E8%BC%B8%E5%AD%97%E7%AC%AC027705%E8%99%9F ; https://dailymed.nlm.nih.gov/dailymed/drugInfo.cfm?setid=d9c2803f-dc9c-4b19-b4a3-8303bc8c15fd</t>
        </is>
      </c>
      <c r="J935" s="3" t="inlineStr">
        <is>
          <t>Open</t>
        </is>
      </c>
      <c r="K935" s="3" t="inlineStr"/>
    </row>
    <row r="936">
      <c r="A936" s="3" t="n">
        <v>62</v>
      </c>
      <c r="B936" s="3" t="inlineStr">
        <is>
          <t>Zavicefta (Ceftazidime-Avibactam) (ZAV04)</t>
        </is>
      </c>
      <c r="C936" s="8" t="inlineStr">
        <is>
          <t>Medium</t>
        </is>
      </c>
      <c r="D936" s="3" t="inlineStr">
        <is>
          <t>Dosing – adult</t>
        </is>
      </c>
      <c r="E936" s="3" t="inlineStr"/>
      <c r="F936" s="3" t="inlineStr">
        <is>
          <t>Correct durations: cIAI 5–14 d, HAP/VAP 7–14 d, cUTI per label</t>
        </is>
      </c>
      <c r="G936" s="3" t="inlineStr">
        <is>
          <t>cIAI: 2.5 g q8h + metronidazole for 4-5 days; HAP/VAP: 2.5 g q8h for 7 days</t>
        </is>
      </c>
      <c r="H936" s="3" t="inlineStr">
        <is>
          <t>cIAI 5–14 days; HAP/VAP 7–14 days (cUTI 5–14 d Taiwan / 7–14 d US / 5–10 d UK)</t>
        </is>
      </c>
      <c r="I936" s="3" t="inlineStr">
        <is>
          <t>Taiwan 仿單 §3.1 表1; US AVYCAZ §2.1 Table 1; UK SmPC §4.2 Table 1</t>
        </is>
      </c>
      <c r="J936" s="3" t="inlineStr">
        <is>
          <t>Open</t>
        </is>
      </c>
      <c r="K936" s="3" t="inlineStr"/>
    </row>
    <row r="937">
      <c r="A937" s="3" t="n">
        <v>54</v>
      </c>
      <c r="B937" s="3" t="inlineStr">
        <is>
          <t>Zavicefta (Ceftazidime-Avibactam) (ZAV04)</t>
        </is>
      </c>
      <c r="C937" s="8" t="inlineStr">
        <is>
          <t>Medium</t>
        </is>
      </c>
      <c r="D937" s="3" t="inlineStr">
        <is>
          <t>Dosing – pediatric</t>
        </is>
      </c>
      <c r="E937" s="3" t="inlineStr"/>
      <c r="F937" s="3" t="inlineStr">
        <is>
          <t>Extend pediatric dosing from birth (TW/UK) or GA ≥31 wk (US), including HAP/VAP</t>
        </is>
      </c>
      <c r="G937" s="3" t="inlineStr">
        <is>
          <t>Paediatric dosing starts at 3 months; HAP/VAP only for ≥18 years</t>
        </is>
      </c>
      <c r="H937" s="3" t="inlineStr">
        <is>
          <t>Dosing from birth (TW 表3/SmPC Table 3, including preterm infants by PMA) or from GA ≥31 weeks (US Table 2). HAP/VAP is approved in children (US 1.3; HABP/VABP dosing for 3 months to &lt;18 years and younger; TW/SmPC HAP/VAP from birth).</t>
        </is>
      </c>
      <c r="I937" s="3" t="inlineStr">
        <is>
          <t>pharmacy.fjuh.fju.edu.tw ZAV04 vs US 2.2 Table 2 https://dailymed.nlm.nih.gov/dailymed/drugInfo.cfm?setid=d9c2803f-dc9c-4b19-b4a3-8303bc8c15fd ; TW 3.1 表2/表3</t>
        </is>
      </c>
      <c r="J937" s="3" t="inlineStr">
        <is>
          <t>Open</t>
        </is>
      </c>
      <c r="K937" s="3" t="inlineStr"/>
    </row>
    <row r="938">
      <c r="A938" s="3" t="n">
        <v>61</v>
      </c>
      <c r="B938" s="3" t="inlineStr">
        <is>
          <t>Zavicefta (Ceftazidime-Avibactam) (ZAV04)</t>
        </is>
      </c>
      <c r="C938" s="8" t="inlineStr">
        <is>
          <t>Medium</t>
        </is>
      </c>
      <c r="D938" s="3" t="inlineStr">
        <is>
          <t>Dosing – pediatric</t>
        </is>
      </c>
      <c r="E938" s="3" t="inlineStr"/>
      <c r="F938" s="3" t="inlineStr">
        <is>
          <t>Add TW pediatric renal dosing for 3 months to &lt;2 years (CrCl 16–50)</t>
        </is>
      </c>
      <c r="G938" s="3" t="inlineStr">
        <is>
          <t>Follows the US label (no renal dosing &lt;2 years)</t>
        </is>
      </c>
      <c r="H938" s="3" t="inlineStr">
        <is>
          <t>The stocked product's TW insert 表10 gives renal dosing for 3 months to &lt;2 years with CrCl 16-50 mL/min/1.73 m² (e.g. 6m-&lt;2y: 25 mg/kg q8h for 31-50, 18.75 mg/kg q12h for 16-30)</t>
        </is>
      </c>
      <c r="I938" s="3" t="inlineStr">
        <is>
          <t>TW 3.1 表10; SmPC 4.2 Table 6 https://www.medicines.org.uk/emc/product/2465/smpc</t>
        </is>
      </c>
      <c r="J938" s="3" t="inlineStr">
        <is>
          <t>Open</t>
        </is>
      </c>
      <c r="K938" s="3" t="inlineStr"/>
    </row>
    <row r="939">
      <c r="A939" s="3" t="n">
        <v>63</v>
      </c>
      <c r="B939" s="3" t="inlineStr">
        <is>
          <t>Zavicefta (Ceftazidime-Avibactam) (ZAV04)</t>
        </is>
      </c>
      <c r="C939" s="8" t="inlineStr">
        <is>
          <t>Medium</t>
        </is>
      </c>
      <c r="D939" s="3" t="inlineStr">
        <is>
          <t>Dosing – pediatric</t>
        </is>
      </c>
      <c r="E939" s="3" t="inlineStr"/>
      <c r="F939" s="3" t="inlineStr">
        <is>
          <t>Add neonatal/infant dosing and pediatric HAP/VAP; remove '≥18 years' from pediatric section</t>
        </is>
      </c>
      <c r="G939" s="3" t="inlineStr">
        <is>
          <t>cIAI/cUTI in pediatric patients ≥3 months; HAP/VAP 'In adult patients'; pediatric HAP/VAP 'Adolescents ≥18 years: 2,000 mg q8h'</t>
        </is>
      </c>
      <c r="H939" s="3" t="inlineStr">
        <is>
          <t>All three indications from birth (Taiwan/UK; 26 wk PMA onward with neonatal dosing) or from ≥31 weeks GA (US), including HAP/VAP. Neonatal and infant dosing: 30/7.5 or 20/5 mg/kg q8h (q12h at 26–&lt;31 wk PMA). '≥18 years' is not a pediatric group.</t>
        </is>
      </c>
      <c r="I939" s="3" t="inlineStr">
        <is>
          <t>Taiwan 仿單 §2, §3.1 表2–3; US AVYCAZ §1.3, §2.2 Table 2, §8.4; UK SmPC §4.1–4.2</t>
        </is>
      </c>
      <c r="J939" s="3" t="inlineStr">
        <is>
          <t>Open</t>
        </is>
      </c>
      <c r="K939" s="3" t="inlineStr"/>
    </row>
    <row r="940">
      <c r="A940" s="3" t="n">
        <v>57</v>
      </c>
      <c r="B940" s="3" t="inlineStr">
        <is>
          <t>Zavicefta (Ceftazidime-Avibactam) (ZAV04)</t>
        </is>
      </c>
      <c r="C940" s="8" t="inlineStr">
        <is>
          <t>Medium</t>
        </is>
      </c>
      <c r="D940" s="3" t="inlineStr">
        <is>
          <t>Dosing – renal/dialysis</t>
        </is>
      </c>
      <c r="E940" s="3" t="inlineStr"/>
      <c r="F940" s="3" t="inlineStr">
        <is>
          <t>Label CRRT 1.25 g q8h as off-label and cite literature</t>
        </is>
      </c>
      <c r="G940" s="3" t="inlineStr">
        <is>
          <t>1.25 g q8h (no source)</t>
        </is>
      </c>
      <c r="H940" s="3" t="inlineStr">
        <is>
          <t>No label gives CRRT dosing. Literature: 1.25-2.5 g q8h used in CVVHDF (PMID 39581557); 2.5 g q8h risks excess exposure on CRRT (PMID 41432444). Should be labelled off-label and cited.</t>
        </is>
      </c>
      <c r="I940" s="3" t="inlineStr">
        <is>
          <t>https://pubmed.ncbi.nlm.nih.gov/39581557/ ; https://pubmed.ncbi.nlm.nih.gov/41432444/</t>
        </is>
      </c>
      <c r="J940" s="3" t="inlineStr">
        <is>
          <t>Open</t>
        </is>
      </c>
      <c r="K940" s="3" t="inlineStr"/>
    </row>
    <row r="941">
      <c r="A941" s="3" t="n">
        <v>66</v>
      </c>
      <c r="B941" s="3" t="inlineStr">
        <is>
          <t>Zavicefta (Ceftazidime-Avibactam) (ZAV04)</t>
        </is>
      </c>
      <c r="C941" s="8" t="inlineStr">
        <is>
          <t>Medium</t>
        </is>
      </c>
      <c r="D941" s="3" t="inlineStr">
        <is>
          <t>Dosing – renal/dialysis</t>
        </is>
      </c>
      <c r="E941" s="3" t="inlineStr"/>
      <c r="F941" s="3" t="inlineStr">
        <is>
          <t>Mark CRRT dose as off-label and add PK literature citations</t>
        </is>
      </c>
      <c r="G941" s="3" t="inlineStr">
        <is>
          <t>CRRT: 1.25 g every 8 hours (no reference)</t>
        </is>
      </c>
      <c r="H941" s="3" t="inlineStr">
        <is>
          <t>No label CRRT recommendation. Published PK data support 1.25–2.5 g q8h depending on modality and effluent rate (PMID 28416553, 39581557); 2.5 g q8h may cause excessive exposure (PMID 41432444). A citation is needed.</t>
        </is>
      </c>
      <c r="I941" s="3" t="inlineStr">
        <is>
          <t>US AVYCAZ §2.3; PubMed PMIDs 28416553, 39581557, 41432444</t>
        </is>
      </c>
      <c r="J941" s="3" t="inlineStr">
        <is>
          <t>Open</t>
        </is>
      </c>
      <c r="K941" s="3" t="inlineStr"/>
    </row>
    <row r="942">
      <c r="A942" s="3" t="n">
        <v>60</v>
      </c>
      <c r="B942" s="3" t="inlineStr">
        <is>
          <t>Zavicefta (Ceftazidime-Avibactam) (ZAV04)</t>
        </is>
      </c>
      <c r="C942" s="8" t="inlineStr">
        <is>
          <t>Medium</t>
        </is>
      </c>
      <c r="D942" s="3" t="inlineStr">
        <is>
          <t>Indication/coverage</t>
        </is>
      </c>
      <c r="E942" s="3" t="inlineStr"/>
      <c r="F942" s="3" t="inlineStr">
        <is>
          <t>Add bacteraemia associated with approved infections (TW/UK) and UK limited-options indication</t>
        </is>
      </c>
      <c r="G942" s="3" t="inlineStr">
        <is>
          <t>cIAI, cUTI, HAP/VAP only (from US label)</t>
        </is>
      </c>
      <c r="H942" s="3" t="inlineStr">
        <is>
          <t>TW/UK also approve adult bacteraemia linked to these infections; UK also approves aerobic Gram-negative infections with limited treatment options (not in TW)</t>
        </is>
      </c>
      <c r="I942" s="3" t="inlineStr">
        <is>
          <t>TW 2 適應症; SmPC 4.1 https://www.medicines.org.uk/emc/product/2465/smpc</t>
        </is>
      </c>
      <c r="J942" s="3" t="inlineStr">
        <is>
          <t>Open</t>
        </is>
      </c>
      <c r="K942" s="3" t="inlineStr"/>
    </row>
    <row r="943">
      <c r="A943" s="3" t="n">
        <v>68</v>
      </c>
      <c r="B943" s="3" t="inlineStr">
        <is>
          <t>Zavicefta (Ceftazidime-Avibactam) (ZAV04)</t>
        </is>
      </c>
      <c r="C943" s="8" t="inlineStr">
        <is>
          <t>Medium</t>
        </is>
      </c>
      <c r="D943" s="3" t="inlineStr">
        <is>
          <t>Indication/coverage</t>
        </is>
      </c>
      <c r="E943" s="3" t="inlineStr"/>
      <c r="F943" s="3" t="inlineStr">
        <is>
          <t>Add adult bacteraemia indication (TW/UK)</t>
        </is>
      </c>
      <c r="G943" s="3" t="inlineStr">
        <is>
          <t>Only cIAI, cUTI, HAP/VAP (US-label wording)</t>
        </is>
      </c>
      <c r="H943" s="3" t="inlineStr">
        <is>
          <t>Also: adult bacteraemia associated with, or suspected to be associated with, these infections. The UK SmPC additionally lists aerobic Gram-negative infections with limited treatment options.</t>
        </is>
      </c>
      <c r="I943" s="3" t="inlineStr">
        <is>
          <t>Taiwan 仿單 §2; UK SmPC §4.1</t>
        </is>
      </c>
      <c r="J943" s="3" t="inlineStr">
        <is>
          <t>Open</t>
        </is>
      </c>
      <c r="K943" s="3" t="inlineStr"/>
    </row>
    <row r="944">
      <c r="A944" s="3" t="n">
        <v>69</v>
      </c>
      <c r="B944" s="3" t="inlineStr">
        <is>
          <t>Zavicefta (Ceftazidime-Avibactam) (ZAV04)</t>
        </is>
      </c>
      <c r="C944" s="8" t="inlineStr">
        <is>
          <t>Medium</t>
        </is>
      </c>
      <c r="D944" s="3" t="inlineStr">
        <is>
          <t>Pregnancy</t>
        </is>
      </c>
      <c r="E944" s="3" t="inlineStr"/>
      <c r="F944" s="3" t="inlineStr">
        <is>
          <t>Correct: avibactam showed fetal effects in rabbits/rats; not teratogenic; use only if benefit outweighs risk</t>
        </is>
      </c>
      <c r="G944" s="3" t="inlineStr">
        <is>
          <t>Adverse events have not been observed in animal reproduction studies conducted with ceftazidime and avibactam.</t>
        </is>
      </c>
      <c r="H944" s="3" t="inlineStr">
        <is>
          <t>Avibactam showed reproductive toxicity in animals: in rabbits at ≥300 mg/kg/day, increased post-implantation loss, lower fetal weight and delayed ossification; in rats, renal pelvic/ureter dilatation in pups. It is not teratogenic. Use only if benefit outweighs risk.</t>
        </is>
      </c>
      <c r="I944" s="3" t="inlineStr">
        <is>
          <t>US AVYCAZ §8.1 Animal Data; UK SmPC §4.6; Taiwan 仿單 §6.1, §10.3</t>
        </is>
      </c>
      <c r="J944" s="3" t="inlineStr">
        <is>
          <t>Open</t>
        </is>
      </c>
      <c r="K944" s="3" t="inlineStr"/>
    </row>
    <row r="945">
      <c r="A945" s="3" t="n">
        <v>165</v>
      </c>
      <c r="B945" s="3" t="inlineStr">
        <is>
          <t>Zerbaxa (Ceftolozane-tazobactam) (ZER01)</t>
        </is>
      </c>
      <c r="C945" s="8" t="inlineStr">
        <is>
          <t>Medium</t>
        </is>
      </c>
      <c r="D945" s="3" t="inlineStr">
        <is>
          <t>Adverse effects</t>
        </is>
      </c>
      <c r="E945" s="3" t="inlineStr"/>
      <c r="F945" s="3" t="inlineStr">
        <is>
          <t>Correct &gt;10% ADR list: nausea, diarrhoea, headache, pyrexia; transaminases, renal impairment in HABP/VABP</t>
        </is>
      </c>
      <c r="G945" s="3" t="inlineStr">
        <is>
          <t>&gt;10%: Coombs-positive, thrombocythemia, transaminases, fever</t>
        </is>
      </c>
      <c r="H945" s="3" t="inlineStr">
        <is>
          <t>The most common reactions are nausea, diarrhea, headache and pyrexia (≥5%, cIAI/cUTI) and increased transaminases (11.9%), renal impairment/failure (8.9%) and diarrhea in HABP/VABP. Thrombocytosis was 1.9% in cIAI. Coombs seroconversion was 31.2% only in the HABP/VABP trial and 0.2% in cIAI/cUTI. Fever was 5.6% in cIAI.</t>
        </is>
      </c>
      <c r="I945" s="3" t="inlineStr">
        <is>
          <t>US label §6.1 Tables 7–8; UK SmPC §4.8</t>
        </is>
      </c>
      <c r="J945" s="3" t="inlineStr">
        <is>
          <t>Open</t>
        </is>
      </c>
      <c r="K945" s="3" t="inlineStr"/>
    </row>
    <row r="946">
      <c r="A946" s="3" t="n">
        <v>175</v>
      </c>
      <c r="B946" s="3" t="inlineStr">
        <is>
          <t>Zerbaxa (Ceftolozane-tazobactam) (ZER01)</t>
        </is>
      </c>
      <c r="C946" s="8" t="inlineStr">
        <is>
          <t>Medium</t>
        </is>
      </c>
      <c r="D946" s="3" t="inlineStr">
        <is>
          <t>Adverse effects</t>
        </is>
      </c>
      <c r="E946" s="3" t="inlineStr"/>
      <c r="F946" s="3" t="inlineStr">
        <is>
          <t>Rewrite &gt;10% ADRs: adult common reactions; move pediatric/Coombs rates to proper context</t>
        </is>
      </c>
      <c r="G946" s="3" t="inlineStr">
        <is>
          <t>&gt;10%: abdominal pain, diarrhea, positive direct Coombs test, thrombocythemia, increased serum transaminases, fever</t>
        </is>
      </c>
      <c r="H946" s="3" t="inlineStr">
        <is>
          <t>In adults, the most common reactions in cIAI/cUTI (≥5%) are nausea, diarrhoea, headache and pyrexia, and in HABP/VABP (≥5%) transaminase increase (11.9%), renal impairment/failure (8.9%) and diarrhoea. Rates above 10% occur only in the pediatric cIAI trial (thrombocytosis 16%, diarrhoea 17%, abdominal pain 11%, pyrexia 13%) and as Coombs seroconversion (31.2% in HABP, no haemolysis). The hospital list mixes populations without saying so, and omits renal impairment/failure.</t>
        </is>
      </c>
      <c r="I946" s="3" t="inlineStr">
        <is>
          <t>US FDA label §6.1 Tables 7–9 and Laboratory Values; Taiwan insert §6.1</t>
        </is>
      </c>
      <c r="J946" s="3" t="inlineStr">
        <is>
          <t>Open</t>
        </is>
      </c>
      <c r="K946" s="3" t="inlineStr"/>
    </row>
    <row r="947">
      <c r="A947" s="3" t="n">
        <v>177</v>
      </c>
      <c r="B947" s="3" t="inlineStr">
        <is>
          <t>Zerbaxa (Ceftolozane-tazobactam) (ZER01)</t>
        </is>
      </c>
      <c r="C947" s="8" t="inlineStr">
        <is>
          <t>Medium</t>
        </is>
      </c>
      <c r="D947" s="3" t="inlineStr">
        <is>
          <t>Breastfeeding</t>
        </is>
      </c>
      <c r="E947" s="3" t="inlineStr">
        <is>
          <t>LactMed outdated</t>
        </is>
      </c>
      <c r="F947" s="3" t="inlineStr">
        <is>
          <t>Add LactMed conclusion: acceptable in nursing mothers</t>
        </is>
      </c>
      <c r="G947" s="3" t="inlineStr">
        <is>
          <t>It is not known if ceftolozane or tazobactam are present in breast milk.</t>
        </is>
      </c>
      <c r="H947" s="3" t="inlineStr">
        <is>
          <t>Accurate but incomplete. LactMed concludes 'Ceftolozane-tazobactam is acceptable in nursing mothers'.</t>
        </is>
      </c>
      <c r="I947" s="3" t="inlineStr">
        <is>
          <t>LactMed NBK500769 — https://www.ncbi.nlm.nih.gov/books/NBK500769/</t>
        </is>
      </c>
      <c r="J947" s="3" t="inlineStr">
        <is>
          <t>Open</t>
        </is>
      </c>
      <c r="K947" s="3" t="inlineStr"/>
    </row>
    <row r="948">
      <c r="A948" s="3" t="n">
        <v>160</v>
      </c>
      <c r="B948" s="3" t="inlineStr">
        <is>
          <t>Zerbaxa (Ceftolozane-tazobactam) (ZER01)</t>
        </is>
      </c>
      <c r="C948" s="8" t="inlineStr">
        <is>
          <t>Medium</t>
        </is>
      </c>
      <c r="D948" s="3" t="inlineStr">
        <is>
          <t>Dosing – adult</t>
        </is>
      </c>
      <c r="E948" s="3" t="inlineStr"/>
      <c r="F948" s="3" t="inlineStr">
        <is>
          <t>HAP/VAP duration: 8–14 days per label</t>
        </is>
      </c>
      <c r="G948" s="3" t="inlineStr">
        <is>
          <t>7 days</t>
        </is>
      </c>
      <c r="H948" s="3" t="inlineStr">
        <is>
          <t>8–14 days</t>
        </is>
      </c>
      <c r="I948" s="3" t="inlineStr">
        <is>
          <t>US label §2.1 Table 1; UK SmPC §4.2 Table 1; Taiwan insert 表1</t>
        </is>
      </c>
      <c r="J948" s="3" t="inlineStr">
        <is>
          <t>Open</t>
        </is>
      </c>
      <c r="K948" s="3" t="inlineStr"/>
    </row>
    <row r="949">
      <c r="A949" s="3" t="n">
        <v>161</v>
      </c>
      <c r="B949" s="3" t="inlineStr">
        <is>
          <t>Zerbaxa (Ceftolozane-tazobactam) (ZER01)</t>
        </is>
      </c>
      <c r="C949" s="8" t="inlineStr">
        <is>
          <t>Medium</t>
        </is>
      </c>
      <c r="D949" s="3" t="inlineStr">
        <is>
          <t>Dosing – adult</t>
        </is>
      </c>
      <c r="E949" s="3" t="inlineStr"/>
      <c r="F949" s="3" t="inlineStr">
        <is>
          <t>Adult cUTI duration: 7 days (7–14 days is pediatric only)</t>
        </is>
      </c>
      <c r="G949" s="3" t="inlineStr">
        <is>
          <t>5–14 days</t>
        </is>
      </c>
      <c r="H949" s="3" t="inlineStr">
        <is>
          <t>7 days for adults (the US label's 7–14 days applies only to pediatric cUTI)</t>
        </is>
      </c>
      <c r="I949" s="3" t="inlineStr">
        <is>
          <t>US label §2.1/§2.2; Taiwan insert 表1; UK SmPC §4.2 Table 1</t>
        </is>
      </c>
      <c r="J949" s="3" t="inlineStr">
        <is>
          <t>Open</t>
        </is>
      </c>
      <c r="K949" s="3" t="inlineStr"/>
    </row>
    <row r="950">
      <c r="A950" s="3" t="n">
        <v>162</v>
      </c>
      <c r="B950" s="3" t="inlineStr">
        <is>
          <t>Zerbaxa (Ceftolozane-tazobactam) (ZER01)</t>
        </is>
      </c>
      <c r="C950" s="8" t="inlineStr">
        <is>
          <t>Medium</t>
        </is>
      </c>
      <c r="D950" s="3" t="inlineStr">
        <is>
          <t>Dosing – adult</t>
        </is>
      </c>
      <c r="E950" s="3" t="inlineStr"/>
      <c r="F950" s="3" t="inlineStr">
        <is>
          <t>Remove generic 'serious infections' dose; dose by indication (1.5 g cIAI/cUTI, 3 g HABP/VABP)</t>
        </is>
      </c>
      <c r="G950" s="3" t="inlineStr">
        <is>
          <t>Serious infections: 1.5–3 g q8h</t>
        </is>
      </c>
      <c r="H950" s="3" t="inlineStr">
        <is>
          <t>No label has a generic 'serious infections' indication. Doses are set by indication: 1.5 g for cIAI/cUTI, 3 g for HABP/VABP.</t>
        </is>
      </c>
      <c r="I950" s="3" t="inlineStr">
        <is>
          <t>US label §1, §2.1; UK SmPC §4.1–4.2; Taiwan insert §1–2</t>
        </is>
      </c>
      <c r="J950" s="3" t="inlineStr">
        <is>
          <t>Open</t>
        </is>
      </c>
      <c r="K950" s="3" t="inlineStr"/>
    </row>
    <row r="951">
      <c r="A951" s="3" t="n">
        <v>170</v>
      </c>
      <c r="B951" s="3" t="inlineStr">
        <is>
          <t>Zerbaxa (Ceftolozane-tazobactam) (ZER01)</t>
        </is>
      </c>
      <c r="C951" s="8" t="inlineStr">
        <is>
          <t>Medium</t>
        </is>
      </c>
      <c r="D951" s="3" t="inlineStr">
        <is>
          <t>Dosing – adult</t>
        </is>
      </c>
      <c r="E951" s="3" t="inlineStr"/>
      <c r="F951" s="3" t="inlineStr">
        <is>
          <t>HAP/VAP: 3 g q8h for 8–14 days</t>
        </is>
      </c>
      <c r="G951" s="3" t="inlineStr">
        <is>
          <t>3 g q8h for 7 days</t>
        </is>
      </c>
      <c r="H951" s="3" t="inlineStr">
        <is>
          <t>3 g q8h for 8–14 days</t>
        </is>
      </c>
      <c r="I951" s="3" t="inlineStr">
        <is>
          <t>Taiwan insert §2.1 表1; US §2.1 Table 1; UK §4.2 Table 1</t>
        </is>
      </c>
      <c r="J951" s="3" t="inlineStr">
        <is>
          <t>Open</t>
        </is>
      </c>
      <c r="K951" s="3" t="inlineStr"/>
    </row>
    <row r="952">
      <c r="A952" s="3" t="n">
        <v>171</v>
      </c>
      <c r="B952" s="3" t="inlineStr">
        <is>
          <t>Zerbaxa (Ceftolozane-tazobactam) (ZER01)</t>
        </is>
      </c>
      <c r="C952" s="8" t="inlineStr">
        <is>
          <t>Medium</t>
        </is>
      </c>
      <c r="D952" s="3" t="inlineStr">
        <is>
          <t>Dosing – adult</t>
        </is>
      </c>
      <c r="E952" s="3" t="inlineStr"/>
      <c r="F952" s="3" t="inlineStr">
        <is>
          <t>Adult cUTI: 1.5 g q8h for 7 days</t>
        </is>
      </c>
      <c r="G952" s="3" t="inlineStr">
        <is>
          <t>1.5 g q8h for 5 to 14 days</t>
        </is>
      </c>
      <c r="H952" s="3" t="inlineStr">
        <is>
          <t>1.5 g q8h for 7 days (adults, all labels). 7–14 days applies only to pediatric patients.</t>
        </is>
      </c>
      <c r="I952" s="3" t="inlineStr">
        <is>
          <t>Taiwan insert 表1; US §2.1 Table 1 and §2.2 Table 2; UK §4.2 Tables 1–2</t>
        </is>
      </c>
      <c r="J952" s="3" t="inlineStr">
        <is>
          <t>Open</t>
        </is>
      </c>
      <c r="K952" s="3" t="inlineStr"/>
    </row>
    <row r="953">
      <c r="A953" s="3" t="n">
        <v>172</v>
      </c>
      <c r="B953" s="3" t="inlineStr">
        <is>
          <t>Zerbaxa (Ceftolozane-tazobactam) (ZER01)</t>
        </is>
      </c>
      <c r="C953" s="8" t="inlineStr">
        <is>
          <t>Medium</t>
        </is>
      </c>
      <c r="D953" s="3" t="inlineStr">
        <is>
          <t>Dosing – adult</t>
        </is>
      </c>
      <c r="E953" s="3" t="inlineStr"/>
      <c r="F953" s="3" t="inlineStr">
        <is>
          <t>Remove 'serious infections'; if kept, label 3 g q8h as off-label IDSA guidance</t>
        </is>
      </c>
      <c r="G953" s="3" t="inlineStr">
        <is>
          <t>1.5 to 3 g q8h; 3 g q8h for pulmonary infections</t>
        </is>
      </c>
      <c r="H953" s="3" t="inlineStr">
        <is>
          <t>No label has a 'serious infections' indication or dose. The nearest guideline is IDSA 2026: 3 g q8h over 3 h for all non-uUTI resistant infections (off-label).</t>
        </is>
      </c>
      <c r="I953" s="3" t="inlineStr">
        <is>
          <t>US label §1–2; Taiwan insert §1–2; IDSA 2026 Table 1 — https://www.idsociety.org/globalassets/idsa/practice-guidelines/amr-guidance/5.0/table-1.pdf</t>
        </is>
      </c>
      <c r="J953" s="3" t="inlineStr">
        <is>
          <t>Open</t>
        </is>
      </c>
      <c r="K953" s="3" t="inlineStr"/>
    </row>
    <row r="954">
      <c r="A954" s="3" t="n">
        <v>176</v>
      </c>
      <c r="B954" s="3" t="inlineStr">
        <is>
          <t>Zerbaxa (Ceftolozane-tazobactam) (ZER01)</t>
        </is>
      </c>
      <c r="C954" s="8" t="inlineStr">
        <is>
          <t>Medium</t>
        </is>
      </c>
      <c r="D954" s="3" t="inlineStr">
        <is>
          <t>Dosing – pediatric</t>
        </is>
      </c>
      <c r="E954" s="3" t="inlineStr"/>
      <c r="F954" s="3" t="inlineStr">
        <is>
          <t>Fill pediatric doses (30 mg/kg cIAI/cUTI; 60–75 mg/kg HABP/VABP) marked off-label in TW</t>
        </is>
      </c>
      <c r="G954" s="3" t="inlineStr">
        <is>
          <t>Headings only ('Intra-abdominal infection:' / 'Urinary tract infection, complicated:') with no doses</t>
        </is>
      </c>
      <c r="H954" s="3" t="inlineStr">
        <is>
          <t>US: 30 mg/kg (max 1.5 g) q8h for cIAI/cUTI, and 60–75 mg/kg (max 3 g) q8h over 2 h for HABP/VABP. The Taiwan insert approves adults 18 and older only, so pediatric use is off-label in Taiwan.</t>
        </is>
      </c>
      <c r="I954" s="3" t="inlineStr">
        <is>
          <t>US FDA label §2.2 Table 2; Taiwan insert §1 and §8.4</t>
        </is>
      </c>
      <c r="J954" s="3" t="inlineStr">
        <is>
          <t>Open</t>
        </is>
      </c>
      <c r="K954" s="3" t="inlineStr"/>
    </row>
    <row r="955">
      <c r="A955" s="3" t="n">
        <v>158</v>
      </c>
      <c r="B955" s="3" t="inlineStr">
        <is>
          <t>Zerbaxa (Ceftolozane-tazobactam) (ZER01)</t>
        </is>
      </c>
      <c r="C955" s="8" t="inlineStr">
        <is>
          <t>Medium</t>
        </is>
      </c>
      <c r="D955" s="3" t="inlineStr">
        <is>
          <t>Pharmacokinetics/other</t>
        </is>
      </c>
      <c r="E955" s="3" t="inlineStr"/>
      <c r="F955" s="3" t="inlineStr">
        <is>
          <t>Change drug class from Penicillins to cephalosporin/β-lactamase inhibitor</t>
        </is>
      </c>
      <c r="G955" s="3" t="inlineStr">
        <is>
          <t>Penicillins</t>
        </is>
      </c>
      <c r="H955" s="3" t="inlineStr">
        <is>
          <t>A cephalosporin plus a beta-lactamase inhibitor: 'ceftolozane, a cephalosporin antibacterial, and tazobactam, a beta-lactamase inhibitor'. ATC J01DI54, 'other cephalosporins and penems'.</t>
        </is>
      </c>
      <c r="I955" s="3" t="inlineStr">
        <is>
          <t>US FDA label §1 – https://dailymed.nlm.nih.gov/dailymed/drugInfo.cfm?setid=70ac1d90-eff3-4f0b-9f46-5846c571b32f ; UK SmPC §5.1 – https://www.medicines.org.uk/emc/product/5009/smpc</t>
        </is>
      </c>
      <c r="J955" s="3" t="inlineStr">
        <is>
          <t>Open</t>
        </is>
      </c>
      <c r="K955" s="3" t="inlineStr"/>
    </row>
    <row r="956">
      <c r="A956" s="3" t="n">
        <v>168</v>
      </c>
      <c r="B956" s="3" t="inlineStr">
        <is>
          <t>Zerbaxa (Ceftolozane-tazobactam) (ZER01)</t>
        </is>
      </c>
      <c r="C956" s="8" t="inlineStr">
        <is>
          <t>Medium</t>
        </is>
      </c>
      <c r="D956" s="3" t="inlineStr">
        <is>
          <t>Pharmacokinetics/other</t>
        </is>
      </c>
      <c r="E956" s="3" t="inlineStr"/>
      <c r="F956" s="3" t="inlineStr">
        <is>
          <t>Change 藥理分類 from Penicillins to cephalosporin/β-lactamase inhibitor</t>
        </is>
      </c>
      <c r="G956" s="3" t="inlineStr">
        <is>
          <t>Penicillins</t>
        </is>
      </c>
      <c r="H956" s="3" t="inlineStr">
        <is>
          <t>A cephalosporin with a β-lactamase inhibitor, ATC J01DI54 ('other cephalosporins and penems'). The hospital's own 藥理 field even says 'Cephalosporin Combination'.</t>
        </is>
      </c>
      <c r="I956" s="3" t="inlineStr">
        <is>
          <t>US FDA label §1; UK SmPC §5.1 — https://www.medicines.org.uk/emc/product/5009/smpc</t>
        </is>
      </c>
      <c r="J956" s="3" t="inlineStr">
        <is>
          <t>Open</t>
        </is>
      </c>
      <c r="K956" s="3" t="inlineStr"/>
    </row>
    <row r="957">
      <c r="A957" s="3" t="n">
        <v>90</v>
      </c>
      <c r="B957" s="3" t="inlineStr">
        <is>
          <t>Zinforo (Ceftaroline) (ZIN04)</t>
        </is>
      </c>
      <c r="C957" s="8" t="inlineStr">
        <is>
          <t>Medium</t>
        </is>
      </c>
      <c r="D957" s="3" t="inlineStr">
        <is>
          <t>Adverse effects</t>
        </is>
      </c>
      <c r="E957" s="3" t="inlineStr"/>
      <c r="F957" s="3" t="inlineStr">
        <is>
          <t>Add very common positive direct Coombs test; evaluate anaemia for haemolysis</t>
        </is>
      </c>
      <c r="G957" s="3" t="inlineStr">
        <is>
          <t>No mention of a positive direct Coombs test</t>
        </is>
      </c>
      <c r="H957" s="3" t="inlineStr">
        <is>
          <t>Very common: positive direct Coombs test (DAGT seroconversion 11.2% at standard dose, 32.3% at high dose); investigate anaemia for haemolysis</t>
        </is>
      </c>
      <c r="I957" s="3" t="inlineStr">
        <is>
          <t>Taiwan insert 5.1, 8.2 表3 — https://mcp.fda.gov.tw/im_detail_1/%E8%A1%9B%E9%83%A8%E8%97%A5%E8%BC%B8%E5%AD%97%E7%AC%AC026611%E8%99%9F</t>
        </is>
      </c>
      <c r="J957" s="3" t="inlineStr">
        <is>
          <t>Open</t>
        </is>
      </c>
      <c r="K957" s="3" t="inlineStr"/>
    </row>
    <row r="958">
      <c r="A958" s="3" t="n">
        <v>102</v>
      </c>
      <c r="B958" s="3" t="inlineStr">
        <is>
          <t>Zinforo (Ceftaroline) (ZIN04)</t>
        </is>
      </c>
      <c r="C958" s="8" t="inlineStr">
        <is>
          <t>Medium</t>
        </is>
      </c>
      <c r="D958" s="3" t="inlineStr">
        <is>
          <t>Adverse effects</t>
        </is>
      </c>
      <c r="E958" s="3" t="inlineStr"/>
      <c r="F958" s="3" t="inlineStr">
        <is>
          <t>Add positive direct Coombs test (very common); check for haemolytic anaemia</t>
        </is>
      </c>
      <c r="G958" s="3" t="inlineStr">
        <is>
          <t>No mention of direct Coombs test</t>
        </is>
      </c>
      <c r="H958" s="3" t="inlineStr">
        <is>
          <t>Positive direct Coombs test = very common (11.2% standard, 32.3% high dose); evaluate for haemolytic anaemia if anaemia develops</t>
        </is>
      </c>
      <c r="I958" s="3" t="inlineStr">
        <is>
          <t>Taiwan insert 5.1 &amp; 表3</t>
        </is>
      </c>
      <c r="J958" s="3" t="inlineStr">
        <is>
          <t>Open</t>
        </is>
      </c>
      <c r="K958" s="3" t="inlineStr"/>
    </row>
    <row r="959">
      <c r="A959" s="3" t="n">
        <v>92</v>
      </c>
      <c r="B959" s="3" t="inlineStr">
        <is>
          <t>Zinforo (Ceftaroline) (ZIN04)</t>
        </is>
      </c>
      <c r="C959" s="8" t="inlineStr">
        <is>
          <t>Medium</t>
        </is>
      </c>
      <c r="D959" s="3" t="inlineStr">
        <is>
          <t>Breastfeeding</t>
        </is>
      </c>
      <c r="E959" s="3" t="inlineStr"/>
      <c r="F959" s="3" t="inlineStr">
        <is>
          <t>Update lactation per TW insert: pause breastfeeding; remove old US 'caution' wording</t>
        </is>
      </c>
      <c r="G959" s="3" t="inlineStr">
        <is>
          <t>It is not known if ceftaroline is excreted in breast milk; the manufacturer recommends caution (old US wording)</t>
        </is>
      </c>
      <c r="H959" s="3" t="inlineStr">
        <is>
          <t>Taiwan insert: use only when there is clear clinical benefit; 建議暫停哺乳 (pausing breastfeeding is recommended)</t>
        </is>
      </c>
      <c r="I959" s="3" t="inlineStr">
        <is>
          <t>Taiwan insert 6.2 — https://mcp.fda.gov.tw/im_detail_1/%E8%A1%9B%E9%83%A8%E8%97%A5%E8%BC%B8%E5%AD%97%E7%AC%AC026611%E8%99%9F</t>
        </is>
      </c>
      <c r="J959" s="3" t="inlineStr">
        <is>
          <t>Open</t>
        </is>
      </c>
      <c r="K959" s="3" t="inlineStr"/>
    </row>
    <row r="960">
      <c r="A960" s="3" t="n">
        <v>105</v>
      </c>
      <c r="B960" s="3" t="inlineStr">
        <is>
          <t>Zinforo (Ceftaroline) (ZIN04)</t>
        </is>
      </c>
      <c r="C960" s="8" t="inlineStr">
        <is>
          <t>Medium</t>
        </is>
      </c>
      <c r="D960" s="3" t="inlineStr">
        <is>
          <t>Breastfeeding</t>
        </is>
      </c>
      <c r="E960" s="3" t="inlineStr"/>
      <c r="F960" s="3" t="inlineStr">
        <is>
          <t>Replace old US 'caution' with TW advice to pause breastfeeding</t>
        </is>
      </c>
      <c r="G960" s="3" t="inlineStr">
        <is>
          <t>The manufacturer recommends that caution be exercised (old US wording)</t>
        </is>
      </c>
      <c r="H960" s="3" t="inlineStr">
        <is>
          <t>建議暫停哺乳 (pausing breastfeeding is recommended); current US label has no 'caution' wording (PLLR benefit-risk statement)</t>
        </is>
      </c>
      <c r="I960" s="3" t="inlineStr">
        <is>
          <t>Taiwan insert 6.2; US label 8.2</t>
        </is>
      </c>
      <c r="J960" s="3" t="inlineStr">
        <is>
          <t>Open</t>
        </is>
      </c>
      <c r="K960" s="3" t="inlineStr"/>
    </row>
    <row r="961">
      <c r="A961" s="3" t="n">
        <v>88</v>
      </c>
      <c r="B961" s="3" t="inlineStr">
        <is>
          <t>Zinforo (Ceftaroline) (ZIN04)</t>
        </is>
      </c>
      <c r="C961" s="8" t="inlineStr">
        <is>
          <t>Medium</t>
        </is>
      </c>
      <c r="D961" s="3" t="inlineStr">
        <is>
          <t>Dosing – pediatric</t>
        </is>
      </c>
      <c r="E961" s="3" t="inlineStr"/>
      <c r="F961" s="3" t="inlineStr">
        <is>
          <t>Add pediatric high-dose regimens (2 m–&lt;2 y 10 mg/kg q8h; 2–&lt;18 y 12 mg/kg max 600 mg q8h)</t>
        </is>
      </c>
      <c r="G961" s="3" t="inlineStr">
        <is>
          <t>High dose is only used to treat adult patients</t>
        </is>
      </c>
      <c r="H961" s="3" t="inlineStr">
        <is>
          <t>High dose also has paediatric regimens: ≥2 y to &lt;18 y 12 mg/kg (max 600 mg) q8h; ≥2 months to &lt;2 y 10 mg/kg q8h, both over 120 min</t>
        </is>
      </c>
      <c r="I961" s="3" t="inlineStr">
        <is>
          <t>Taiwan insert 3.1 表1 (高劑量) — https://mcp.fda.gov.tw/im_detail_1/%E8%A1%9B%E9%83%A8%E8%97%A5%E8%BC%B8%E5%AD%97%E7%AC%AC026611%E8%99%9F</t>
        </is>
      </c>
      <c r="J961" s="3" t="inlineStr">
        <is>
          <t>Open</t>
        </is>
      </c>
      <c r="K961" s="3" t="inlineStr"/>
    </row>
    <row r="962">
      <c r="A962" s="3" t="n">
        <v>95</v>
      </c>
      <c r="B962" s="3" t="inlineStr">
        <is>
          <t>Zinforo (Ceftaroline) (ZIN04)</t>
        </is>
      </c>
      <c r="C962" s="8" t="inlineStr">
        <is>
          <t>Medium</t>
        </is>
      </c>
      <c r="D962" s="3" t="inlineStr">
        <is>
          <t>Dosing – pediatric</t>
        </is>
      </c>
      <c r="E962" s="3" t="inlineStr"/>
      <c r="F962" s="3" t="inlineStr">
        <is>
          <t>Neonatal dosing birth to &lt;2 months: 6 mg/kg q8h over 60 min</t>
        </is>
      </c>
      <c r="G962" s="3" t="inlineStr">
        <is>
          <t>12 days postnatal age to 2 months: 6 mg/kg Q8H (US wording)</t>
        </is>
      </c>
      <c r="H962" s="3" t="inlineStr">
        <is>
          <t>Birth to &lt;2 months: 6 mg/kg q8h over 60 min (based on PK/PD modelling)</t>
        </is>
      </c>
      <c r="I962" s="3" t="inlineStr">
        <is>
          <t>Taiwan insert 3.1 表1 — https://mcp.fda.gov.tw/im_detail_1/%E8%A1%9B%E9%83%A8%E8%97%A5%E8%BC%B8%E5%AD%97%E7%AC%AC026611%E8%99%9F</t>
        </is>
      </c>
      <c r="J962" s="3" t="inlineStr">
        <is>
          <t>Open</t>
        </is>
      </c>
      <c r="K962" s="3" t="inlineStr"/>
    </row>
    <row r="963">
      <c r="A963" s="3" t="n">
        <v>100</v>
      </c>
      <c r="B963" s="3" t="inlineStr">
        <is>
          <t>Zinforo (Ceftaroline) (ZIN04)</t>
        </is>
      </c>
      <c r="C963" s="8" t="inlineStr">
        <is>
          <t>Medium</t>
        </is>
      </c>
      <c r="D963" s="3" t="inlineStr">
        <is>
          <t>Dosing – pediatric</t>
        </is>
      </c>
      <c r="E963" s="3" t="inlineStr"/>
      <c r="F963" s="3" t="inlineStr">
        <is>
          <t>Add labelled pediatric high-dose regimens</t>
        </is>
      </c>
      <c r="G963" s="3" t="inlineStr">
        <is>
          <t>High dose is only used to treat adult patients</t>
        </is>
      </c>
      <c r="H963" s="3" t="inlineStr">
        <is>
          <t>Paediatric high dose also labelled: 2m–&lt;2y 10 mg/kg q8h; 2–&lt;18y 12 mg/kg (max 600 mg) q8h, over 120 min</t>
        </is>
      </c>
      <c r="I963" s="3" t="inlineStr">
        <is>
          <t>Taiwan insert 表1 高劑量; UK SmPC 4.2 Table 2</t>
        </is>
      </c>
      <c r="J963" s="3" t="inlineStr">
        <is>
          <t>Open</t>
        </is>
      </c>
      <c r="K963" s="3" t="inlineStr"/>
    </row>
    <row r="964">
      <c r="A964" s="3" t="n">
        <v>104</v>
      </c>
      <c r="B964" s="3" t="inlineStr">
        <is>
          <t>Zinforo (Ceftaroline) (ZIN04)</t>
        </is>
      </c>
      <c r="C964" s="8" t="inlineStr">
        <is>
          <t>Medium</t>
        </is>
      </c>
      <c r="D964" s="3" t="inlineStr">
        <is>
          <t>Dosing – pediatric</t>
        </is>
      </c>
      <c r="E964" s="3" t="inlineStr"/>
      <c r="F964" s="3" t="inlineStr">
        <is>
          <t>Neonates birth to &lt;2 months 6 mg/kg q8h over 60 min; note no data &lt;34 wk GA</t>
        </is>
      </c>
      <c r="G964" s="3" t="inlineStr">
        <is>
          <t>12 days postnatal age to 2 months: 6 mg/kg Q8H; SSTI &gt;34 weeks GA and 12 days PNA (US wording)</t>
        </is>
      </c>
      <c r="H964" s="3" t="inlineStr">
        <is>
          <t>出生至&lt;2個月: 6 mg/kg q8h over 60 min, with footnote that no studies exist for GA &lt;34 wk and PNA &lt;12 d</t>
        </is>
      </c>
      <c r="I964" s="3" t="inlineStr">
        <is>
          <t>Taiwan insert 表1 footnote d</t>
        </is>
      </c>
      <c r="J964" s="3" t="inlineStr">
        <is>
          <t>Open</t>
        </is>
      </c>
      <c r="K964" s="3" t="inlineStr"/>
    </row>
    <row r="965">
      <c r="A965" s="3" t="n">
        <v>91</v>
      </c>
      <c r="B965" s="3" t="inlineStr">
        <is>
          <t>Zinforo (Ceftaroline) (ZIN04)</t>
        </is>
      </c>
      <c r="C965" s="8" t="inlineStr">
        <is>
          <t>Medium</t>
        </is>
      </c>
      <c r="D965" s="3" t="inlineStr">
        <is>
          <t>Indication/coverage</t>
        </is>
      </c>
      <c r="E965" s="3" t="inlineStr"/>
      <c r="F965" s="3" t="inlineStr">
        <is>
          <t>Update indication ages: CAP/cSSTI from birth (TW), note no data &lt;34 wk GA/&lt;12 d PNA</t>
        </is>
      </c>
      <c r="G965" s="3" t="inlineStr">
        <is>
          <t>CAP: in patients &gt;2 months; SSTI: &gt;34 weeks gestational age and 12 days postnatal age (US label wording)</t>
        </is>
      </c>
      <c r="H965" s="3" t="inlineStr">
        <is>
          <t>CAP and cSSTI in neonates, infants, children, adolescents and adults (from birth). Footnote: no studies in neonates &lt;34 weeks GA and &lt;12 days postnatal age</t>
        </is>
      </c>
      <c r="I965" s="3" t="inlineStr">
        <is>
          <t>Taiwan insert 2 適應症, 3.1 表1 footnote d — https://mcp.fda.gov.tw/im_detail_1/%E8%A1%9B%E9%83%A8%E8%97%A5%E8%BC%B8%E5%AD%97%E7%AC%AC026611%E8%99%9F</t>
        </is>
      </c>
      <c r="J965" s="3" t="inlineStr">
        <is>
          <t>Open</t>
        </is>
      </c>
      <c r="K965" s="3" t="inlineStr"/>
    </row>
    <row r="966">
      <c r="A966" s="3" t="n">
        <v>103</v>
      </c>
      <c r="B966" s="3" t="inlineStr">
        <is>
          <t>Zinforo (Ceftaroline) (ZIN04)</t>
        </is>
      </c>
      <c r="C966" s="8" t="inlineStr">
        <is>
          <t>Medium</t>
        </is>
      </c>
      <c r="D966" s="3" t="inlineStr">
        <is>
          <t>Indication/coverage</t>
        </is>
      </c>
      <c r="E966" s="3" t="inlineStr"/>
      <c r="F966" s="3" t="inlineStr">
        <is>
          <t>CAP/cSSTI approved from neonates (TW); US-only limit ≥2 months</t>
        </is>
      </c>
      <c r="G966" s="3" t="inlineStr">
        <is>
          <t>CAP: In patients &gt;2 months</t>
        </is>
      </c>
      <c r="H966" s="3" t="inlineStr">
        <is>
          <t>CAP and cSSTI from neonates (新生兒) to adults; only the US label limits CABP to ≥2 months</t>
        </is>
      </c>
      <c r="I966" s="3" t="inlineStr">
        <is>
          <t>Taiwan insert 2 適應症; UK SmPC 4.1</t>
        </is>
      </c>
      <c r="J966" s="3" t="inlineStr">
        <is>
          <t>Open</t>
        </is>
      </c>
      <c r="K966" s="3" t="inlineStr"/>
    </row>
    <row r="967">
      <c r="A967" s="3" t="n">
        <v>701</v>
      </c>
      <c r="B967" s="3" t="inlineStr">
        <is>
          <t>Zirocin (Azithromycin) (ZIR01, AZI01)</t>
        </is>
      </c>
      <c r="C967" s="8" t="inlineStr">
        <is>
          <t>Medium</t>
        </is>
      </c>
      <c r="D967" s="3" t="inlineStr">
        <is>
          <t>Dosing – adult</t>
        </is>
      </c>
      <c r="E967" s="3" t="inlineStr"/>
      <c r="F967" s="3" t="inlineStr">
        <is>
          <t>Chlamydia/urethritis: 1 g single dose only; remove unsourced 5-day regimen</t>
        </is>
      </c>
      <c r="G967" s="3" t="inlineStr">
        <is>
          <t>Urethritis or C. trachomatis: 1 g single dose, or 500 mg on day 1 then 250 mg once daily for 4 days</t>
        </is>
      </c>
      <c r="H967" s="3" t="inlineStr">
        <is>
          <t>All labels give 1 g single dose only (US FDA 2.1; UK SmPC 4.2; Zirocin and Azithrom 仿單 §3.1). The 500/250 mg × 5-day STI regimen has no source.</t>
        </is>
      </c>
      <c r="I967" s="3" t="inlineStr">
        <is>
          <t>US FDA 2.1: https://dailymed.nlm.nih.gov/dailymed/drugInfo.cfm?setid=db52b91e-79f7-4cc1-9564-f2eee8e31c45</t>
        </is>
      </c>
      <c r="J967" s="3" t="inlineStr">
        <is>
          <t>Open</t>
        </is>
      </c>
      <c r="K967" s="3" t="inlineStr"/>
    </row>
    <row r="968">
      <c r="A968" s="3" t="n">
        <v>703</v>
      </c>
      <c r="B968" s="3" t="inlineStr">
        <is>
          <t>Zirocin (Azithromycin) (ZIR01, AZI01)</t>
        </is>
      </c>
      <c r="C968" s="8" t="inlineStr">
        <is>
          <t>Medium</t>
        </is>
      </c>
      <c r="D968" s="3" t="inlineStr">
        <is>
          <t>Dosing – pediatric</t>
        </is>
      </c>
      <c r="E968" s="3" t="inlineStr"/>
      <c r="F968" s="3" t="inlineStr">
        <is>
          <t>Move weight-based peds dosing to AZI01 suspension; tablet insert has no peds weight dosing</t>
        </is>
      </c>
      <c r="G968" s="3" t="inlineStr">
        <is>
          <t>General paediatric dosing of 10–12 mg/kg on day 1 then 5–6 mg/kg, on the tablet page</t>
        </is>
      </c>
      <c r="H968" s="3" t="inlineStr">
        <is>
          <t>The Zirocin 250 mg tablet insert gives no weight-based paediatric dose. Weight-based dosing belongs with the AZI01 suspension (Azithrom 仿單: 10 mg/kg qd × 3 d). The US label gives 10 mg/kg day 1 then 5 mg/kg (CAP/AOM) and 12 mg/kg × 5 d (pharyngitis).</t>
        </is>
      </c>
      <c r="I968" s="3" t="inlineStr">
        <is>
          <t>Zirocin TW 仿單 §3.1; Azithrom TW 仿單 §3.1; US FDA 2.2</t>
        </is>
      </c>
      <c r="J968" s="3" t="inlineStr">
        <is>
          <t>Open</t>
        </is>
      </c>
      <c r="K968" s="3" t="inlineStr"/>
    </row>
    <row r="969">
      <c r="A969" s="3" t="n">
        <v>699</v>
      </c>
      <c r="B969" s="3" t="inlineStr">
        <is>
          <t>Zirocin (Azithromycin) (ZIR01, AZI01)</t>
        </is>
      </c>
      <c r="C969" s="8" t="inlineStr">
        <is>
          <t>Medium</t>
        </is>
      </c>
      <c r="D969" s="3" t="inlineStr">
        <is>
          <t>Dosing – renal/dialysis</t>
        </is>
      </c>
      <c r="E969" s="3" t="inlineStr">
        <is>
          <t>Renal table outdated</t>
        </is>
      </c>
      <c r="F969" s="3" t="inlineStr">
        <is>
          <t>Add GFR &lt;10: use with caution (AUC +35%); drop unsourced CRRT statement</t>
        </is>
      </c>
      <c r="G969" s="3" t="inlineStr">
        <is>
          <t>ZIR01: "Mild to severe impairment: No dosage adjustment necessary"; HD, PD and CRRT need no adjustment or supplement. AZI01: "No dosage adjustment necessary".</t>
        </is>
      </c>
      <c r="H969" s="3" t="inlineStr">
        <is>
          <t>GFR 10–80: no adjustment. GFR &lt;10: use with caution, because AUC rises about 30–35% and Cmax about 60% (Zirocin 仿單 §6.7; Azithrom 仿單 §3.3/§6.7; US FDA 12.3; UK SmPC 4.2). No label has dialysis data; UK SmPC 5.2 says dialysis is unlikely to remove the drug. No label covers CRRT, so ZIR01's CRRT statement has no source.</t>
        </is>
      </c>
      <c r="I969" s="3" t="inlineStr">
        <is>
          <t>Zirocin TW 仿單 §6.7; UK SmPC 4.2/5.2: https://www.medicines.org.uk/emc/product/441/smpc</t>
        </is>
      </c>
      <c r="J969" s="3" t="inlineStr">
        <is>
          <t>Open</t>
        </is>
      </c>
      <c r="K969" s="3" t="inlineStr"/>
    </row>
    <row r="970">
      <c r="A970" s="3" t="n">
        <v>710</v>
      </c>
      <c r="B970" s="3" t="inlineStr">
        <is>
          <t>Zirocin (Azithromycin) (ZIR01, AZI01)</t>
        </is>
      </c>
      <c r="C970" s="8" t="inlineStr">
        <is>
          <t>Medium</t>
        </is>
      </c>
      <c r="D970" s="3" t="inlineStr">
        <is>
          <t>Dosing – renal/dialysis</t>
        </is>
      </c>
      <c r="E970" s="3" t="inlineStr">
        <is>
          <t>Renal table outdated</t>
        </is>
      </c>
      <c r="F970" s="3" t="inlineStr">
        <is>
          <t>Add GFR &lt;10: use with special caution (AUC +30%, Cmax +60%)</t>
        </is>
      </c>
      <c r="G970" s="3" t="inlineStr">
        <is>
          <t>Mild to severe impairment: No dosage adjustment necessary; HD/PD/CRRT no adjustment</t>
        </is>
      </c>
      <c r="H970" s="3" t="inlineStr">
        <is>
          <t>Zirocin 仿單 §6.7: no adjustment at GFR 10–80. At GFR &lt;10, AUC rises about 30% and Cmax about 60%, and the insert says 需特別謹慎小心. UK SmPC 4.2 says caution at GFR &lt;10. The US label gives PK data only (AUC +35%, Cmax +61%).</t>
        </is>
      </c>
      <c r="I970" s="3" t="inlineStr">
        <is>
          <t>Zirocin 仿單 §6.7: https://mcp.fda.gov.tw/im_detail_1/%E8%A1%9B%E7%BD%B2%E8%97%A5%E8%A3%BD%E5%AD%97%E7%AC%AC057842%E8%99%9F; UK SmPC 4.2: https://www.medicines.org.uk/emc/product/2272/smpc</t>
        </is>
      </c>
      <c r="J970" s="3" t="inlineStr">
        <is>
          <t>Open</t>
        </is>
      </c>
      <c r="K970" s="3" t="inlineStr"/>
    </row>
    <row r="971">
      <c r="A971" s="3" t="n">
        <v>711</v>
      </c>
      <c r="B971" s="3" t="inlineStr">
        <is>
          <t>Zirocin (Azithromycin) (ZIR01, AZI01)</t>
        </is>
      </c>
      <c r="C971" s="8" t="inlineStr">
        <is>
          <t>Medium</t>
        </is>
      </c>
      <c r="D971" s="3" t="inlineStr">
        <is>
          <t>Dosing – renal/dialysis</t>
        </is>
      </c>
      <c r="E971" s="3" t="inlineStr">
        <is>
          <t>Renal table outdated</t>
        </is>
      </c>
      <c r="F971" s="3" t="inlineStr">
        <is>
          <t>Add GFR &lt;10: use with caution per Azithrom insert §3.3</t>
        </is>
      </c>
      <c r="G971" s="3" t="inlineStr">
        <is>
          <t>No dosage adjustment necessary</t>
        </is>
      </c>
      <c r="H971" s="3" t="inlineStr">
        <is>
          <t>The product's own insert, Azithrom 仿單 §3.3, says no adjustment at GFR 10–80 but GFR＜10 mL/min 應謹慎用藥. §6.7 says exposure rises 33%.</t>
        </is>
      </c>
      <c r="I971" s="3" t="inlineStr">
        <is>
          <t>Azithrom 仿單 §3.3/§6.7: https://mcp.fda.gov.tw/im_detail_1/%E8%A1%9B%E7%BD%B2%E8%97%A5%E8%A3%BD%E5%AD%97%E7%AC%AC055554%E8%99%9F</t>
        </is>
      </c>
      <c r="J971" s="3" t="inlineStr">
        <is>
          <t>Open</t>
        </is>
      </c>
      <c r="K971" s="3" t="inlineStr"/>
    </row>
    <row r="972">
      <c r="A972" s="3" t="n">
        <v>700</v>
      </c>
      <c r="B972" s="3" t="inlineStr">
        <is>
          <t>Zirocin (Azithromycin) (ZIR01, AZI01)</t>
        </is>
      </c>
      <c r="C972" s="8" t="inlineStr">
        <is>
          <t>Medium</t>
        </is>
      </c>
      <c r="D972" s="3" t="inlineStr">
        <is>
          <t>Indication/coverage</t>
        </is>
      </c>
      <c r="E972" s="3" t="inlineStr"/>
      <c r="F972" s="3" t="inlineStr">
        <is>
          <t>State label: unreliable for gonorrhoea; cite CDC ceftriaxone 500 mg IM; source the gentamicin claim</t>
        </is>
      </c>
      <c r="G972" s="3" t="inlineStr">
        <is>
          <t>Urethritis/cervicitis due to C. trachomatis or N. gonorrhoeae. The note says CDC recommends azithromycin only in combination with gentamicin, for cephalosporin allergy.</t>
        </is>
      </c>
      <c r="H972" s="3" t="inlineStr">
        <is>
          <t>The US label gives a 2 g single dose for gonococcal urethritis/cervicitis (US FDA 2.1). UK SmPC 4.4: not recommended for gonorrhoea unless susceptibility is confirmed. The Zirocin 仿單 §2 says the recommended dose cannot be relied on to treat gonorrhoea or syphilis. The CDC 2020 update (PMID 33332296) recommends ceftriaxone 500 mg IM. The page cites no source for the CDC gentamicin-combination claim (cdc.gov was not reachable to check it).</t>
        </is>
      </c>
      <c r="I972" s="3" t="inlineStr">
        <is>
          <t>US FDA 2.1; UK SmPC 4.4; Zirocin TW 仿單 §2; PMID 33332296</t>
        </is>
      </c>
      <c r="J972" s="3" t="inlineStr">
        <is>
          <t>Open</t>
        </is>
      </c>
      <c r="K972" s="3" t="inlineStr"/>
    </row>
    <row r="973">
      <c r="A973" s="3" t="n">
        <v>702</v>
      </c>
      <c r="B973" s="3" t="inlineStr">
        <is>
          <t>Zirocin (Azithromycin) (ZIR01, AZI01)</t>
        </is>
      </c>
      <c r="C973" s="8" t="inlineStr">
        <is>
          <t>Medium</t>
        </is>
      </c>
      <c r="D973" s="3" t="inlineStr">
        <is>
          <t>Indication/coverage</t>
        </is>
      </c>
      <c r="E973" s="3" t="inlineStr"/>
      <c r="F973" s="3" t="inlineStr">
        <is>
          <t>Label MAC: prophylaxis 1200 mg weekly; mark MAC treatment off-label with NTM guideline citation</t>
        </is>
      </c>
      <c r="G973" s="3" t="inlineStr">
        <is>
          <t>MAC prevention in advanced HIV, and treatment of disseminated MAC with ethambutol. Dose: 500–600 mg daily in combination.</t>
        </is>
      </c>
      <c r="H973" s="3" t="inlineStr">
        <is>
          <t>The stocked Zirocin 250 mg insert approves only MAC prophylaxis (1200 mg once weekly ± rifabutin; HIV with CD4 ≤75). The US Zithromax 250/500 mg/suspension label has no MAC indication. MAC treatment is off-label for the stocked product and needs a guideline citation (e.g. ATS/ERS/ESCMID/IDSA NTM 2020, PMID 32628747).</t>
        </is>
      </c>
      <c r="I973" s="3" t="inlineStr">
        <is>
          <t>Zirocin TW 仿單 §2/§3.1: https://mcp.fda.gov.tw/im_detail_1/%E8%A1%9B%E7%BD%B2%E8%97%A5%E8%A3%BD%E5%AD%97%E7%AC%AC057842%E8%99%9F</t>
        </is>
      </c>
      <c r="J973" s="3" t="inlineStr">
        <is>
          <t>Open</t>
        </is>
      </c>
      <c r="K973" s="3" t="inlineStr"/>
    </row>
    <row r="974">
      <c r="A974" s="3" t="n">
        <v>705</v>
      </c>
      <c r="B974" s="3" t="inlineStr">
        <is>
          <t>Zirocin (Azithromycin) (ZIR01, AZI01)</t>
        </is>
      </c>
      <c r="C974" s="8" t="inlineStr">
        <is>
          <t>Medium</t>
        </is>
      </c>
      <c r="D974" s="3" t="inlineStr">
        <is>
          <t>Indication/coverage</t>
        </is>
      </c>
      <c r="E974" s="3" t="inlineStr"/>
      <c r="F974" s="3" t="inlineStr">
        <is>
          <t>Complete or remove truncated CF off-label entry; add source</t>
        </is>
      </c>
      <c r="G974" s="3" t="inlineStr">
        <is>
          <t>"Cystic fibrosis, anti-inflammatory (off-label use) : 250 mg (" The entry is cut off mid-sentence.</t>
        </is>
      </c>
      <c r="H974" s="3" t="inlineStr">
        <is>
          <t>No label lists cystic fibrosis as an indication. US FDA 1.3 names cystic fibrosis among patients for whom oral azithromycin is not recommended for pneumonia. The entry is truncated and has no source.</t>
        </is>
      </c>
      <c r="I974" s="3" t="inlineStr">
        <is>
          <t>US FDA 1.3: https://dailymed.nlm.nih.gov/dailymed/drugInfo.cfm?setid=db52b91e-79f7-4cc1-9564-f2eee8e31c45</t>
        </is>
      </c>
      <c r="J974" s="3" t="inlineStr">
        <is>
          <t>Open</t>
        </is>
      </c>
      <c r="K974" s="3" t="inlineStr"/>
    </row>
    <row r="975">
      <c r="A975" s="3" t="n">
        <v>712</v>
      </c>
      <c r="B975" s="3" t="inlineStr">
        <is>
          <t>Zirocin (Azithromycin) (ZIR01, AZI01)</t>
        </is>
      </c>
      <c r="C975" s="8" t="inlineStr">
        <is>
          <t>Medium</t>
        </is>
      </c>
      <c r="D975" s="3" t="inlineStr">
        <is>
          <t>Indication/coverage</t>
        </is>
      </c>
      <c r="E975" s="3" t="inlineStr"/>
      <c r="F975" s="3" t="inlineStr">
        <is>
          <t>Add Zirocin insert statement: not reliable for gonorrhoea/syphilis; cite CDC 2021</t>
        </is>
      </c>
      <c r="G975" s="3" t="inlineStr">
        <is>
          <t>Urethritis/cervicitis due to Chlamydia trachomatis or N. gonorrhoeae, plus a note that CDC recommends azithromycin with gentamicin only for cephalosporin allergy (no citation)</t>
        </is>
      </c>
      <c r="H975" s="3" t="inlineStr">
        <is>
          <t>The stocked product's insert, Zirocin 仿單 §2, says 建議的azithromycin劑量，不能賴以治療淋病或梅毒. The US label allows 2 g single dose for gonococcal urethritis/cervicitis. The UK tablet SmPC allows 1–2 g only in combination with ceftriaxone, and its 4.4 says N. gonorrhoeae is very likely resistant. The CDC statement needs a citation: CDC STI Treatment Guidelines 2021, PMID 34292926.</t>
        </is>
      </c>
      <c r="I975" s="3" t="inlineStr">
        <is>
          <t>Zirocin 仿單 §2: https://mcp.fda.gov.tw/im_detail_1/%E8%A1%9B%E7%BD%B2%E8%97%A5%E8%A3%BD%E5%AD%97%E7%AC%AC057842%E8%99%9F; US FDA ZITHROMAX 2.1: https://dailymed.nlm.nih.gov/dailymed/drugInfo.cfm?setid=db52b91e-79f7-4cc1-9564-f2eee8e31c45; UK SmPC 4.2/4.4: https://www.medicines.org.uk/emc/product/2272/smpc; https://pubmed.ncbi.nlm.nih.gov/34292926/</t>
        </is>
      </c>
      <c r="J975" s="3" t="inlineStr">
        <is>
          <t>Open</t>
        </is>
      </c>
      <c r="K975" s="3" t="inlineStr"/>
    </row>
    <row r="976">
      <c r="A976" s="3" t="n">
        <v>127</v>
      </c>
      <c r="B976" s="3" t="inlineStr">
        <is>
          <t>Zovirax (Acyclovir) (ZOV01, ACY01)</t>
        </is>
      </c>
      <c r="C976" s="8" t="inlineStr">
        <is>
          <t>Medium</t>
        </is>
      </c>
      <c r="D976" s="3" t="inlineStr">
        <is>
          <t>Administration/compatibility</t>
        </is>
      </c>
      <c r="E976" s="3" t="inlineStr"/>
      <c r="F976" s="3" t="inlineStr">
        <is>
          <t>Correct reconstitution to 25 mg/mL, dilute &lt;5 mg/mL, 12 h at 15–25°C, do not refrigerate (TW insert)</t>
        </is>
      </c>
      <c r="G976" s="3" t="inlineStr">
        <is>
          <t>Reconstituted in SWFI at 50 mg/mL, stable 12 h at 25℃. In NS or D5W at &lt;10 mg/mL, stable 24 h at 25℃.</t>
        </is>
      </c>
      <c r="H976" s="3" t="inlineStr">
        <is>
          <t>TW 仿單: reconstitute 250 mg with 10 mL, giving 25 mg/mL. Further dilute to &lt;5 mg/mL; stable 12 h at 15–25°C in the listed NaCl, NaCl/glucose and Hartmann's solutions. Do not refrigerate.</t>
        </is>
      </c>
      <c r="I976" s="3" t="inlineStr">
        <is>
          <t>https://mcp.fda.gov.tw/insert/pdfcasefile/i_43ee63d3-02bb-4b8b-956a-0d7296e71d7e</t>
        </is>
      </c>
      <c r="J976" s="3" t="inlineStr">
        <is>
          <t>Open</t>
        </is>
      </c>
      <c r="K976" s="3" t="inlineStr"/>
    </row>
    <row r="977">
      <c r="A977" s="3" t="n">
        <v>116</v>
      </c>
      <c r="B977" s="3" t="inlineStr">
        <is>
          <t>Zovirax (Acyclovir) (ZOV01, ACY01)</t>
        </is>
      </c>
      <c r="C977" s="8" t="inlineStr">
        <is>
          <t>Medium</t>
        </is>
      </c>
      <c r="D977" s="3" t="inlineStr">
        <is>
          <t>Adverse effects</t>
        </is>
      </c>
      <c r="E977" s="3" t="inlineStr"/>
      <c r="F977" s="3" t="inlineStr">
        <is>
          <t>Add phlebitis as most frequent IV ADR; reorder bag ADRs per TW insert (diarrhoea/headache/dizziness very rare)</t>
        </is>
      </c>
      <c r="G977" s="3" t="inlineStr">
        <is>
          <t>腹瀉、頭痛、頭暈、噁心、嘔吐、注射部位疼痛、肝腎功能異常</t>
        </is>
      </c>
      <c r="H977" s="3" t="inlineStr">
        <is>
          <t>The TW insert classes diarrhoea, headache and dizziness as very rare. Its common reactions are phlebitis, N/V, liver enzyme rise, pruritus/urticaria/rash and BUN/creatinine rise. Phlebitis, the most frequent IV reaction (FDA ~9%), is not named.</t>
        </is>
      </c>
      <c r="I977" s="3" t="inlineStr">
        <is>
          <t>https://mcp.fda.gov.tw/insert/pdfcasefile/i_43ee63d3-02bb-4b8b-956a-0d7296e71d7e</t>
        </is>
      </c>
      <c r="J977" s="3" t="inlineStr">
        <is>
          <t>Open</t>
        </is>
      </c>
      <c r="K977" s="3" t="inlineStr"/>
    </row>
    <row r="978">
      <c r="A978" s="3" t="n">
        <v>120</v>
      </c>
      <c r="B978" s="3" t="inlineStr">
        <is>
          <t>Zovirax (Acyclovir) (ZOV01, ACY01)</t>
        </is>
      </c>
      <c r="C978" s="8" t="inlineStr">
        <is>
          <t>Medium</t>
        </is>
      </c>
      <c r="D978" s="3" t="inlineStr">
        <is>
          <t>Adverse effects</t>
        </is>
      </c>
      <c r="E978" s="3" t="inlineStr"/>
      <c r="F978" s="3" t="inlineStr">
        <is>
          <t>Remove injection-site reactions from oral tablet; list tablet ADRs per Acylete insert</t>
        </is>
      </c>
      <c r="G978" s="3" t="inlineStr">
        <is>
          <t>5. Local: Inflammation at injection site, injection site phlebitis</t>
        </is>
      </c>
      <c r="H978" s="3" t="inlineStr">
        <is>
          <t>Injection-site reactions apply only to IV acyclovir (FDA injection label ADVERSE REACTIONS). The Acylete tablet insert lists rash, nausea, vomiting, diarrhoea, abdominal pain, bilirubin and liver enzyme rises, BUN/creatinine rises, haematological decreases, neurological reactions and fatigue.</t>
        </is>
      </c>
      <c r="I978" s="3" t="inlineStr">
        <is>
          <t>https://mcp.fda.gov.tw/insert/pdfcasefile/i_846aed79-8984-4d2b-8863-39852b6a0175</t>
        </is>
      </c>
      <c r="J978" s="3" t="inlineStr">
        <is>
          <t>Open</t>
        </is>
      </c>
      <c r="K978" s="3" t="inlineStr"/>
    </row>
    <row r="979">
      <c r="A979" s="3" t="n">
        <v>117</v>
      </c>
      <c r="B979" s="3" t="inlineStr">
        <is>
          <t>Zovirax (Acyclovir) (ZOV01, ACY01)</t>
        </is>
      </c>
      <c r="C979" s="8" t="inlineStr">
        <is>
          <t>Medium</t>
        </is>
      </c>
      <c r="D979" s="3" t="inlineStr">
        <is>
          <t>Indication/coverage</t>
        </is>
      </c>
      <c r="E979" s="3" t="inlineStr"/>
      <c r="F979" s="3" t="inlineStr">
        <is>
          <t>Broaden indications per TW insert: VZV/HSV infections, HSE, HSV prophylaxis in BMT/leukaemia, neonatal HSV</t>
        </is>
      </c>
      <c r="G979" s="3" t="inlineStr">
        <is>
          <t>Treatment of HSV infections and herpes zoster (shingles) in immunocompromised patients</t>
        </is>
      </c>
      <c r="H979" s="3" t="inlineStr">
        <is>
          <t>TW insert 適應症 is broader: 帶狀疱疹病毒及單純疱疹病毒引起之感染；預防骨髓移植及白血病所引起之免疫不全病人之單純疱疹感染；新生兒單純疱疹感染 (it also covers HSE, severe initial genital herpes and neonatal HSV)</t>
        </is>
      </c>
      <c r="I979" s="3" t="inlineStr">
        <is>
          <t>https://mcp.fda.gov.tw/insert/pdfcasefile/i_43ee63d3-02bb-4b8b-956a-0d7296e71d7e</t>
        </is>
      </c>
      <c r="J979" s="3" t="inlineStr">
        <is>
          <t>Open</t>
        </is>
      </c>
      <c r="K979" s="3" t="inlineStr"/>
    </row>
    <row r="980">
      <c r="A980" s="3" t="n">
        <v>126</v>
      </c>
      <c r="B980" s="3" t="inlineStr">
        <is>
          <t>Zovirax (Acyclovir) (ZOV01, ACY01)</t>
        </is>
      </c>
      <c r="C980" s="8" t="inlineStr">
        <is>
          <t>Medium</t>
        </is>
      </c>
      <c r="D980" s="3" t="inlineStr">
        <is>
          <t>Indication/coverage</t>
        </is>
      </c>
      <c r="E980" s="3" t="inlineStr"/>
      <c r="F980" s="3" t="inlineStr">
        <is>
          <t>Broaden indications per TW insert: HSE, severe initial genital herpes, BMT/leukaemia prophylaxis, neonatal HSV</t>
        </is>
      </c>
      <c r="G980" s="3" t="inlineStr">
        <is>
          <t>Treatment of HSV infections and herpes zoster in immunocompromised patients</t>
        </is>
      </c>
      <c r="H980" s="3" t="inlineStr">
        <is>
          <t>The TW licence is broader: 帶狀疱疹病毒及單純疱疹病毒引起之感染；預防骨髓移植及白血病所引起之免疫不全病人之單純疱疹感染；新生兒單純疱疹感染 (also HSE and severe initial genital herpes per FDA/SmPC).</t>
        </is>
      </c>
      <c r="I980" s="3" t="inlineStr">
        <is>
          <t>https://mcp.fda.gov.tw/insert/pdfcasefile/i_43ee63d3-02bb-4b8b-956a-0d7296e71d7e</t>
        </is>
      </c>
      <c r="J980" s="3" t="inlineStr">
        <is>
          <t>Open</t>
        </is>
      </c>
      <c r="K980" s="3" t="inlineStr"/>
    </row>
    <row r="981">
      <c r="A981" s="3" t="n">
        <v>448</v>
      </c>
      <c r="B981" s="3" t="inlineStr">
        <is>
          <t>Zyvox (Linezolid) (ZYV01, ZYV02)</t>
        </is>
      </c>
      <c r="C981" s="8" t="inlineStr">
        <is>
          <t>Medium</t>
        </is>
      </c>
      <c r="D981" s="3" t="inlineStr">
        <is>
          <t>Breastfeeding</t>
        </is>
      </c>
      <c r="E981" s="3" t="inlineStr">
        <is>
          <t>LactMed outdated</t>
        </is>
      </c>
      <c r="F981" s="3" t="inlineStr">
        <is>
          <t>Update: present in milk (6–9% infant dose); not a reason to stop; monitor infant GI</t>
        </is>
      </c>
      <c r="G981" s="3" t="inlineStr">
        <is>
          <t>Excretion in breast milk unknown</t>
        </is>
      </c>
      <c r="H981" s="3" t="inlineStr">
        <is>
          <t>US label §8.2 quote: "Linezolid is present in breast milk"; the infant receives ~6–9% of the infant therapeutic dose; monitor the infant for diarrhea/vomiting. LactMed: not a reason to stop breastfeeding. The Taiwan insert 哺乳 section says the same (Linezolid 會出現在母乳中). UK SmPC 4.6 advises discontinuing breastfeeding.</t>
        </is>
      </c>
      <c r="I981" s="3" t="inlineStr">
        <is>
          <t>US FDA label §8.2; LactMed NBK501700 - https://www.ncbi.nlm.nih.gov/books/NBK501700/; Taiwan insert 6.1 哺乳</t>
        </is>
      </c>
      <c r="J981" s="3" t="inlineStr">
        <is>
          <t>Open</t>
        </is>
      </c>
      <c r="K981" s="3" t="inlineStr"/>
    </row>
    <row r="982">
      <c r="A982" s="3" t="n">
        <v>455</v>
      </c>
      <c r="B982" s="3" t="inlineStr">
        <is>
          <t>Zyvox (Linezolid) (ZYV01, ZYV02)</t>
        </is>
      </c>
      <c r="C982" s="8" t="inlineStr">
        <is>
          <t>Medium</t>
        </is>
      </c>
      <c r="D982" s="3" t="inlineStr">
        <is>
          <t>Breastfeeding</t>
        </is>
      </c>
      <c r="E982" s="3" t="inlineStr">
        <is>
          <t>LactMed outdated</t>
        </is>
      </c>
      <c r="F982" s="3" t="inlineStr">
        <is>
          <t>Update: present in milk; not a reason to stop breastfeeding; monitor infant</t>
        </is>
      </c>
      <c r="G982" s="3" t="inlineStr">
        <is>
          <t>Excretion in breast milk unknown</t>
        </is>
      </c>
      <c r="H982" s="3" t="inlineStr">
        <is>
          <t>Linezolid is present in breast milk. The infant receives about 6–9% of the therapeutic infant dose; this is not a reason to stop breastfeeding, but watch the infant for diarrhea and vomiting. The UK SmPC differs: it advises stopping breastfeeding, based on animal data.</t>
        </is>
      </c>
      <c r="I982" s="3" t="inlineStr">
        <is>
          <t>US label §8.2; Taiwan 仿單 §6.2; LactMed NBK501700 (rev. 2024-07-15); UK SmPC 4.6</t>
        </is>
      </c>
      <c r="J982" s="3" t="inlineStr">
        <is>
          <t>Open</t>
        </is>
      </c>
      <c r="K982" s="3" t="inlineStr"/>
    </row>
    <row r="983">
      <c r="A983" s="3" t="n">
        <v>453</v>
      </c>
      <c r="B983" s="3" t="inlineStr">
        <is>
          <t>Zyvox (Linezolid) (ZYV01, ZYV02)</t>
        </is>
      </c>
      <c r="C983" s="8" t="inlineStr">
        <is>
          <t>Medium</t>
        </is>
      </c>
      <c r="D983" s="3" t="inlineStr">
        <is>
          <t>Dosing – adult</t>
        </is>
      </c>
      <c r="E983" s="3" t="inlineStr"/>
      <c r="F983" s="3" t="inlineStr">
        <is>
          <t>Add uSSSI adult dose 400 mg PO q12h (adolescents 600 mg)</t>
        </is>
      </c>
      <c r="G983" s="3" t="inlineStr">
        <is>
          <t>600 mg q12h for all indications</t>
        </is>
      </c>
      <c r="H983" s="3" t="inlineStr">
        <is>
          <t>Adults with uncomplicated SSSI: 400 mg PO q12h for 10–14 days. Adolescents: 600 mg PO q12h. Other indications: 600 mg q12h.</t>
        </is>
      </c>
      <c r="I983" s="3" t="inlineStr">
        <is>
          <t>US FDA label §2.1 Table 1; Taiwan insert §3.1 表一 (成人：400mg 口服，每 12 小時一次)</t>
        </is>
      </c>
      <c r="J983" s="3" t="inlineStr">
        <is>
          <t>Open</t>
        </is>
      </c>
      <c r="K983" s="3" t="inlineStr"/>
    </row>
    <row r="984">
      <c r="A984" s="3" t="n">
        <v>452</v>
      </c>
      <c r="B984" s="3" t="inlineStr">
        <is>
          <t>Zyvox (Linezolid) (ZYV01, ZYV02)</t>
        </is>
      </c>
      <c r="C984" s="8" t="inlineStr">
        <is>
          <t>Medium</t>
        </is>
      </c>
      <c r="D984" s="3" t="inlineStr">
        <is>
          <t>Dosing – hepatic</t>
        </is>
      </c>
      <c r="E984" s="3" t="inlineStr"/>
      <c r="F984" s="3" t="inlineStr">
        <is>
          <t>Qualify: no adjustment Child-Pugh A/B; severe not studied; thrombocytopenia risk</t>
        </is>
      </c>
      <c r="G984" s="3" t="inlineStr">
        <is>
          <t>Hepatic: no adjustment (no qualification)</t>
        </is>
      </c>
      <c r="H984" s="3" t="inlineStr">
        <is>
          <t>No adjustment only for mild–moderate (Child-Pugh A/B). Severe hepatic impairment has not been evaluated. Thrombocytopenia is more frequent in moderate–severe hepatic impairment. UK SmPC: use only when benefit outweighs risk.</t>
        </is>
      </c>
      <c r="I984" s="3" t="inlineStr">
        <is>
          <t>US FDA label §5.1, §12.3; UK SmPC §4.2 - https://www.medicines.org.uk/emc/product/1688/smpc</t>
        </is>
      </c>
      <c r="J984" s="3" t="inlineStr">
        <is>
          <t>Open</t>
        </is>
      </c>
      <c r="K984" s="3" t="inlineStr"/>
    </row>
    <row r="985">
      <c r="A985" s="3" t="n">
        <v>459</v>
      </c>
      <c r="B985" s="3" t="inlineStr">
        <is>
          <t>Zyvox (Linezolid) (ZYV01, ZYV02)</t>
        </is>
      </c>
      <c r="C985" s="8" t="inlineStr">
        <is>
          <t>Medium</t>
        </is>
      </c>
      <c r="D985" s="3" t="inlineStr">
        <is>
          <t>Dosing – hepatic</t>
        </is>
      </c>
      <c r="E985" s="3" t="inlineStr"/>
      <c r="F985" s="3" t="inlineStr">
        <is>
          <t>Qualify hepatic: no adjustment only Child-Pugh A/B; C not studied</t>
        </is>
      </c>
      <c r="G985" s="3" t="inlineStr">
        <is>
          <t>No adjustment for hepatic impairment (no qualifier)</t>
        </is>
      </c>
      <c r="H985" s="3" t="inlineStr">
        <is>
          <t>No adjustment is recommended only for mild–moderate impairment (Child-Pugh A/B); severe impairment (Child-Pugh C) has not been studied. Thrombocytopenia is more frequent in moderate–severe hepatic impairment. The UK SmPC says use only when benefit outweighs the theoretical risk.</t>
        </is>
      </c>
      <c r="I985" s="3" t="inlineStr">
        <is>
          <t>US label §12.3 Hepatic Impairment, §5.1; Taiwan 仿單 §11; UK SmPC 4.2</t>
        </is>
      </c>
      <c r="J985" s="3" t="inlineStr">
        <is>
          <t>Open</t>
        </is>
      </c>
      <c r="K985" s="3" t="inlineStr"/>
    </row>
    <row r="986">
      <c r="A986" s="3" t="n">
        <v>1198</v>
      </c>
      <c r="B986" s="3" t="inlineStr">
        <is>
          <t>Akurit-4 / Akurit-3 (TB fixed-dose combinations) (AKU02, AKU01)</t>
        </is>
      </c>
      <c r="C986" s="9" t="inlineStr">
        <is>
          <t>Low</t>
        </is>
      </c>
      <c r="D986" s="3" t="inlineStr">
        <is>
          <t>Contraindication/warning</t>
        </is>
      </c>
      <c r="E986" s="3" t="inlineStr"/>
      <c r="F986" s="3" t="inlineStr">
        <is>
          <t>Fix garbled hypersensitivity contraindication wording: rifamycins, isoniazid, (pyrazinamide), ethambutol, or excipients.</t>
        </is>
      </c>
      <c r="G986" s="3" t="inlineStr">
        <is>
          <t>'Hypersensitivity to ethambutol to Rifampin, Isoniazid (, Pyrazinamide) or Ethambutol.' (garbled)</t>
        </is>
      </c>
      <c r="H986" s="3" t="inlineStr">
        <is>
          <t>Should read: hypersensitivity to rifamycins/rifampin, isoniazid, (pyrazinamide,) ethambutol or any excipient</t>
        </is>
      </c>
      <c r="I986" s="3" t="inlineStr">
        <is>
          <t>TW 仿單 Akurit-4 §4 / Akurit-3 §4 — https://mcp.fda.gov.tw/im_detail_1/%E8%A1%9B%E7%BD%B2%E8%97%A5%E8%BC%B8%E5%AD%97%E7%AC%AC025519%E8%99%9F</t>
        </is>
      </c>
      <c r="J986" s="3" t="inlineStr">
        <is>
          <t>Open</t>
        </is>
      </c>
      <c r="K986" s="3" t="inlineStr"/>
    </row>
    <row r="987">
      <c r="A987" s="3" t="n">
        <v>1207</v>
      </c>
      <c r="B987" s="3" t="inlineStr">
        <is>
          <t>Akurit-4 / Akurit-3 (TB fixed-dose combinations) (AKU02, AKU01)</t>
        </is>
      </c>
      <c r="C987" s="9" t="inlineStr">
        <is>
          <t>Low</t>
        </is>
      </c>
      <c r="D987" s="3" t="inlineStr">
        <is>
          <t>Contraindication/warning</t>
        </is>
      </c>
      <c r="E987" s="3" t="inlineStr"/>
      <c r="F987" s="3" t="inlineStr">
        <is>
          <t>Correct garbled hypersensitivity item to rifamycins, INH, EMB, PZA and excipients.</t>
        </is>
      </c>
      <c r="G987" s="3" t="inlineStr">
        <is>
          <t>'Hypersensitivity to ethambutol to Rifampin, Isoniazid[, Pyrazinamide] or Ethambutol.' The text is garbled and appears on both pages.</t>
        </is>
      </c>
      <c r="H987" s="3" t="inlineStr">
        <is>
          <t>The insert lists hypersensitivity to rifamycins, INH, EMB or PZA (Akurit-4 §4). Akurit-3 §4 adds any excipient.</t>
        </is>
      </c>
      <c r="I987" s="3" t="inlineStr">
        <is>
          <t>Akurit-4/Akurit-3 仿單 §4 https://mcp.fda.gov.tw/im_detail_1/%E8%A1%9B%E7%BD%B2%E8%97%A5%E8%BC%B8%E5%AD%97%E7%AC%AC025519%E8%99%9F</t>
        </is>
      </c>
      <c r="J987" s="3" t="inlineStr">
        <is>
          <t>Open</t>
        </is>
      </c>
      <c r="K987" s="3" t="inlineStr"/>
    </row>
    <row r="988">
      <c r="A988" s="3" t="n">
        <v>1213</v>
      </c>
      <c r="B988" s="3" t="inlineStr">
        <is>
          <t>Akurit-4 / Akurit-3 (TB fixed-dose combinations) (AKU02, AKU01)</t>
        </is>
      </c>
      <c r="C988" s="9" t="inlineStr">
        <is>
          <t>Low</t>
        </is>
      </c>
      <c r="D988" s="3" t="inlineStr">
        <is>
          <t>Contraindication/warning</t>
        </is>
      </c>
      <c r="E988" s="3" t="inlineStr"/>
      <c r="F988" s="3" t="inlineStr">
        <is>
          <t>Qualify optic neuritis contraindication: 'unless clinical judgement determines use'.</t>
        </is>
      </c>
      <c r="G988" s="3" t="inlineStr">
        <is>
          <t>Optic neuritis is listed as an unqualified contraindication.</t>
        </is>
      </c>
      <c r="H988" s="3" t="inlineStr">
        <is>
          <t>Contraindicated in known optic neuritis 'unless clinical judgement determines that it may be used' (除非臨床評斷決定也許可使用).</t>
        </is>
      </c>
      <c r="I988" s="3" t="inlineStr">
        <is>
          <t>Akurit-4 仿單 §4 Ethambutol https://mcp.fda.gov.tw/im_detail_1/%E8%A1%9B%E7%BD%B2%E8%97%A5%E8%BC%B8%E5%AD%97%E7%AC%AC025518%E8%99%9F ; US ethambutol label Contraindications https://dailymed.nlm.nih.gov/dailymed/drugInfo.cfm?setid=e0d4a594-d3e0-47b0-9f11-f4dbd4552d5a</t>
        </is>
      </c>
      <c r="J988" s="3" t="inlineStr">
        <is>
          <t>Open</t>
        </is>
      </c>
      <c r="K988" s="3" t="inlineStr"/>
    </row>
    <row r="989">
      <c r="A989" s="3" t="n">
        <v>1197</v>
      </c>
      <c r="B989" s="3" t="inlineStr">
        <is>
          <t>Akurit-4 / Akurit-3 (TB fixed-dose combinations) (AKU02, AKU01)</t>
        </is>
      </c>
      <c r="C989" s="9" t="inlineStr">
        <is>
          <t>Low</t>
        </is>
      </c>
      <c r="D989" s="3" t="inlineStr">
        <is>
          <t>Pharmacokinetics/other</t>
        </is>
      </c>
      <c r="E989" s="3" t="inlineStr"/>
      <c r="F989" s="3" t="inlineStr">
        <is>
          <t>Relabel AKU02 second PK block as Pyrazinamide; correct protein binding ~10% and urine ~70%.</t>
        </is>
      </c>
      <c r="G989" s="3" t="inlineStr">
        <is>
          <t>A second block headed 'Isoniazid:' gives half-life 9–10 h, protein binding 50%, urine 4% unchanged, Tmax within 2 h</t>
        </is>
      </c>
      <c r="H989" s="3" t="inlineStr">
        <is>
          <t>This block actually describes pyrazinamide (t½ 9–10 h, Tmax 2 h), but pyrazinamide protein binding is about 10% and about 70% of a dose is excreted in urine within 24 h. The heading should be 'Pyrazinamide' and the values corrected.</t>
        </is>
      </c>
      <c r="I989" s="3" t="inlineStr">
        <is>
          <t>US pyrazinamide label CLINICAL PHARMACOLOGY — https://dailymed.nlm.nih.gov/dailymed/drugInfo.cfm?setid=262d8829-728c-48db-b89b-88d13b87e684; TW 仿單 Akurit-4 §10.2 Pyrazinamide (半衰期為9-10小時)</t>
        </is>
      </c>
      <c r="J989" s="3" t="inlineStr">
        <is>
          <t>Open</t>
        </is>
      </c>
      <c r="K989" s="3" t="inlineStr"/>
    </row>
    <row r="990">
      <c r="A990" s="3" t="n">
        <v>1205</v>
      </c>
      <c r="B990" s="3" t="inlineStr">
        <is>
          <t>Akurit-4 / Akurit-3 (TB fixed-dose combinations) (AKU02, AKU01)</t>
        </is>
      </c>
      <c r="C990" s="9" t="inlineStr">
        <is>
          <t>Low</t>
        </is>
      </c>
      <c r="D990" s="3" t="inlineStr">
        <is>
          <t>Pharmacokinetics/other</t>
        </is>
      </c>
      <c r="E990" s="3" t="inlineStr"/>
      <c r="F990" s="3" t="inlineStr">
        <is>
          <t>Correct rifampin Tmax to 2–4 h, half-life ~3 h (2–3 h repeated); fix truncated text.</t>
        </is>
      </c>
      <c r="G990" s="3" t="inlineStr">
        <is>
          <t>Time to peak 1–2 h; half-life line truncated '(Infants and Children 6 months to'</t>
        </is>
      </c>
      <c r="H990" s="3" t="inlineStr">
        <is>
          <t>Peak 2–4 h after 10 mg/kg fasting (TW 仿單 §10.2; Rifater SmPC 5.2). Half-life about 3 h after 600 mg, falling to 2–3 h with repeated dosing. The truncated text is a data-entry defect.</t>
        </is>
      </c>
      <c r="I990" s="3" t="inlineStr">
        <is>
          <t>TW 仿單 Akurit-4 §10.2 Rifampin; UK Rifater SmPC 5.2 — https://www.medicines.org.uk/emc/product/1596/smpc</t>
        </is>
      </c>
      <c r="J990" s="3" t="inlineStr">
        <is>
          <t>Open</t>
        </is>
      </c>
      <c r="K990" s="3" t="inlineStr"/>
    </row>
    <row r="991">
      <c r="A991" s="3" t="n">
        <v>1206</v>
      </c>
      <c r="B991" s="3" t="inlineStr">
        <is>
          <t>Akurit-4 / Akurit-3 (TB fixed-dose combinations) (AKU02, AKU01)</t>
        </is>
      </c>
      <c r="C991" s="9" t="inlineStr">
        <is>
          <t>Low</t>
        </is>
      </c>
      <c r="D991" s="3" t="inlineStr">
        <is>
          <t>Pharmacokinetics/other</t>
        </is>
      </c>
      <c r="E991" s="3" t="inlineStr"/>
      <c r="F991" s="3" t="inlineStr">
        <is>
          <t>Rename second 'Isoniazid' PK block to Pyrazinamide; correct protein binding to ~10%, urine ~70%.</t>
        </is>
      </c>
      <c r="G991" s="3" t="inlineStr">
        <is>
          <t>A second block headed 'Isoniazid' gives: half-life 9–10 h, protein binding 50%, urine excretion 4% unchanged.</t>
        </is>
      </c>
      <c r="H991" s="3" t="inlineStr">
        <is>
          <t>This block describes pyrazinamide, not isoniazid. Pyrazinamide: half-life 9–10 h, about 10% protein-bound, about 70% of a dose excreted in urine within 24 h (US PZA label). The same half-life appears in Akurit-4 仿單 §10.2. So the heading is wrong and the 50% protein binding is also wrong.</t>
        </is>
      </c>
      <c r="I991" s="3" t="inlineStr">
        <is>
          <t>US pyrazinamide label, Clinical Pharmacology https://dailymed.nlm.nih.gov/dailymed/drugInfo.cfm?setid=262d8829-728c-48db-b89b-88d13b87e684 ; Akurit-4 仿單 §10.2 https://mcp.fda.gov.tw/im_detail_1/%E8%A1%9B%E7%BD%B2%E8%97%A5%E8%BC%B8%E5%AD%97%E7%AC%AC025518%E8%99%9F</t>
        </is>
      </c>
      <c r="J991" s="3" t="inlineStr">
        <is>
          <t>Open</t>
        </is>
      </c>
      <c r="K991" s="3" t="inlineStr"/>
    </row>
    <row r="992">
      <c r="A992" s="3" t="n">
        <v>1201</v>
      </c>
      <c r="B992" s="3" t="inlineStr">
        <is>
          <t>Akurit-4 / Akurit-3 (TB fixed-dose combinations) (AKU02, AKU01)</t>
        </is>
      </c>
      <c r="C992" s="9" t="inlineStr">
        <is>
          <t>Low</t>
        </is>
      </c>
      <c r="D992" s="3" t="inlineStr">
        <is>
          <t>Pregnancy</t>
        </is>
      </c>
      <c r="E992" s="3" t="inlineStr">
        <is>
          <t>FDA letter category</t>
        </is>
      </c>
      <c r="F992" s="3" t="inlineStr">
        <is>
          <t>Replace retired letter C with narrative pregnancy risk (rifampin postnatal haemorrhage, etc.).</t>
        </is>
      </c>
      <c r="G992" s="3" t="inlineStr">
        <is>
          <t>C</t>
        </is>
      </c>
      <c r="H992" s="3" t="inlineStr">
        <is>
          <t>The FDA retired pregnancy letter categories (PLLR). Labels describe risk in narrative form: rifampin can cause postnatal haemorrhage near term; ethambutol has infant ophthalmic reports; INH is used for active TB because benefit justifies risk.</t>
        </is>
      </c>
      <c r="I992" s="3" t="inlineStr">
        <is>
          <t>US rifampin/isoniazid/ethambutol labels, Pregnancy sections (DailyMed setids 50f706f9…, 6dab7b7b…, e0d4a594…)</t>
        </is>
      </c>
      <c r="J992" s="3" t="inlineStr">
        <is>
          <t>Open</t>
        </is>
      </c>
      <c r="K992" s="3" t="inlineStr"/>
    </row>
    <row r="993">
      <c r="A993" s="3" t="n">
        <v>1209</v>
      </c>
      <c r="B993" s="3" t="inlineStr">
        <is>
          <t>Akurit-4 / Akurit-3 (TB fixed-dose combinations) (AKU02, AKU01)</t>
        </is>
      </c>
      <c r="C993" s="9" t="inlineStr">
        <is>
          <t>Low</t>
        </is>
      </c>
      <c r="D993" s="3" t="inlineStr">
        <is>
          <t>Pregnancy</t>
        </is>
      </c>
      <c r="E993" s="3" t="inlineStr">
        <is>
          <t>FDA letter category</t>
        </is>
      </c>
      <c r="F993" s="3" t="inlineStr">
        <is>
          <t>Remove letter C; describe pregnancy risk narratively per ATS 2016 (first-line drugs not teratogenic).</t>
        </is>
      </c>
      <c r="G993" s="3" t="inlineStr">
        <is>
          <t>C</t>
        </is>
      </c>
      <c r="H993" s="3" t="inlineStr">
        <is>
          <t>The FDA retired letter categories. ATS 2016 notes that all four drugs were 'previously' Category C and says first-line drugs do not appear to be teratogenic in humans. Pregnancy risk should be described instead of given a letter.</t>
        </is>
      </c>
      <c r="I993" s="3" t="inlineStr">
        <is>
          <t>ATS/CDC/IDSA 2016 Pregnancy and Breastfeeding, PMID 27516382 https://www.idsociety.org/practice-guideline/treatment-of-drug-susceptible-tb/</t>
        </is>
      </c>
      <c r="J993" s="3" t="inlineStr">
        <is>
          <t>Open</t>
        </is>
      </c>
      <c r="K993" s="3" t="inlineStr"/>
    </row>
    <row r="994">
      <c r="A994" s="3" t="n">
        <v>232</v>
      </c>
      <c r="B994" s="3" t="inlineStr">
        <is>
          <t>Amikacin (AMI12)</t>
        </is>
      </c>
      <c r="C994" s="9" t="inlineStr">
        <is>
          <t>Low</t>
        </is>
      </c>
      <c r="D994" s="3" t="inlineStr">
        <is>
          <t>Breastfeeding</t>
        </is>
      </c>
      <c r="E994" s="3" t="inlineStr">
        <is>
          <t>LactMed outdated</t>
        </is>
      </c>
      <c r="F994" s="3" t="inlineStr">
        <is>
          <t>Expand: poorly excreted in milk (trace–1.5 mg/L), infant effects unlikely; monitor infant GI flora (LactMed)</t>
        </is>
      </c>
      <c r="G994" s="3" t="inlineStr">
        <is>
          <t>Amikacin is present in breast milk.</t>
        </is>
      </c>
      <c r="H994" s="3" t="inlineStr">
        <is>
          <t>LactMed: poorly excreted into breastmilk (trace to 1.5 mg/L); systemic infant effects unlikely; monitor GI flora effects. US label: not known whether excreted. UK SmPC: excreted in human milk. The hospital wording is not wrong but is incomplete compared with LactMed.</t>
        </is>
      </c>
      <c r="I994" s="3" t="inlineStr">
        <is>
          <t>LactMed NBK501703, https://www.ncbi.nlm.nih.gov/books/NBK501703/</t>
        </is>
      </c>
      <c r="J994" s="3" t="inlineStr">
        <is>
          <t>Open</t>
        </is>
      </c>
      <c r="K994" s="3" t="inlineStr"/>
    </row>
    <row r="995">
      <c r="A995" s="3" t="n">
        <v>226</v>
      </c>
      <c r="B995" s="3" t="inlineStr">
        <is>
          <t>Amikacin (AMI12)</t>
        </is>
      </c>
      <c r="C995" s="9" t="inlineStr">
        <is>
          <t>Low</t>
        </is>
      </c>
      <c r="D995" s="3" t="inlineStr">
        <is>
          <t>Dosing – renal/dialysis</t>
        </is>
      </c>
      <c r="E995" s="3" t="inlineStr"/>
      <c r="F995" s="3" t="inlineStr">
        <is>
          <t>Cite ISPD guideline (PMID 35264029) for intraperitoneal dosing; not in labels</t>
        </is>
      </c>
      <c r="G995" s="3" t="inlineStr">
        <is>
          <t>IP continuous LD 25 mg/L, MD 12 mg/L (also copied into the Notion body)</t>
        </is>
      </c>
      <c r="H995" s="3" t="inlineStr">
        <is>
          <t>Not in any label. UK SmPC mentions only 0.25% irrigation and says intraperitoneal use is not recommended in young children or under anaesthesia/muscle relaxants. Needs an ISPD guideline citation (PMID 35264029).</t>
        </is>
      </c>
      <c r="I995" s="3" t="inlineStr">
        <is>
          <t>UK SmPC 4.2, 4.5 – https://www.medicines.org.uk/emc/product/3784/smpc</t>
        </is>
      </c>
      <c r="J995" s="3" t="inlineStr">
        <is>
          <t>Open</t>
        </is>
      </c>
      <c r="K995" s="3" t="inlineStr"/>
    </row>
    <row r="996">
      <c r="A996" s="3" t="n">
        <v>233</v>
      </c>
      <c r="B996" s="3" t="inlineStr">
        <is>
          <t>Amikacin (AMI12)</t>
        </is>
      </c>
      <c r="C996" s="9" t="inlineStr">
        <is>
          <t>Low</t>
        </is>
      </c>
      <c r="D996" s="3" t="inlineStr">
        <is>
          <t>Pharmacokinetics/other</t>
        </is>
      </c>
      <c r="E996" s="3" t="inlineStr"/>
      <c r="F996" s="3" t="inlineStr">
        <is>
          <t>Attach current TFDA insert PDF (衛署藥製字第024198號) to AMI12 page</t>
        </is>
      </c>
      <c r="G996" s="3" t="inlineStr">
        <is>
          <t>No insert link on the AMI12 page.</t>
        </is>
      </c>
      <c r="H996" s="3" t="inlineStr">
        <is>
          <t>A current TFDA insert exists for the stocked product: 衛署藥製字第024198號, PDF 054024198_仿單_111522-02, uploaded 2022-12-09, licence valid to 2029-10-08.</t>
        </is>
      </c>
      <c r="I996" s="3" t="inlineStr">
        <is>
          <t>https://mcp.fda.gov.tw/im_detail_1/%E8%A1%9B%E7%BD%B2%E8%97%A5%E8%A3%BD%E5%AD%97%E7%AC%AC024198%E8%99%9F</t>
        </is>
      </c>
      <c r="J996" s="3" t="inlineStr">
        <is>
          <t>Open</t>
        </is>
      </c>
      <c r="K996" s="3" t="inlineStr"/>
    </row>
    <row r="997">
      <c r="A997" s="3" t="n">
        <v>222</v>
      </c>
      <c r="B997" s="3" t="inlineStr">
        <is>
          <t>Amikacin (AMI12)</t>
        </is>
      </c>
      <c r="C997" s="9" t="inlineStr">
        <is>
          <t>Low</t>
        </is>
      </c>
      <c r="D997" s="3" t="inlineStr">
        <is>
          <t>Pregnancy</t>
        </is>
      </c>
      <c r="E997" s="3" t="inlineStr">
        <is>
          <t>FDA letter category</t>
        </is>
      </c>
      <c r="F997" s="3" t="inlineStr">
        <is>
          <t>Replace D with label narrative: aminoglycosides can cause fetal harm</t>
        </is>
      </c>
      <c r="G997" s="3" t="inlineStr">
        <is>
          <t>D; Amikacin crosses the placenta.</t>
        </is>
      </c>
      <c r="H997" s="3" t="inlineStr">
        <is>
          <t>FDA letter categories are retired. Current US label wording: 'Aminoglycosides can cause fetal harm when administered to a pregnant woman.' UK SmPC 4.6: use only when clearly needed. The Taiwan insert has no pregnancy section.</t>
        </is>
      </c>
      <c r="I997" s="3" t="inlineStr">
        <is>
          <t>US FDA label WARNINGS – https://dailymed.nlm.nih.gov/dailymed/drugInfo.cfm?setid=f260ff2a-76a0-4672-9516-91c344b67890; UK SmPC 4.6 – https://www.medicines.org.uk/emc/product/3784/smpc</t>
        </is>
      </c>
      <c r="J997" s="3" t="inlineStr">
        <is>
          <t>Open</t>
        </is>
      </c>
      <c r="K997" s="3" t="inlineStr"/>
    </row>
    <row r="998">
      <c r="A998" s="3" t="n">
        <v>228</v>
      </c>
      <c r="B998" s="3" t="inlineStr">
        <is>
          <t>Amikacin (AMI12)</t>
        </is>
      </c>
      <c r="C998" s="9" t="inlineStr">
        <is>
          <t>Low</t>
        </is>
      </c>
      <c r="D998" s="3" t="inlineStr">
        <is>
          <t>Pregnancy</t>
        </is>
      </c>
      <c r="E998" s="3" t="inlineStr">
        <is>
          <t>FDA letter category</t>
        </is>
      </c>
      <c r="F998" s="3" t="inlineStr">
        <is>
          <t>Replace D with narrative fetal-harm statement</t>
        </is>
      </c>
      <c r="G998" s="3" t="inlineStr">
        <is>
          <t>D; Amikacin crosses the placenta.</t>
        </is>
      </c>
      <c r="H998" s="3" t="inlineStr">
        <is>
          <t>FDA letter categories are retired. US label: 'Aminoglycosides can cause fetal harm when administered to a pregnant woman'; no positive evidence of fetal harm for amikacin specifically. UK SmPC 4.6: use only when clearly needed. TW insert has no pregnancy section.</t>
        </is>
      </c>
      <c r="I998" s="3" t="inlineStr">
        <is>
          <t>US label WARNINGS, https://dailymed.nlm.nih.gov/dailymed/drugInfo.cfm?setid=f260ff2a-76a0-4672-9516-91c344b67890 ; UK SmPC 4.6, https://www.medicines.org.uk/emc/product/3784/smpc</t>
        </is>
      </c>
      <c r="J998" s="3" t="inlineStr">
        <is>
          <t>Open</t>
        </is>
      </c>
      <c r="K998" s="3" t="inlineStr"/>
    </row>
    <row r="999">
      <c r="A999" s="3" t="n">
        <v>242</v>
      </c>
      <c r="B999" s="3" t="inlineStr">
        <is>
          <t>AmoClav (Amoxicillin/clavulanate) (AMO04, AMO08)</t>
        </is>
      </c>
      <c r="C999" s="9" t="inlineStr">
        <is>
          <t>Low</t>
        </is>
      </c>
      <c r="D999" s="3" t="inlineStr">
        <is>
          <t>Breastfeeding</t>
        </is>
      </c>
      <c r="E999" s="3" t="inlineStr"/>
      <c r="F999" s="3" t="inlineStr">
        <is>
          <t>Add infant restlessness and rash to monitoring advice (LactMed)</t>
        </is>
      </c>
      <c r="G999" s="3" t="inlineStr">
        <is>
          <t>Compatible; monitor infants for GI disturbances such as thrush and diarrhea</t>
        </is>
      </c>
      <c r="H999" s="3" t="inlineStr">
        <is>
          <t>LactMed: acceptable; monitor the infant for restlessness, diarrhoea and rash. The hospital entry omits restlessness and rash, the most frequent reactions reported. Minor.</t>
        </is>
      </c>
      <c r="I999" s="3" t="inlineStr">
        <is>
          <t>LactMed NBK500776 — https://www.ncbi.nlm.nih.gov/books/NBK500776/</t>
        </is>
      </c>
      <c r="J999" s="3" t="inlineStr">
        <is>
          <t>Open</t>
        </is>
      </c>
      <c r="K999" s="3" t="inlineStr"/>
    </row>
    <row r="1000">
      <c r="A1000" s="3" t="n">
        <v>243</v>
      </c>
      <c r="B1000" s="3" t="inlineStr">
        <is>
          <t>AmoClav (Amoxicillin/clavulanate) (AMO04, AMO08)</t>
        </is>
      </c>
      <c r="C1000" s="9" t="inlineStr">
        <is>
          <t>Low</t>
        </is>
      </c>
      <c r="D1000" s="3" t="inlineStr">
        <is>
          <t>Contraindication/warning</t>
        </is>
      </c>
      <c r="E1000" s="3" t="inlineStr"/>
      <c r="F1000" s="3" t="inlineStr">
        <is>
          <t>Clarify cross-beta-lactam contraindication applies to severe immediate reactions, incl. carbapenems/monobactams</t>
        </is>
      </c>
      <c r="G1000" s="3" t="inlineStr">
        <is>
          <t>Hypersensitivity to amoxicillin, clavulanic acid, other beta-lactams (penicillins, cephalosporins); history of cholestatic jaundice/hepatic dysfunction with amox/clav</t>
        </is>
      </c>
      <c r="H1000" s="3" t="inlineStr">
        <is>
          <t>Consistent overall. The SmPC adds that the other-β-lactam contraindication applies to severe immediate reactions (e.g. anaphylaxis) and also covers carbapenems and monobactams. Minor wording difference only.</t>
        </is>
      </c>
      <c r="I1000" s="3" t="inlineStr">
        <is>
          <t>UK SmPC 4.3 — https://www.medicines.org.uk/emc/product/7211/smpc; US label 4.1 — https://dailymed.nlm.nih.gov/dailymed/drugInfo.cfm?setid=80bef3fd-4f6f-4190-8865-9ac46c8947a3</t>
        </is>
      </c>
      <c r="J1000" s="3" t="inlineStr">
        <is>
          <t>Open</t>
        </is>
      </c>
      <c r="K1000" s="3" t="inlineStr"/>
    </row>
    <row r="1001">
      <c r="A1001" s="3" t="n">
        <v>255</v>
      </c>
      <c r="B1001" s="3" t="inlineStr">
        <is>
          <t>AmoClav (Amoxicillin/clavulanate) (AMO04, AMO08)</t>
        </is>
      </c>
      <c r="C1001" s="9" t="inlineStr">
        <is>
          <t>Low</t>
        </is>
      </c>
      <c r="D1001" s="3" t="inlineStr">
        <is>
          <t>Pharmacokinetics/other</t>
        </is>
      </c>
      <c r="E1001" s="3" t="inlineStr"/>
      <c r="F1001" s="3" t="inlineStr">
        <is>
          <t>Replace oral Tmax with IV PK (peak at end of injection)</t>
        </is>
      </c>
      <c r="G1001" s="3" t="inlineStr">
        <is>
          <t>Clavulanic acid time to peak 1.5 hours</t>
        </is>
      </c>
      <c r="H1001" s="3" t="inlineStr">
        <is>
          <t>This is an oral parameter. After an IV bolus, the peak is at end of injection (1000/200 mg bolus: amoxicillin Cmax 105.4 µg/mL, clavulanate Cmax 28.5 µg/mL).</t>
        </is>
      </c>
      <c r="I1001" s="3" t="inlineStr">
        <is>
          <t>UK SmPC §5.2, https://www.medicines.org.uk/emc/product/7211/smpc</t>
        </is>
      </c>
      <c r="J1001" s="3" t="inlineStr">
        <is>
          <t>Open</t>
        </is>
      </c>
      <c r="K1001" s="3" t="inlineStr"/>
    </row>
    <row r="1002">
      <c r="A1002" s="3" t="n">
        <v>256</v>
      </c>
      <c r="B1002" s="3" t="inlineStr">
        <is>
          <t>AmoClav (Amoxicillin/clavulanate) (AMO04, AMO08)</t>
        </is>
      </c>
      <c r="C1002" s="9" t="inlineStr">
        <is>
          <t>Low</t>
        </is>
      </c>
      <c r="D1002" s="3" t="inlineStr">
        <is>
          <t>Pharmacokinetics/other</t>
        </is>
      </c>
      <c r="E1002" s="3" t="inlineStr"/>
      <c r="F1002" s="3" t="inlineStr">
        <is>
          <t>ATC code: J01CR02 only</t>
        </is>
      </c>
      <c r="G1002" s="3" t="inlineStr">
        <is>
          <t>J01CR02, J01CA04, J01CG</t>
        </is>
      </c>
      <c r="H1002" s="3" t="inlineStr">
        <is>
          <t>J01CR02 only. J01CA04 is amoxicillin alone and J01CG is β-lactamase inhibitors alone.</t>
        </is>
      </c>
      <c r="I1002" s="3" t="inlineStr">
        <is>
          <t>UK SmPC §5.1 (ATC code: J01CR02), https://www.medicines.org.uk/emc/product/7211/smpc</t>
        </is>
      </c>
      <c r="J1002" s="3" t="inlineStr">
        <is>
          <t>Open</t>
        </is>
      </c>
      <c r="K1002" s="3" t="inlineStr"/>
    </row>
    <row r="1003">
      <c r="A1003" s="3" t="n">
        <v>589</v>
      </c>
      <c r="B1003" s="3" t="inlineStr">
        <is>
          <t>Amoxicillin (AMO02)</t>
        </is>
      </c>
      <c r="C1003" s="9" t="inlineStr">
        <is>
          <t>Low</t>
        </is>
      </c>
      <c r="D1003" s="3" t="inlineStr">
        <is>
          <t>Dosing – adult</t>
        </is>
      </c>
      <c r="E1003" s="3" t="inlineStr"/>
      <c r="F1003" s="3" t="inlineStr">
        <is>
          <t>Cite source for 1 g q8-12h and 1 g daily pharyngitis regimens (guideline, not label)</t>
        </is>
      </c>
      <c r="G1003" s="3" t="inlineStr">
        <is>
          <t>Usual dosage range 500 mg to 1 g every 8 to 12 hours; Streptococcal pharyngitis 500 mg twice daily or 1 g once daily for 10 days</t>
        </is>
      </c>
      <c r="H1003" s="3" t="inlineStr">
        <is>
          <t>US general dosing tops out at 500 mg q8h or 875 mg q12h; 1 g q8h appears only in the H. pylori dual regimen. The UK SmPC allows 750 mg–1 g q8h for severe infection. Neither label for immediate-release capsules has a 1 g once-daily pharyngitis regimen; it is guideline-derived. Minor; the hospital should state the source.</t>
        </is>
      </c>
      <c r="I1003" s="3" t="inlineStr">
        <is>
          <t>US FDA label §2.2 Table 1 — https://dailymed.nlm.nih.gov/dailymed/drugInfo.cfm?setid=9b3ab9ea-caee-4186-9068-43ca527c098d; UK SmPC §4.2 — https://www.medicines.org.uk/emc/product/10637/smpc</t>
        </is>
      </c>
      <c r="J1003" s="3" t="inlineStr">
        <is>
          <t>Open</t>
        </is>
      </c>
      <c r="K1003" s="3" t="inlineStr"/>
    </row>
    <row r="1004">
      <c r="A1004" s="3" t="n">
        <v>600</v>
      </c>
      <c r="B1004" s="3" t="inlineStr">
        <is>
          <t>Amoxicillin (AMO02)</t>
        </is>
      </c>
      <c r="C1004" s="9" t="inlineStr">
        <is>
          <t>Low</t>
        </is>
      </c>
      <c r="D1004" s="3" t="inlineStr">
        <is>
          <t>Dosing – adult</t>
        </is>
      </c>
      <c r="E1004" s="3" t="inlineStr"/>
      <c r="F1004" s="3" t="inlineStr">
        <is>
          <t>Note 875 mg regimen not achievable with stocked 250 mg capsule</t>
        </is>
      </c>
      <c r="G1004" s="3" t="inlineStr">
        <is>
          <t>Otitis media/rhinosinusitis/UTI: 500 mg q8h or 875 mg q12h</t>
        </is>
      </c>
      <c r="H1004" s="3" t="inlineStr">
        <is>
          <t>875 mg is a US tablet strength; AMO02 is a 250 mg capsule, so 875 mg cannot be given with the stocked product. Minor: product-context issue, not a label conflict.</t>
        </is>
      </c>
      <c r="I1004" s="3" t="inlineStr">
        <is>
          <t>US label §2.2 Table 1, §3 — https://dailymed.nlm.nih.gov/dailymed/drugInfo.cfm?setid=9b3ab9ea-caee-4186-9068-43ca527c098d</t>
        </is>
      </c>
      <c r="J1004" s="3" t="inlineStr">
        <is>
          <t>Open</t>
        </is>
      </c>
      <c r="K1004" s="3" t="inlineStr"/>
    </row>
    <row r="1005">
      <c r="A1005" s="3" t="n">
        <v>588</v>
      </c>
      <c r="B1005" s="3" t="inlineStr">
        <is>
          <t>Amoxicillin (AMO02)</t>
        </is>
      </c>
      <c r="C1005" s="9" t="inlineStr">
        <is>
          <t>Low</t>
        </is>
      </c>
      <c r="D1005" s="3" t="inlineStr">
        <is>
          <t>Dosing – hepatic</t>
        </is>
      </c>
      <c r="E1005" s="3" t="inlineStr"/>
      <c r="F1005" s="3" t="inlineStr">
        <is>
          <t>Add hepatic caution and periodic LFT monitoring (UK SmPC/TW insert)</t>
        </is>
      </c>
      <c r="G1005" s="3" t="inlineStr">
        <is>
          <t>There are no dosage adjustments provided in the manufacturer's labeling.</t>
        </is>
      </c>
      <c r="H1005" s="3" t="inlineStr">
        <is>
          <t>True for the US label. The UK SmPC, however, says to dose with caution and monitor hepatic function at regular intervals, and the TW insert advises periodic liver checks in long-term use. The hospital text omits the monitoring advice (minor).</t>
        </is>
      </c>
      <c r="I1005" s="3" t="inlineStr">
        <is>
          <t>UK SmPC §4.2 — https://www.medicines.org.uk/emc/product/10637/smpc</t>
        </is>
      </c>
      <c r="J1005" s="3" t="inlineStr">
        <is>
          <t>Open</t>
        </is>
      </c>
      <c r="K1005" s="3" t="inlineStr"/>
    </row>
    <row r="1006">
      <c r="A1006" s="3" t="n">
        <v>597</v>
      </c>
      <c r="B1006" s="3" t="inlineStr">
        <is>
          <t>Amoxicillin (AMO02)</t>
        </is>
      </c>
      <c r="C1006" s="9" t="inlineStr">
        <is>
          <t>Low</t>
        </is>
      </c>
      <c r="D1006" s="3" t="inlineStr">
        <is>
          <t>Dosing – hepatic</t>
        </is>
      </c>
      <c r="E1006" s="3" t="inlineStr"/>
      <c r="F1006" s="3" t="inlineStr">
        <is>
          <t>Add hepatic caution and periodic LFT monitoring on long-term therapy</t>
        </is>
      </c>
      <c r="G1006" s="3" t="inlineStr">
        <is>
          <t>There are no dosage adjustments provided in the manufacturer's labeling.</t>
        </is>
      </c>
      <c r="H1006" s="3" t="inlineStr">
        <is>
          <t>UK SmPC: dose with caution and monitor hepatic function at regular intervals. TW insert: periodic liver function checks on long-term therapy. The hospital entry omits the caution and monitoring advice.</t>
        </is>
      </c>
      <c r="I1006" s="3" t="inlineStr">
        <is>
          <t>UK SmPC §4.2 — https://www.medicines.org.uk/emc/product/10637/smpc; TW 仿單 注意事項</t>
        </is>
      </c>
      <c r="J1006" s="3" t="inlineStr">
        <is>
          <t>Open</t>
        </is>
      </c>
      <c r="K1006" s="3" t="inlineStr"/>
    </row>
    <row r="1007">
      <c r="A1007" s="3" t="n">
        <v>595</v>
      </c>
      <c r="B1007" s="3" t="inlineStr">
        <is>
          <t>Amoxicillin (AMO02)</t>
        </is>
      </c>
      <c r="C1007" s="9" t="inlineStr">
        <is>
          <t>Low</t>
        </is>
      </c>
      <c r="D1007" s="3" t="inlineStr">
        <is>
          <t>Dosing – renal/dialysis</t>
        </is>
      </c>
      <c r="E1007" s="3" t="inlineStr"/>
      <c r="F1007" s="3" t="inlineStr">
        <is>
          <t>Align threshold wording: adjust at GFR &lt;30; avoid 875 mg</t>
        </is>
      </c>
      <c r="G1007" s="3" t="inlineStr">
        <is>
          <t>≥30: no adjustment</t>
        </is>
      </c>
      <c r="H1007" s="3" t="inlineStr">
        <is>
          <t>No adjustment at GFR &gt;30 (UK). Severe impairment is GFR &lt;30 (US); avoid 875 mg at GFR &lt;30. Minor boundary difference.</t>
        </is>
      </c>
      <c r="I1007" s="3" t="inlineStr">
        <is>
          <t>US label §2.5, §8.6; UK SmPC §4.2</t>
        </is>
      </c>
      <c r="J1007" s="3" t="inlineStr">
        <is>
          <t>Open</t>
        </is>
      </c>
      <c r="K1007" s="3" t="inlineStr"/>
    </row>
    <row r="1008">
      <c r="A1008" s="3" t="n">
        <v>587</v>
      </c>
      <c r="B1008" s="3" t="inlineStr">
        <is>
          <t>Amoxicillin (AMO02)</t>
        </is>
      </c>
      <c r="C1008" s="9" t="inlineStr">
        <is>
          <t>Low</t>
        </is>
      </c>
      <c r="D1008" s="3" t="inlineStr">
        <is>
          <t>Pharmacokinetics/other</t>
        </is>
      </c>
      <c r="E1008" s="3" t="inlineStr"/>
      <c r="F1008" s="3" t="inlineStr">
        <is>
          <t>Add licence 衛署藥製字第012051號 and link TFDA insert</t>
        </is>
      </c>
      <c r="G1008" s="3" t="inlineStr">
        <is>
          <t>仿單 field empty; no 許可證字號 shown</t>
        </is>
      </c>
      <c r="H1008" s="3" t="inlineStr">
        <is>
          <t>Licence 衛署藥製字第012051號. The insert 'A012051 In-104-09-24' is on the TFDA platform and should be linked.</t>
        </is>
      </c>
      <c r="I1008" s="3" t="inlineStr">
        <is>
          <t>TFDA 藥品仿單查詢平台 — https://mcp.fda.gov.tw/im_detail_pdf/%E8%A1%9B%E7%BD%B2%E8%97%A5%E8%A3%BD%E5%AD%97%E7%AC%AC012051%E8%99%9F</t>
        </is>
      </c>
      <c r="J1008" s="3" t="inlineStr">
        <is>
          <t>Open</t>
        </is>
      </c>
      <c r="K1008" s="3" t="inlineStr"/>
    </row>
    <row r="1009">
      <c r="A1009" s="3" t="n">
        <v>590</v>
      </c>
      <c r="B1009" s="3" t="inlineStr">
        <is>
          <t>Amoxicillin (AMO02)</t>
        </is>
      </c>
      <c r="C1009" s="9" t="inlineStr">
        <is>
          <t>Low</t>
        </is>
      </c>
      <c r="D1009" s="3" t="inlineStr">
        <is>
          <t>Pharmacokinetics/other</t>
        </is>
      </c>
      <c r="E1009" s="3" t="inlineStr"/>
      <c r="F1009" s="3" t="inlineStr">
        <is>
          <t>Half-life: 61.3 min per US label (trivial)</t>
        </is>
      </c>
      <c r="G1009" s="3" t="inlineStr">
        <is>
          <t>Elimination Half Life: 61.4 min</t>
        </is>
      </c>
      <c r="H1009" s="3" t="inlineStr">
        <is>
          <t>US label: 61.3 minutes. Trivial.</t>
        </is>
      </c>
      <c r="I1009" s="3" t="inlineStr">
        <is>
          <t>US FDA label §12.3 — https://dailymed.nlm.nih.gov/dailymed/drugInfo.cfm?setid=9b3ab9ea-caee-4186-9068-43ca527c098d</t>
        </is>
      </c>
      <c r="J1009" s="3" t="inlineStr">
        <is>
          <t>Open</t>
        </is>
      </c>
      <c r="K1009" s="3" t="inlineStr"/>
    </row>
    <row r="1010">
      <c r="A1010" s="3" t="n">
        <v>598</v>
      </c>
      <c r="B1010" s="3" t="inlineStr">
        <is>
          <t>Amoxicillin (AMO02)</t>
        </is>
      </c>
      <c r="C1010" s="9" t="inlineStr">
        <is>
          <t>Low</t>
        </is>
      </c>
      <c r="D1010" s="3" t="inlineStr">
        <is>
          <t>Pharmacokinetics/other</t>
        </is>
      </c>
      <c r="E1010" s="3" t="inlineStr"/>
      <c r="F1010" s="3" t="inlineStr">
        <is>
          <t>Add licence number and TFDA insert link</t>
        </is>
      </c>
      <c r="G1010" s="3" t="inlineStr">
        <is>
          <t>仿單 field empty; no licence number shown</t>
        </is>
      </c>
      <c r="H1010" s="3" t="inlineStr">
        <is>
          <t>A TFDA insert exists: 衛署藥製字第012051號, 'A012051 In-104-09-24' (2015-09-24)</t>
        </is>
      </c>
      <c r="I1010" s="3" t="inlineStr">
        <is>
          <t>https://mcp.fda.gov.tw/im_detail_pdf/%E8%A1%9B%E7%BD%B2%E8%97%A5%E8%A3%BD%E5%AD%97%E7%AC%AC012051%E8%99%9F</t>
        </is>
      </c>
      <c r="J1010" s="3" t="inlineStr">
        <is>
          <t>Open</t>
        </is>
      </c>
      <c r="K1010" s="3" t="inlineStr"/>
    </row>
    <row r="1011">
      <c r="A1011" s="3" t="n">
        <v>585</v>
      </c>
      <c r="B1011" s="3" t="inlineStr">
        <is>
          <t>Amoxicillin (AMO02)</t>
        </is>
      </c>
      <c r="C1011" s="9" t="inlineStr">
        <is>
          <t>Low</t>
        </is>
      </c>
      <c r="D1011" s="3" t="inlineStr">
        <is>
          <t>Pregnancy</t>
        </is>
      </c>
      <c r="E1011" s="3" t="inlineStr">
        <is>
          <t>FDA letter category</t>
        </is>
      </c>
      <c r="F1011" s="3" t="inlineStr">
        <is>
          <t>Replace FDA letter B with label pregnancy narrative</t>
        </is>
      </c>
      <c r="G1011" s="3" t="inlineStr">
        <is>
          <t>B</t>
        </is>
      </c>
      <c r="H1011" s="3" t="inlineStr">
        <is>
          <t>The FDA has retired letter categories. The current wording is: animal studies show no harm, and limited human data show no increase in malformations; use when benefit outweighs risk.</t>
        </is>
      </c>
      <c r="I1011" s="3" t="inlineStr">
        <is>
          <t>US FDA label §8.1 — https://dailymed.nlm.nih.gov/dailymed/drugInfo.cfm?setid=9b3ab9ea-caee-4186-9068-43ca527c098d; UK SmPC §4.6 — https://www.medicines.org.uk/emc/product/10637/smpc</t>
        </is>
      </c>
      <c r="J1011" s="3" t="inlineStr">
        <is>
          <t>Open</t>
        </is>
      </c>
      <c r="K1011" s="3" t="inlineStr"/>
    </row>
    <row r="1012">
      <c r="A1012" s="3" t="n">
        <v>596</v>
      </c>
      <c r="B1012" s="3" t="inlineStr">
        <is>
          <t>Amoxicillin (AMO02)</t>
        </is>
      </c>
      <c r="C1012" s="9" t="inlineStr">
        <is>
          <t>Low</t>
        </is>
      </c>
      <c r="D1012" s="3" t="inlineStr">
        <is>
          <t>Pregnancy</t>
        </is>
      </c>
      <c r="E1012" s="3" t="inlineStr">
        <is>
          <t>FDA letter category</t>
        </is>
      </c>
      <c r="F1012" s="3" t="inlineStr">
        <is>
          <t>Replace FDA letter B with label pregnancy narrative</t>
        </is>
      </c>
      <c r="G1012" s="3" t="inlineStr">
        <is>
          <t>B</t>
        </is>
      </c>
      <c r="H1012" s="3" t="inlineStr">
        <is>
          <t>FDA letter categories are retired. Describe the data instead: animal studies show no harm; limited human data show no increased malformation risk (US §8.1; UK §4.6)</t>
        </is>
      </c>
      <c r="I1012" s="3" t="inlineStr">
        <is>
          <t>US label §8.1; UK SmPC §4.6</t>
        </is>
      </c>
      <c r="J1012" s="3" t="inlineStr">
        <is>
          <t>Open</t>
        </is>
      </c>
      <c r="K1012" s="3" t="inlineStr"/>
    </row>
    <row r="1013">
      <c r="A1013" s="3" t="n">
        <v>571</v>
      </c>
      <c r="B1013" s="3" t="inlineStr">
        <is>
          <t>Ampolin (Ampicillin) (AMP01)</t>
        </is>
      </c>
      <c r="C1013" s="9" t="inlineStr">
        <is>
          <t>Low</t>
        </is>
      </c>
      <c r="D1013" s="3" t="inlineStr">
        <is>
          <t>Pharmacokinetics/other</t>
        </is>
      </c>
      <c r="E1013" s="3" t="inlineStr"/>
      <c r="F1013" s="3" t="inlineStr">
        <is>
          <t>Storage: change to below 25°C per TW insert (hospital only, not Notion)</t>
        </is>
      </c>
      <c r="G1013" s="3" t="inlineStr">
        <is>
          <t>請置於 15-30℃ 乾燥處儲存</t>
        </is>
      </c>
      <c r="H1013" s="3" t="inlineStr">
        <is>
          <t>The TW insert for the stocked product says 儲存條件 25°C以下, and the UK SmPC says 'Do not store above 25°C'. This is reported for the hospital only; per the owner's rule it is not to be added to Notion.</t>
        </is>
      </c>
      <c r="I1013" s="3" t="inlineStr">
        <is>
          <t>Taiwan insert 儲存條件 https://mcp.fda.gov.tw/insert/pdfcasefile/i_f87fe441-fe10-4930-90d7-250bb0fcbf57</t>
        </is>
      </c>
      <c r="J1013" s="3" t="inlineStr">
        <is>
          <t>Open</t>
        </is>
      </c>
      <c r="K1013" s="3" t="inlineStr"/>
    </row>
    <row r="1014">
      <c r="A1014" s="3" t="n">
        <v>580</v>
      </c>
      <c r="B1014" s="3" t="inlineStr">
        <is>
          <t>Ampolin (Ampicillin) (AMP01)</t>
        </is>
      </c>
      <c r="C1014" s="9" t="inlineStr">
        <is>
          <t>Low</t>
        </is>
      </c>
      <c r="D1014" s="3" t="inlineStr">
        <is>
          <t>Pharmacokinetics/other</t>
        </is>
      </c>
      <c r="E1014" s="3" t="inlineStr"/>
      <c r="F1014" s="3" t="inlineStr">
        <is>
          <t>Remove/verify implausible IV Tmax 2 h (likely IM value)</t>
        </is>
      </c>
      <c r="G1014" s="3" t="inlineStr">
        <is>
          <t>Tmax, IV: 2 hours following 500 mg bolus</t>
        </is>
      </c>
      <c r="H1014" s="3" t="inlineStr">
        <is>
          <t>No label gives an IV Tmax. A 2-hour Tmax after an IV bolus is implausible, because peak concentration occurs at the end of injection. The figure is probably an IM value or a transcription error. It is unsourced and should be checked.</t>
        </is>
      </c>
      <c r="I1014" s="3" t="inlineStr">
        <is>
          <t>DailyMed ampicillin CLINICAL PHARMACOLOGY (no Tmax given) https://dailymed.nlm.nih.gov/dailymed/drugInfo.cfm?setid=3b683547-48ac-48ca-8fd4-6866fd17be34; UK SmPC 5.2 https://www.medicines.org.uk/emc/product/12892/smpc</t>
        </is>
      </c>
      <c r="J1014" s="3" t="inlineStr">
        <is>
          <t>Open</t>
        </is>
      </c>
      <c r="K1014" s="3" t="inlineStr"/>
    </row>
    <row r="1015">
      <c r="A1015" s="3" t="n">
        <v>565</v>
      </c>
      <c r="B1015" s="3" t="inlineStr">
        <is>
          <t>Ampolin (Ampicillin) (AMP01)</t>
        </is>
      </c>
      <c r="C1015" s="9" t="inlineStr">
        <is>
          <t>Low</t>
        </is>
      </c>
      <c r="D1015" s="3" t="inlineStr">
        <is>
          <t>Pregnancy</t>
        </is>
      </c>
      <c r="E1015" s="3" t="inlineStr">
        <is>
          <t>FDA letter category</t>
        </is>
      </c>
      <c r="F1015" s="3" t="inlineStr">
        <is>
          <t>Remove FDA letter 'B'; replace with PLLR narrative risk summary</t>
        </is>
      </c>
      <c r="G1015" s="3" t="inlineStr">
        <is>
          <t>B; Based on available data, penicillin antibiotics are generally considered compatible...</t>
        </is>
      </c>
      <c r="H1015" s="3" t="inlineStr">
        <is>
          <t>The FDA retired letter categories; the US label has narrative text only ('use during pregnancy only if clearly needed'). UK SmPC: well documented in human pregnancy and may be considered appropriate.</t>
        </is>
      </c>
      <c r="I1015" s="3" t="inlineStr">
        <is>
          <t>DailyMed ampicillin PRECAUTIONS–Pregnancy https://dailymed.nlm.nih.gov/dailymed/drugInfo.cfm?setid=3b683547-48ac-48ca-8fd4-6866fd17be34; UK SmPC 4.6 https://www.medicines.org.uk/emc/product/12892/smpc</t>
        </is>
      </c>
      <c r="J1015" s="3" t="inlineStr">
        <is>
          <t>Open</t>
        </is>
      </c>
      <c r="K1015" s="3" t="inlineStr"/>
    </row>
    <row r="1016">
      <c r="A1016" s="3" t="n">
        <v>573</v>
      </c>
      <c r="B1016" s="3" t="inlineStr">
        <is>
          <t>Ampolin (Ampicillin) (AMP01)</t>
        </is>
      </c>
      <c r="C1016" s="9" t="inlineStr">
        <is>
          <t>Low</t>
        </is>
      </c>
      <c r="D1016" s="3" t="inlineStr">
        <is>
          <t>Pregnancy</t>
        </is>
      </c>
      <c r="E1016" s="3" t="inlineStr">
        <is>
          <t>FDA letter category</t>
        </is>
      </c>
      <c r="F1016" s="3" t="inlineStr">
        <is>
          <t>Replace FDA letter B with label pregnancy narrative</t>
        </is>
      </c>
      <c r="G1016" s="3" t="inlineStr">
        <is>
          <t>B; penicillin antibiotics generally considered compatible</t>
        </is>
      </c>
      <c r="H1016" s="3" t="inlineStr">
        <is>
          <t>FDA letter categories have been retired. The US label gives a narrative only (animal studies show no harm; no adequate human studies; use only if clearly needed). The SmPC says ampicillin may be considered appropriate when antibiotic therapy is needed in pregnancy.</t>
        </is>
      </c>
      <c r="I1016" s="3" t="inlineStr">
        <is>
          <t>DailyMed ampicillin PRECAUTIONS – Pregnancy https://dailymed.nlm.nih.gov/dailymed/drugInfo.cfm?setid=3b683547-48ac-48ca-8fd4-6866fd17be34; UK SmPC 4.6 https://www.medicines.org.uk/emc/product/12892/smpc</t>
        </is>
      </c>
      <c r="J1016" s="3" t="inlineStr">
        <is>
          <t>Open</t>
        </is>
      </c>
      <c r="K1016" s="3" t="inlineStr"/>
    </row>
    <row r="1017">
      <c r="A1017" s="3" t="n">
        <v>264</v>
      </c>
      <c r="B1017" s="3" t="inlineStr">
        <is>
          <t>Antifect (Cefepime) (ANT10)</t>
        </is>
      </c>
      <c r="C1017" s="9" t="inlineStr">
        <is>
          <t>Low</t>
        </is>
      </c>
      <c r="D1017" s="3" t="inlineStr">
        <is>
          <t>Pharmacokinetics/other</t>
        </is>
      </c>
      <c r="E1017" s="3" t="inlineStr"/>
      <c r="F1017" s="3" t="inlineStr">
        <is>
          <t>Attach TFDA Antifect insert link (衛署藥製字第047983號)</t>
        </is>
      </c>
      <c r="G1017" s="3" t="inlineStr">
        <is>
          <t>The product page has no package-insert link.</t>
        </is>
      </c>
      <c r="H1017" s="3" t="inlineStr">
        <is>
          <t>The TFDA platform has the Antifect insert (衛署藥製字第047983號), but its online version shows no revision date. The latest history PDF is dated 106/07/24.</t>
        </is>
      </c>
      <c r="I1017" s="3" t="inlineStr">
        <is>
          <t>TFDA 藥品仿單查詢平台 — https://mcp.fda.gov.tw/im_detail_1/%E8%A1%9B%E7%BD%B2%E8%97%A5%E8%A3%BD%E5%AD%97%E7%AC%AC047983%E8%99%9F</t>
        </is>
      </c>
      <c r="J1017" s="3" t="inlineStr">
        <is>
          <t>Open</t>
        </is>
      </c>
      <c r="K1017" s="3" t="inlineStr"/>
    </row>
    <row r="1018">
      <c r="A1018" s="3" t="n">
        <v>262</v>
      </c>
      <c r="B1018" s="3" t="inlineStr">
        <is>
          <t>Antifect (Cefepime) (ANT10)</t>
        </is>
      </c>
      <c r="C1018" s="9" t="inlineStr">
        <is>
          <t>Low</t>
        </is>
      </c>
      <c r="D1018" s="3" t="inlineStr">
        <is>
          <t>Pregnancy</t>
        </is>
      </c>
      <c r="E1018" s="3" t="inlineStr">
        <is>
          <t>FDA letter category</t>
        </is>
      </c>
      <c r="F1018" s="3" t="inlineStr">
        <is>
          <t>Replace category B with PLLR narrative: cephalosporin data reassuring; TW: use only if clearly needed</t>
        </is>
      </c>
      <c r="G1018" s="3" t="inlineStr">
        <is>
          <t>懷孕分類 B; 'There are no adequate and well-controlled studies of cefepime use in pregnant women.'</t>
        </is>
      </c>
      <c r="H1018" s="3" t="inlineStr">
        <is>
          <t>FDA letter categories are retired. The current FDA 8.1 Risk Summary says decades of observational data with cephalosporins show no drug-associated risk, and animal studies are negative. Taiwan insert: use only if clearly needed.</t>
        </is>
      </c>
      <c r="I1018" s="3" t="inlineStr">
        <is>
          <t>US FDA label 8.1 — https://dailymed.nlm.nih.gov/dailymed/drugInfo.cfm?setid=de477f37-40f6-4295-ae72-a2ee36a8922e; Taiwan Antifect insert 6.1</t>
        </is>
      </c>
      <c r="J1018" s="3" t="inlineStr">
        <is>
          <t>Open</t>
        </is>
      </c>
      <c r="K1018" s="3" t="inlineStr"/>
    </row>
    <row r="1019">
      <c r="A1019" s="3" t="n">
        <v>266</v>
      </c>
      <c r="B1019" s="3" t="inlineStr">
        <is>
          <t>Antifect (Cefepime) (ANT10)</t>
        </is>
      </c>
      <c r="C1019" s="9" t="inlineStr">
        <is>
          <t>Low</t>
        </is>
      </c>
      <c r="D1019" s="3" t="inlineStr">
        <is>
          <t>Pregnancy</t>
        </is>
      </c>
      <c r="E1019" s="3" t="inlineStr">
        <is>
          <t>FDA letter category</t>
        </is>
      </c>
      <c r="F1019" s="3" t="inlineStr">
        <is>
          <t>Remove letter B; use FDA 8.1 narrative and TW 'use only if clearly needed'</t>
        </is>
      </c>
      <c r="G1019" s="3" t="inlineStr">
        <is>
          <t>B</t>
        </is>
      </c>
      <c r="H1019" s="3" t="inlineStr">
        <is>
          <t>No letter category; FDA PLLR narrative Risk Summary (no cefepime cases; cephalosporin data reassuring; animal studies negative). TW insert: use only if clearly needed.</t>
        </is>
      </c>
      <c r="I1019" s="3" t="inlineStr">
        <is>
          <t>US FDA label §8.1 — https://dailymed.nlm.nih.gov/dailymed/drugInfo.cfm?setid=de477f37-40f6-4295-ae72-a2ee36a8922e ; Taiwan Antifect insert §6.1</t>
        </is>
      </c>
      <c r="J1019" s="3" t="inlineStr">
        <is>
          <t>Open</t>
        </is>
      </c>
      <c r="K1019" s="3" t="inlineStr"/>
    </row>
    <row r="1020">
      <c r="A1020" s="3" t="n">
        <v>1363</v>
      </c>
      <c r="B1020" s="3" t="inlineStr">
        <is>
          <t>Baraclude / Envir (Entecavir) (BAR03, ENV01, ENV02)</t>
        </is>
      </c>
      <c r="C1020" s="9" t="inlineStr">
        <is>
          <t>Low</t>
        </is>
      </c>
      <c r="D1020" s="3" t="inlineStr">
        <is>
          <t>Contraindication/warning</t>
        </is>
      </c>
      <c r="E1020" s="3" t="inlineStr"/>
      <c r="F1020" s="3" t="inlineStr">
        <is>
          <t>State which label is followed (UK: hypersensitivity; US: none).</t>
        </is>
      </c>
      <c r="G1020" s="3" t="inlineStr">
        <is>
          <t>Hypersensitivity to entecavir or any component</t>
        </is>
      </c>
      <c r="H1020" s="3" t="inlineStr">
        <is>
          <t>This matches UK §4.3. US §4 lists 'None'. Not an error, but the pages should state which label they follow.</t>
        </is>
      </c>
      <c r="I1020" s="3" t="inlineStr">
        <is>
          <t>UK SmPC §4.3; US FDA label §4</t>
        </is>
      </c>
      <c r="J1020" s="3" t="inlineStr">
        <is>
          <t>Open</t>
        </is>
      </c>
      <c r="K1020" s="3" t="inlineStr"/>
    </row>
    <row r="1021">
      <c r="A1021" s="3" t="n">
        <v>1362</v>
      </c>
      <c r="B1021" s="3" t="inlineStr">
        <is>
          <t>Baraclude / Envir (Entecavir) (BAR03, ENV01, ENV02)</t>
        </is>
      </c>
      <c r="C1021" s="9" t="inlineStr">
        <is>
          <t>Low</t>
        </is>
      </c>
      <c r="D1021" s="3" t="inlineStr">
        <is>
          <t>Pharmacokinetics/other</t>
        </is>
      </c>
      <c r="E1021" s="3" t="inlineStr"/>
      <c r="F1021" s="3" t="inlineStr">
        <is>
          <t>Correct urinary unchanged excretion to 62–73%.</t>
        </is>
      </c>
      <c r="G1021" s="3" t="inlineStr">
        <is>
          <t>Urine (60% to 73% as unchanged drug)</t>
        </is>
      </c>
      <c r="H1021" s="3" t="inlineStr">
        <is>
          <t>62% to 73% of the dose recovered unchanged in urine at steady state (minor discrepancy).</t>
        </is>
      </c>
      <c r="I1021" s="3" t="inlineStr">
        <is>
          <t>US FDA label §12.3; TW Baraclude §11</t>
        </is>
      </c>
      <c r="J1021" s="3" t="inlineStr">
        <is>
          <t>Open</t>
        </is>
      </c>
      <c r="K1021" s="3" t="inlineStr"/>
    </row>
    <row r="1022">
      <c r="A1022" s="3" t="n">
        <v>1364</v>
      </c>
      <c r="B1022" s="3" t="inlineStr">
        <is>
          <t>Baraclude / Envir (Entecavir) (BAR03, ENV01, ENV02)</t>
        </is>
      </c>
      <c r="C1022" s="9" t="inlineStr">
        <is>
          <t>Low</t>
        </is>
      </c>
      <c r="D1022" s="3" t="inlineStr">
        <is>
          <t>Pharmacokinetics/other</t>
        </is>
      </c>
      <c r="E1022" s="3" t="inlineStr"/>
      <c r="F1022" s="3" t="inlineStr">
        <is>
          <t>Fix spelling 'Necleoside' to 'Nucleoside'.</t>
        </is>
      </c>
      <c r="G1022" s="3" t="inlineStr">
        <is>
          <t>Necleoside &amp; Nucleotide Antivirals</t>
        </is>
      </c>
      <c r="H1022" s="3" t="inlineStr">
        <is>
          <t>The spelling should be 'Nucleoside &amp; Nucleotide Antivirals' (UK §5.1 pharmacotherapeutic group: nucleoside and nucleotide reverse transcriptase inhibitors).</t>
        </is>
      </c>
      <c r="I1022" s="3" t="inlineStr">
        <is>
          <t>UK SmPC §5.1 https://www.medicines.org.uk/emc/product/213/smpc</t>
        </is>
      </c>
      <c r="J1022" s="3" t="inlineStr">
        <is>
          <t>Open</t>
        </is>
      </c>
      <c r="K1022" s="3" t="inlineStr"/>
    </row>
    <row r="1023">
      <c r="A1023" s="3" t="n">
        <v>1365</v>
      </c>
      <c r="B1023" s="3" t="inlineStr">
        <is>
          <t>Baraclude / Envir (Entecavir) (BAR03, ENV01, ENV02)</t>
        </is>
      </c>
      <c r="C1023" s="9" t="inlineStr">
        <is>
          <t>Low</t>
        </is>
      </c>
      <c r="D1023" s="3" t="inlineStr">
        <is>
          <t>Pharmacokinetics/other</t>
        </is>
      </c>
      <c r="E1023" s="3" t="inlineStr"/>
      <c r="F1023" s="3" t="inlineStr">
        <is>
          <t>Correct Chinese name to 欣苷膜衣錠.</t>
        </is>
      </c>
      <c r="G1023" s="3" t="inlineStr">
        <is>
          <t>欣甘膜衣錠 / 欣甘膜衣錠1毫克</t>
        </is>
      </c>
      <c r="H1023" s="3" t="inlineStr">
        <is>
          <t>The TFDA licence and the insert name is 欣苷膜衣錠 (苷, not 甘).</t>
        </is>
      </c>
      <c r="I1023" s="3" t="inlineStr">
        <is>
          <t>TW Envir insert 衛署藥製字第057322/057856號 https://mcp.fda.gov.tw/insert/pdfcasefile/i_ccd5c001-716d-4dd9-84c7-90b33ba9e611</t>
        </is>
      </c>
      <c r="J1023" s="3" t="inlineStr">
        <is>
          <t>Open</t>
        </is>
      </c>
      <c r="K1023" s="3" t="inlineStr"/>
    </row>
    <row r="1024">
      <c r="A1024" s="3" t="n">
        <v>1366</v>
      </c>
      <c r="B1024" s="3" t="inlineStr">
        <is>
          <t>Baraclude / Envir (Entecavir) (BAR03, ENV01, ENV02)</t>
        </is>
      </c>
      <c r="C1024" s="9" t="inlineStr">
        <is>
          <t>Low</t>
        </is>
      </c>
      <c r="D1024" s="3" t="inlineStr">
        <is>
          <t>Pharmacokinetics/other</t>
        </is>
      </c>
      <c r="E1024" s="3" t="inlineStr"/>
      <c r="F1024" s="3" t="inlineStr">
        <is>
          <t>Add TFDA insert links and licence numbers for Baraclude and Envir.</t>
        </is>
      </c>
      <c r="G1024" s="3" t="inlineStr">
        <is>
          <t>仿單 field empty; no licence number shown</t>
        </is>
      </c>
      <c r="H1024" s="3" t="inlineStr">
        <is>
          <t>The TFDA inserts exist: Baraclude 衛署藥輸字第024469號 (insert updated 2022-12-27); Envir 衛署藥製字第057322號 / 第057856號 (C版 2016-12-02). The pages should link them.</t>
        </is>
      </c>
      <c r="I1024" s="3" t="inlineStr">
        <is>
          <t>TFDA https://mcp.fda.gov.tw/im_detail_1/%E8%A1%9B%E7%BD%B2%E8%97%A5%E8%BC%B8%E5%AD%97%E7%AC%AC024469%E8%99%9F ; https://mcp.fda.gov.tw/insert/pdfcasefile/i_ccd5c001-716d-4dd9-84c7-90b33ba9e611</t>
        </is>
      </c>
      <c r="J1024" s="3" t="inlineStr">
        <is>
          <t>Open</t>
        </is>
      </c>
      <c r="K1024" s="3" t="inlineStr"/>
    </row>
    <row r="1025">
      <c r="A1025" s="3" t="n">
        <v>1373</v>
      </c>
      <c r="B1025" s="3" t="inlineStr">
        <is>
          <t>Baraclude / Envir (Entecavir) (BAR03, ENV01, ENV02)</t>
        </is>
      </c>
      <c r="C1025" s="9" t="inlineStr">
        <is>
          <t>Low</t>
        </is>
      </c>
      <c r="D1025" s="3" t="inlineStr">
        <is>
          <t>Pharmacokinetics/other</t>
        </is>
      </c>
      <c r="E1025" s="3" t="inlineStr"/>
      <c r="F1025" s="3" t="inlineStr">
        <is>
          <t>Correct drug class spelling 'Necleoside' to 'Nucleoside'.</t>
        </is>
      </c>
      <c r="G1025" s="3" t="inlineStr">
        <is>
          <t>'Necleoside &amp; Nucleotide Antivirals'</t>
        </is>
      </c>
      <c r="H1025" s="3" t="inlineStr">
        <is>
          <t>Spelling should be 'Nucleoside'. US §1 calls entecavir a nucleoside analogue reverse transcriptase inhibitor.</t>
        </is>
      </c>
      <c r="I1025" s="3" t="inlineStr">
        <is>
          <t>US FDA label §1 https://dailymed.nlm.nih.gov/dailymed/drugInfo.cfm?setid=d59e9ea4-09ea-47bd-af2f-39f7a2e2aceb</t>
        </is>
      </c>
      <c r="J1025" s="3" t="inlineStr">
        <is>
          <t>Open</t>
        </is>
      </c>
      <c r="K1025" s="3" t="inlineStr"/>
    </row>
    <row r="1026">
      <c r="A1026" s="3" t="n">
        <v>1374</v>
      </c>
      <c r="B1026" s="3" t="inlineStr">
        <is>
          <t>Baraclude / Envir (Entecavir) (BAR03, ENV01, ENV02)</t>
        </is>
      </c>
      <c r="C1026" s="9" t="inlineStr">
        <is>
          <t>Low</t>
        </is>
      </c>
      <c r="D1026" s="3" t="inlineStr">
        <is>
          <t>Pharmacokinetics/other</t>
        </is>
      </c>
      <c r="E1026" s="3" t="inlineStr"/>
      <c r="F1026" s="3" t="inlineStr">
        <is>
          <t>Correct Chinese brand name to 欣苷膜衣錠 (苷, not 甘).</t>
        </is>
      </c>
      <c r="G1026" s="3" t="inlineStr">
        <is>
          <t>欣甘膜衣錠 / 欣甘膜衣錠1毫克</t>
        </is>
      </c>
      <c r="H1026" s="3" t="inlineStr">
        <is>
          <t>The TFDA licence and insert name is 欣苷膜衣錠 (苷, not 甘).</t>
        </is>
      </c>
      <c r="I1026" s="3" t="inlineStr">
        <is>
          <t>TW Envir insert (衛署藥製字第057322/057856號) header https://mcp.fda.gov.tw/insert/pdfcasefile/i_ccd5c001-716d-4dd9-84c7-90b33ba9e611</t>
        </is>
      </c>
      <c r="J1026" s="3" t="inlineStr">
        <is>
          <t>Open</t>
        </is>
      </c>
      <c r="K1026" s="3" t="inlineStr"/>
    </row>
    <row r="1027">
      <c r="A1027" s="3" t="n">
        <v>1375</v>
      </c>
      <c r="B1027" s="3" t="inlineStr">
        <is>
          <t>Baraclude / Envir (Entecavir) (BAR03, ENV01, ENV02)</t>
        </is>
      </c>
      <c r="C1027" s="9" t="inlineStr">
        <is>
          <t>Low</t>
        </is>
      </c>
      <c r="D1027" s="3" t="inlineStr">
        <is>
          <t>Pharmacokinetics/other</t>
        </is>
      </c>
      <c r="E1027" s="3" t="inlineStr"/>
      <c r="F1027" s="3" t="inlineStr">
        <is>
          <t>State tablet bioavailability is 100% relative to oral solution; absolute bioavailability not stated.</t>
        </is>
      </c>
      <c r="G1027" s="3" t="inlineStr">
        <is>
          <t>'Bioavailability: 100%'</t>
        </is>
      </c>
      <c r="H1027" s="3" t="inlineStr">
        <is>
          <t>The label says tablet bioavailability is 100% relative to the oral solution. Absolute bioavailability is not stated.</t>
        </is>
      </c>
      <c r="I1027" s="3" t="inlineStr">
        <is>
          <t>US FDA label §12.3 Absorption https://dailymed.nlm.nih.gov/dailymed/drugInfo.cfm?setid=d59e9ea4-09ea-47bd-af2f-39f7a2e2aceb</t>
        </is>
      </c>
      <c r="J1027" s="3" t="inlineStr">
        <is>
          <t>Open</t>
        </is>
      </c>
      <c r="K1027" s="3" t="inlineStr"/>
    </row>
    <row r="1028">
      <c r="A1028" s="3" t="n">
        <v>1376</v>
      </c>
      <c r="B1028" s="3" t="inlineStr">
        <is>
          <t>Baraclude / Envir (Entecavir) (BAR03, ENV01, ENV02)</t>
        </is>
      </c>
      <c r="C1028" s="9" t="inlineStr">
        <is>
          <t>Low</t>
        </is>
      </c>
      <c r="D1028" s="3" t="inlineStr">
        <is>
          <t>Pharmacokinetics/other</t>
        </is>
      </c>
      <c r="E1028" s="3" t="inlineStr"/>
      <c r="F1028" s="3" t="inlineStr">
        <is>
          <t>Change urinary excretion to 62–73% unchanged at steady state.</t>
        </is>
      </c>
      <c r="G1028" s="3" t="inlineStr">
        <is>
          <t>'Urine (60% to 73% as unchanged drug)'</t>
        </is>
      </c>
      <c r="H1028" s="3" t="inlineStr">
        <is>
          <t>62% to 73% of the dose recovered unchanged in urine at steady state (minor).</t>
        </is>
      </c>
      <c r="I1028" s="3" t="inlineStr">
        <is>
          <t>US FDA label §12.3 Metabolism and Elimination; TW Baraclude insert 藥動學</t>
        </is>
      </c>
      <c r="J1028" s="3" t="inlineStr">
        <is>
          <t>Open</t>
        </is>
      </c>
      <c r="K1028" s="3" t="inlineStr"/>
    </row>
    <row r="1029">
      <c r="A1029" s="3" t="n">
        <v>1377</v>
      </c>
      <c r="B1029" s="3" t="inlineStr">
        <is>
          <t>Baraclude / Envir (Entecavir) (BAR03, ENV01, ENV02)</t>
        </is>
      </c>
      <c r="C1029" s="9" t="inlineStr">
        <is>
          <t>Low</t>
        </is>
      </c>
      <c r="D1029" s="3" t="inlineStr">
        <is>
          <t>Pharmacokinetics/other</t>
        </is>
      </c>
      <c r="E1029" s="3" t="inlineStr"/>
      <c r="F1029" s="3" t="inlineStr">
        <is>
          <t>Add TFDA insert links and licence numbers for Baraclude and Envir.</t>
        </is>
      </c>
      <c r="G1029" s="3" t="inlineStr">
        <is>
          <t>仿單 link empty; no licence number shown</t>
        </is>
      </c>
      <c r="H1029" s="3" t="inlineStr">
        <is>
          <t>Inserts exist on TFDA: Baraclude 衛署藥輸字第024469號 (updated 2022-12-27); Envir 衛署藥製字第057322號/第057856號.</t>
        </is>
      </c>
      <c r="I1029" s="3" t="inlineStr">
        <is>
          <t>https://mcp.fda.gov.tw/im_detail_1/%E8%A1%9B%E7%BD%B2%E8%97%A5%E8%BC%B8%E5%AD%97%E7%AC%AC024469%E8%99%9F ; https://mcp.fda.gov.tw/insert/pdfcasefile/i_ccd5c001-716d-4dd9-84c7-90b33ba9e611</t>
        </is>
      </c>
      <c r="J1029" s="3" t="inlineStr">
        <is>
          <t>Open</t>
        </is>
      </c>
      <c r="K1029" s="3" t="inlineStr"/>
    </row>
    <row r="1030">
      <c r="A1030" s="3" t="n">
        <v>1358</v>
      </c>
      <c r="B1030" s="3" t="inlineStr">
        <is>
          <t>Baraclude / Envir (Entecavir) (BAR03, ENV01, ENV02)</t>
        </is>
      </c>
      <c r="C1030" s="9" t="inlineStr">
        <is>
          <t>Low</t>
        </is>
      </c>
      <c r="D1030" s="3" t="inlineStr">
        <is>
          <t>Pregnancy</t>
        </is>
      </c>
      <c r="E1030" s="3" t="inlineStr">
        <is>
          <t>FDA letter category</t>
        </is>
      </c>
      <c r="F1030" s="3" t="inlineStr">
        <is>
          <t>Replace 'C' with PLLR narrative; APR data insufficient.</t>
        </is>
      </c>
      <c r="G1030" s="3" t="inlineStr">
        <is>
          <t>C</t>
        </is>
      </c>
      <c r="H1030" s="3" t="inlineStr">
        <is>
          <t>The FDA retired letter categories (PLLR). US §8.1 gives a narrative: APR data insufficient, no developmental toxicity at clinically relevant animal exposures. UK §4.6: do not use unless clearly necessary. (The TW Envir insert C版 2016 still prints 懷孕用藥分級C級, which is outdated. The TW Baraclude insert gives a narrative.)</t>
        </is>
      </c>
      <c r="I1030" s="3" t="inlineStr">
        <is>
          <t>US FDA label §8.1 https://dailymed.nlm.nih.gov/dailymed/drugInfo.cfm?setid=d59e9ea4-09ea-47bd-af2f-39f7a2e2aceb ; UK SmPC §4.6 https://www.medicines.org.uk/emc/product/213/smpc</t>
        </is>
      </c>
      <c r="J1030" s="3" t="inlineStr">
        <is>
          <t>Open</t>
        </is>
      </c>
      <c r="K1030" s="3" t="inlineStr"/>
    </row>
    <row r="1031">
      <c r="A1031" s="3" t="n">
        <v>1368</v>
      </c>
      <c r="B1031" s="3" t="inlineStr">
        <is>
          <t>Baraclude / Envir (Entecavir) (BAR03, ENV01, ENV02)</t>
        </is>
      </c>
      <c r="C1031" s="9" t="inlineStr">
        <is>
          <t>Low</t>
        </is>
      </c>
      <c r="D1031" s="3" t="inlineStr">
        <is>
          <t>Pregnancy</t>
        </is>
      </c>
      <c r="E1031" s="3" t="inlineStr">
        <is>
          <t>FDA letter category</t>
        </is>
      </c>
      <c r="F1031" s="3" t="inlineStr">
        <is>
          <t>Replace 'C' with PLLR narrative per US 8.1 and TW Baraclude.</t>
        </is>
      </c>
      <c r="G1031" s="3" t="inlineStr">
        <is>
          <t>C</t>
        </is>
      </c>
      <c r="H1031" s="3" t="inlineStr">
        <is>
          <t>The FDA retired letter categories. The US label 8.1 (PLLR) says APR data are insufficient and there was no developmental toxicity at clinically relevant exposures. The TW Baraclude insert (2022) §6.1 has no letter and says use only if benefit &gt; risk. Only the outdated Envir insert (2016) still prints 懷孕用藥分級C級.</t>
        </is>
      </c>
      <c r="I1031" s="3" t="inlineStr">
        <is>
          <t>US FDA label §8.1 https://dailymed.nlm.nih.gov/dailymed/drugInfo.cfm?setid=d59e9ea4-09ea-47bd-af2f-39f7a2e2aceb ; TW Baraclude insert §6.1 https://mcp.fda.gov.tw/im_detail_1/%E8%A1%9B%E7%BD%B2%E8%97%A5%E8%BC%B8%E5%AD%97%E7%AC%AC024469%E8%99%9F</t>
        </is>
      </c>
      <c r="J1031" s="3" t="inlineStr">
        <is>
          <t>Open</t>
        </is>
      </c>
      <c r="K1031" s="3" t="inlineStr"/>
    </row>
    <row r="1032">
      <c r="A1032" s="3" t="n">
        <v>623</v>
      </c>
      <c r="B1032" s="3" t="inlineStr">
        <is>
          <t>Bicillin (Penicillin G benzathine) (PEN11, BIC02)</t>
        </is>
      </c>
      <c r="C1032" s="9" t="inlineStr">
        <is>
          <t>Low</t>
        </is>
      </c>
      <c r="D1032" s="3" t="inlineStr">
        <is>
          <t>Adverse effects</t>
        </is>
      </c>
      <c r="E1032" s="3" t="inlineStr"/>
      <c r="F1032" s="3" t="inlineStr">
        <is>
          <t>Qualify Hoigné syndrome as procaine-associated/intravascular injection</t>
        </is>
      </c>
      <c r="G1032" s="3" t="inlineStr">
        <is>
          <t>Listed as serious adverse effects of Bicillin L-A with no qualifier.</t>
        </is>
      </c>
      <c r="H1032" s="3" t="inlineStr">
        <is>
          <t>Hoigné syndrome (agitation, hallucinations, fear of impending death) is reported after penicillin G procaine, and 'less commonly' after the benzathine + procaine combination (Bicillin C-R). For benzathine alone, the UK SmPC links it to inadvertent intravascular injection (microemboli). This is a minor context issue only.</t>
        </is>
      </c>
      <c r="I1032" s="3" t="inlineStr">
        <is>
          <t>US label ADVERSE REACTIONS (Nervous System) – https://dailymed.nlm.nih.gov/dailymed/drugInfo.cfm?setid=012d46f1-d0a0-4676-a879-cd320297ab16 ; UK SmPC §4.4 – https://www.medicines.org.uk/emc/product/11043/smpc</t>
        </is>
      </c>
      <c r="J1032" s="3" t="inlineStr">
        <is>
          <t>Open</t>
        </is>
      </c>
      <c r="K1032" s="3" t="inlineStr"/>
    </row>
    <row r="1033">
      <c r="A1033" s="3" t="n">
        <v>633</v>
      </c>
      <c r="B1033" s="3" t="inlineStr">
        <is>
          <t>Bicillin (Penicillin G benzathine) (PEN11, BIC02)</t>
        </is>
      </c>
      <c r="C1033" s="9" t="inlineStr">
        <is>
          <t>Low</t>
        </is>
      </c>
      <c r="D1033" s="3" t="inlineStr">
        <is>
          <t>Adverse effects</t>
        </is>
      </c>
      <c r="E1033" s="3" t="inlineStr"/>
      <c r="F1033" s="3" t="inlineStr">
        <is>
          <t>Qualify Hoigné reaction; list benzathine neurologic events (seizures, transverse myelitis)</t>
        </is>
      </c>
      <c r="G1033" s="3" t="inlineStr">
        <is>
          <t>Lists 'Agitation, Fear of death, Hallucinations' as serious neurologic effects of this product.</t>
        </is>
      </c>
      <c r="H1033" s="3" t="inlineStr">
        <is>
          <t>The label says this Hoigné syndrome was reported after penicillin G procaine and, less commonly, after the benzathine + procaine combination. Its listed neurologic events for benzathine are seizures, transverse myelitis, coma and others. This is minor.</t>
        </is>
      </c>
      <c r="I1033" s="3" t="inlineStr">
        <is>
          <t>DailyMed ADVERSE REACTIONS – Nervous System https://dailymed.nlm.nih.gov/dailymed/drugInfo.cfm?setid=012d46f1-d0a0-4676-a879-cd320297ab16</t>
        </is>
      </c>
      <c r="J1033" s="3" t="inlineStr">
        <is>
          <t>Open</t>
        </is>
      </c>
      <c r="K1033" s="3" t="inlineStr"/>
    </row>
    <row r="1034">
      <c r="A1034" s="3" t="n">
        <v>626</v>
      </c>
      <c r="B1034" s="3" t="inlineStr">
        <is>
          <t>Bicillin (Penicillin G benzathine) (PEN11, BIC02)</t>
        </is>
      </c>
      <c r="C1034" s="9" t="inlineStr">
        <is>
          <t>Low</t>
        </is>
      </c>
      <c r="D1034" s="3" t="inlineStr">
        <is>
          <t>Breastfeeding</t>
        </is>
      </c>
      <c r="E1034" s="3" t="inlineStr"/>
      <c r="F1034" s="3" t="inlineStr">
        <is>
          <t>Cite LactMed for lactation; add label pregnancy safety statement</t>
        </is>
      </c>
      <c r="G1034" s="3" t="inlineStr">
        <is>
          <t>Pregnancy: regimen same as for nonpregnant patients by syphilis stage. Lactation: 'considered compatible with breastfeeding' (no source given).</t>
        </is>
      </c>
      <c r="H1034" s="3" t="inlineStr">
        <is>
          <t>These fields are unsourced summaries. The lactation statement agrees with LactMed ('acceptable in nursing mothers') but not with the label ('Caution should be exercised'). The pregnancy text gives no label safety statement (animal data, 'use only if clearly needed'). Minor.</t>
        </is>
      </c>
      <c r="I1034" s="3" t="inlineStr">
        <is>
          <t>LactMed NBK501138 – https://www.ncbi.nlm.nih.gov/books/NBK501138/ ; US label Nursing Mothers / Teratogenic effects – https://dailymed.nlm.nih.gov/dailymed/drugInfo.cfm?setid=012d46f1-d0a0-4676-a879-cd320297ab16</t>
        </is>
      </c>
      <c r="J1034" s="3" t="inlineStr">
        <is>
          <t>Open</t>
        </is>
      </c>
      <c r="K1034" s="3" t="inlineStr"/>
    </row>
    <row r="1035">
      <c r="A1035" s="3" t="n">
        <v>631</v>
      </c>
      <c r="B1035" s="3" t="inlineStr">
        <is>
          <t>Bicillin (Penicillin G benzathine) (PEN11, BIC02)</t>
        </is>
      </c>
      <c r="C1035" s="9" t="inlineStr">
        <is>
          <t>Low</t>
        </is>
      </c>
      <c r="D1035" s="3" t="inlineStr">
        <is>
          <t>Dosing – adult</t>
        </is>
      </c>
      <c r="E1035" s="3" t="inlineStr"/>
      <c r="F1035" s="3" t="inlineStr">
        <is>
          <t>Cite US label for 600,000 U q2w GN option (TW lists monthly only)</t>
        </is>
      </c>
      <c r="G1035" s="3" t="inlineStr">
        <is>
          <t>'1.2 million units every 4 weeks or 600,000 units twice monthly'</t>
        </is>
      </c>
      <c r="H1035" s="3" t="inlineStr">
        <is>
          <t>The Taiwan insert for the stocked product lists only 1,200,000 U monthly for GN. The 600,000 U q2w option comes from the US label (Pfizer US, DailyMed v35). This is minor; the source label should be stated.</t>
        </is>
      </c>
      <c r="I1035" s="3" t="inlineStr">
        <is>
          <t>Taiwan insert 3.1; DailyMed DOSAGE AND ADMINISTRATION</t>
        </is>
      </c>
      <c r="J1035" s="3" t="inlineStr">
        <is>
          <t>Open</t>
        </is>
      </c>
      <c r="K1035" s="3" t="inlineStr"/>
    </row>
    <row r="1036">
      <c r="A1036" s="3" t="n">
        <v>622</v>
      </c>
      <c r="B1036" s="3" t="inlineStr">
        <is>
          <t>Bicillin (Penicillin G benzathine) (PEN11, BIC02)</t>
        </is>
      </c>
      <c r="C1036" s="9" t="inlineStr">
        <is>
          <t>Low</t>
        </is>
      </c>
      <c r="D1036" s="3" t="inlineStr">
        <is>
          <t>Pharmacokinetics/other</t>
        </is>
      </c>
      <c r="E1036" s="3" t="inlineStr"/>
      <c r="F1036" s="3" t="inlineStr">
        <is>
          <t>Update insert reference to 2024-01-23 revision</t>
        </is>
      </c>
      <c r="G1036" s="3" t="inlineStr">
        <is>
          <t>#仿單變更2021</t>
        </is>
      </c>
      <c r="H1036" s="3" t="inlineStr">
        <is>
          <t>The current TFDA insert was updated 113/01/23 (2024-01-23), version USPI 202311-1. It adds the TW-specific rheumatic fever (q4w; q3w high risk) and GN (monthly) prophylaxis wording and the 27 kg pediatric cut-off.</t>
        </is>
      </c>
      <c r="I1036" s="3" t="inlineStr">
        <is>
          <t>TFDA insert page – https://mcp.fda.gov.tw/im_detail_1/%E8%A1%9B%E9%83%A8%E8%97%A5%E8%BC%B8%E5%AD%97%E7%AC%AC026966%E8%99%9F</t>
        </is>
      </c>
      <c r="J1036" s="3" t="inlineStr">
        <is>
          <t>Open</t>
        </is>
      </c>
      <c r="K1036" s="3" t="inlineStr"/>
    </row>
    <row r="1037">
      <c r="A1037" s="3" t="n">
        <v>632</v>
      </c>
      <c r="B1037" s="3" t="inlineStr">
        <is>
          <t>Bicillin (Penicillin G benzathine) (PEN11, BIC02)</t>
        </is>
      </c>
      <c r="C1037" s="9" t="inlineStr">
        <is>
          <t>Low</t>
        </is>
      </c>
      <c r="D1037" s="3" t="inlineStr">
        <is>
          <t>Pharmacokinetics/other</t>
        </is>
      </c>
      <c r="E1037" s="3" t="inlineStr"/>
      <c r="F1037" s="3" t="inlineStr">
        <is>
          <t>Update insert tag to 2024 revision</t>
        </is>
      </c>
      <c r="G1037" s="3" t="inlineStr">
        <is>
          <t>Says the insert was last changed in 2021.</t>
        </is>
      </c>
      <c r="H1037" s="3" t="inlineStr">
        <is>
          <t>The current TFDA insert was updated 113/01/23 (2024-01-23), version USPI 202311-1. The hospital page may not reflect the latest insert.</t>
        </is>
      </c>
      <c r="I1037" s="3" t="inlineStr">
        <is>
          <t>TFDA insert page 歷史仿單 https://mcp.fda.gov.tw/im_detail_1/%E8%A1%9B%E9%83%A8%E8%97%A5%E8%BC%B8%E5%AD%97%E7%AC%AC026966%E8%99%9F</t>
        </is>
      </c>
      <c r="J1037" s="3" t="inlineStr">
        <is>
          <t>Open</t>
        </is>
      </c>
      <c r="K1037" s="3" t="inlineStr"/>
    </row>
    <row r="1038">
      <c r="A1038" s="3" t="n">
        <v>638</v>
      </c>
      <c r="B1038" s="3" t="inlineStr">
        <is>
          <t>Bicillin (Penicillin G benzathine) (PEN11, BIC02)</t>
        </is>
      </c>
      <c r="C1038" s="9" t="inlineStr">
        <is>
          <t>Low</t>
        </is>
      </c>
      <c r="D1038" s="3" t="inlineStr">
        <is>
          <t>Pharmacokinetics/other</t>
        </is>
      </c>
      <c r="E1038" s="3" t="inlineStr"/>
      <c r="F1038" s="3" t="inlineStr">
        <is>
          <t>Verify PEN11 storage against its leaflet (hospital only)</t>
        </is>
      </c>
      <c r="G1038" s="3" t="inlineStr">
        <is>
          <t>BIC02 2–8 °C refrigerated; PEN11 ≤25 °C room temperature</t>
        </is>
      </c>
      <c r="H1038" s="3" t="inlineStr">
        <is>
          <t>BIC02 matches the Taiwan insert 13.3 (2–8 °C, do not freeze). PEN11 room-temperature storage fits a powder formulation (the UK SmPC powder needs no special storage), but it cannot be checked without PEN11's leaflet. This is not necessarily an error. Storage stays out of Notion.</t>
        </is>
      </c>
      <c r="I1038" s="3" t="inlineStr">
        <is>
          <t>Taiwan insert 13.3; UK SmPC 6.4</t>
        </is>
      </c>
      <c r="J1038" s="3" t="inlineStr">
        <is>
          <t>Open</t>
        </is>
      </c>
      <c r="K1038" s="3" t="inlineStr"/>
    </row>
    <row r="1039">
      <c r="A1039" s="3" t="n">
        <v>637</v>
      </c>
      <c r="B1039" s="3" t="inlineStr">
        <is>
          <t>Bicillin (Penicillin G benzathine) (PEN11, BIC02)</t>
        </is>
      </c>
      <c r="C1039" s="9" t="inlineStr">
        <is>
          <t>Low</t>
        </is>
      </c>
      <c r="D1039" s="3" t="inlineStr">
        <is>
          <t>Pregnancy</t>
        </is>
      </c>
      <c r="E1039" s="3" t="inlineStr"/>
      <c r="F1039" s="3" t="inlineStr">
        <is>
          <t>Add label pregnancy safety statement; cite sources for both fields</t>
        </is>
      </c>
      <c r="G1039" s="3" t="inlineStr">
        <is>
          <t>Pregnancy field gives only the syphilis-regimen statement; lactation says 'considered compatible with breastfeeding'</t>
        </is>
      </c>
      <c r="H1039" s="3" t="inlineStr">
        <is>
          <t>The pregnancy field does not address fetal safety. The labels say use only if clearly needed, and the SmPC says it crosses the placenta (10–30%). The lactation wording matches LactMed ('acceptable') but not the label ('caution should be exercised'). Both fields are unsourced summaries.</t>
        </is>
      </c>
      <c r="I1039" s="3" t="inlineStr">
        <is>
          <t>DailyMed Pregnancy/Nursing Mothers; UK SmPC 4.6; LactMed NBK501138 https://www.ncbi.nlm.nih.gov/books/NBK501138/</t>
        </is>
      </c>
      <c r="J1039" s="3" t="inlineStr">
        <is>
          <t>Open</t>
        </is>
      </c>
      <c r="K1039" s="3" t="inlineStr"/>
    </row>
    <row r="1040">
      <c r="A1040" s="3" t="n">
        <v>1221</v>
      </c>
      <c r="B1040" s="3" t="inlineStr">
        <is>
          <t>Biktarvy (Bictegravir/Emtricitabine/TAF) (BIK01, BIK02)</t>
        </is>
      </c>
      <c r="C1040" s="9" t="inlineStr">
        <is>
          <t>Low</t>
        </is>
      </c>
      <c r="D1040" s="3" t="inlineStr">
        <is>
          <t>Dosing – pediatric</t>
        </is>
      </c>
      <c r="E1040" s="3" t="inlineStr"/>
      <c r="F1040" s="3" t="inlineStr">
        <is>
          <t>Remove or source emtricitabine hyperpigmentation note; consider UK pediatric BMD caution.</t>
        </is>
      </c>
      <c r="G1040" s="3" t="inlineStr">
        <is>
          <t>'Emtricitabine-associated hyperpigmentation may occur at a higher frequency in pediatric patients compared to adults.'</t>
        </is>
      </c>
      <c r="H1040" s="3" t="inlineStr">
        <is>
          <t>None of the Biktarvy labels (US, UK, Taiwan) mentions this; it appears to come from a single-agent emtricitabine monograph. It is not wrong pharmacologically but has no Biktarvy-label support. The paediatric safety point the labels do give is the UK SmPC §4.4 BMD reduction with TAF products in children 3–&lt;12 y.</t>
        </is>
      </c>
      <c r="I1040" s="3" t="inlineStr">
        <is>
          <t>US FDA label §6.1 Clinical Trials in Pediatric Participants https://dailymed.nlm.nih.gov/dailymed/drugInfo.cfm?setid=664cb8f0-1f65-441b-b0d9-ba3d798be309; UK SmPC §4.4, §4.8 https://www.medicines.org.uk/emc/product/9313/smpc</t>
        </is>
      </c>
      <c r="J1040" s="3" t="inlineStr">
        <is>
          <t>Open</t>
        </is>
      </c>
      <c r="K1040" s="3" t="inlineStr"/>
    </row>
    <row r="1041">
      <c r="A1041" s="3" t="n">
        <v>1220</v>
      </c>
      <c r="B1041" s="3" t="inlineStr">
        <is>
          <t>Biktarvy (Bictegravir/Emtricitabine/TAF) (BIK01, BIK02)</t>
        </is>
      </c>
      <c r="C1041" s="9" t="inlineStr">
        <is>
          <t>Low</t>
        </is>
      </c>
      <c r="D1041" s="3" t="inlineStr">
        <is>
          <t>Indication/coverage</t>
        </is>
      </c>
      <c r="E1041" s="3" t="inlineStr"/>
      <c r="F1041" s="3" t="inlineStr">
        <is>
          <t>Keep ≥25 kg; add resistance qualifiers (no known BIC/tenofovir resistance) to indication.</t>
        </is>
      </c>
      <c r="G1041" s="3" t="inlineStr">
        <is>
          <t>Adults and pediatric patients ≥25 kg as initial therapy, or to replace a stable regimen when suppressed.</t>
        </is>
      </c>
      <c r="H1041" s="3" t="inlineStr">
        <is>
          <t>The ≥25 kg limit matches the Taiwan insert, which governs the stocked 50/200/25 tablet, so it is NOT an error for this product. The US/UK ≥14 kg band needs the 30/120/15 tablet, which is not registered in Taiwan or stocked. The real gaps are minor: the hospital wording leaves out the resistance qualifiers (Taiwan: no known or suspected BIC/tenofovir resistance) and the newer US group (ART-experienced, not suppressed, with no INSTI/FTC/tenofovir resistance).</t>
        </is>
      </c>
      <c r="I1041" s="3" t="inlineStr">
        <is>
          <t>Taiwan insert §2 適應症 https://mcp.fda.gov.tw/im_detail_1/%E8%A1%9B%E9%83%A8%E8%97%A5%E8%BC%B8%E5%AD%97%E7%AC%AC027570%E8%99%9F; US FDA label §1 https://dailymed.nlm.nih.gov/dailymed/drugInfo.cfm?setid=664cb8f0-1f65-441b-b0d9-ba3d798be309</t>
        </is>
      </c>
      <c r="J1041" s="3" t="inlineStr">
        <is>
          <t>Open</t>
        </is>
      </c>
      <c r="K1041" s="3" t="inlineStr"/>
    </row>
    <row r="1042">
      <c r="A1042" s="3" t="n">
        <v>1226</v>
      </c>
      <c r="B1042" s="3" t="inlineStr">
        <is>
          <t>Biktarvy (Bictegravir/Emtricitabine/TAF) (BIK01, BIK02)</t>
        </is>
      </c>
      <c r="C1042" s="9" t="inlineStr">
        <is>
          <t>Low</t>
        </is>
      </c>
      <c r="D1042" s="3" t="inlineStr">
        <is>
          <t>Indication/coverage</t>
        </is>
      </c>
      <c r="E1042" s="3" t="inlineStr"/>
      <c r="F1042" s="3" t="inlineStr">
        <is>
          <t>Add resistance condition to indication; note US/UK ≥14 kg band not applicable locally.</t>
        </is>
      </c>
      <c r="G1042" s="3" t="inlineStr">
        <is>
          <t>Adults and pediatric patients ≥25 kg (initial therapy, or switch when suppressed)</t>
        </is>
      </c>
      <c r="H1042" s="3" t="inlineStr">
        <is>
          <t>Consistent with the stocked product's Taiwan insert §2 (≥25 kg). The US §1 and UK 4.1 approve ≥14 kg, using the 30/120/15 mg tablet below 25 kg. This is low priority, not an error against the governing Taiwan label. The hospital indication also omits the resistance condition (no known or suspected BIC/tenofovir resistance).</t>
        </is>
      </c>
      <c r="I1042" s="3" t="inlineStr">
        <is>
          <t>Taiwan 仿單 v4 §2; US label §1: https://dailymed.nlm.nih.gov/dailymed/drugInfo.cfm?setid=664cb8f0-1f65-441b-b0d9-ba3d798be309; UK SmPC 4.1: https://www.medicines.org.uk/emc/product/9313/smpc</t>
        </is>
      </c>
      <c r="J1042" s="3" t="inlineStr">
        <is>
          <t>Open</t>
        </is>
      </c>
      <c r="K1042" s="3" t="inlineStr"/>
    </row>
    <row r="1043">
      <c r="A1043" s="3" t="n">
        <v>1219</v>
      </c>
      <c r="B1043" s="3" t="inlineStr">
        <is>
          <t>Biktarvy (Bictegravir/Emtricitabine/TAF) (BIK01, BIK02)</t>
        </is>
      </c>
      <c r="C1043" s="9" t="inlineStr">
        <is>
          <t>Low</t>
        </is>
      </c>
      <c r="D1043" s="3" t="inlineStr">
        <is>
          <t>Pharmacokinetics/other</t>
        </is>
      </c>
      <c r="E1043" s="3" t="inlineStr"/>
      <c r="F1043" s="3" t="inlineStr">
        <is>
          <t>Add TFDA insert link for 衛部藥輸字第027570號.</t>
        </is>
      </c>
      <c r="G1043" s="3" t="inlineStr">
        <is>
          <t>Empty; no licence number shown on the P4 page.</t>
        </is>
      </c>
      <c r="H1043" s="3" t="inlineStr">
        <is>
          <t>The TFDA insert for 衛部藥輸字第027570號 (v4, 2025-03-17) exists and matches NHI code BC27570100.</t>
        </is>
      </c>
      <c r="I1043" s="3" t="inlineStr">
        <is>
          <t>https://mcp.fda.gov.tw/im_detail_1/%E8%A1%9B%E9%83%A8%E8%97%A5%E8%BC%B8%E5%AD%97%E7%AC%AC027570%E8%99%9F</t>
        </is>
      </c>
      <c r="J1043" s="3" t="inlineStr">
        <is>
          <t>Open</t>
        </is>
      </c>
      <c r="K1043" s="3" t="inlineStr"/>
    </row>
    <row r="1044">
      <c r="A1044" s="3" t="n">
        <v>664</v>
      </c>
      <c r="B1044" s="3" t="inlineStr">
        <is>
          <t>Bobimixyn (Polymyxin B) (BOB01)</t>
        </is>
      </c>
      <c r="C1044" s="9" t="inlineStr">
        <is>
          <t>Low</t>
        </is>
      </c>
      <c r="D1044" s="3" t="inlineStr">
        <is>
          <t>Administration/compatibility</t>
        </is>
      </c>
      <c r="E1044" s="3" t="inlineStr"/>
      <c r="F1044" s="3" t="inlineStr">
        <is>
          <t>No change: D5W or NS consistent with TW insert</t>
        </is>
      </c>
      <c r="G1044" s="3" t="inlineStr">
        <is>
          <t>Dilute in 300–500 mL D5W or 0.9% NaCl</t>
        </is>
      </c>
      <c r="H1044" s="3" t="inlineStr">
        <is>
          <t>This is consistent with the Taiwan insert for the stocked product (3.2: D5W or 0.9% NaCl). Only the US label restricts IV dilution to D5W, so this is not a discrepancy for Bobimixyn. It corrects issue 2 in the source brief.</t>
        </is>
      </c>
      <c r="I1044" s="3" t="inlineStr">
        <is>
          <t>TW insert 3.2; US label Intravenous</t>
        </is>
      </c>
      <c r="J1044" s="3" t="inlineStr">
        <is>
          <t>Open</t>
        </is>
      </c>
      <c r="K1044" s="3" t="inlineStr"/>
    </row>
    <row r="1045">
      <c r="A1045" s="3" t="n">
        <v>673</v>
      </c>
      <c r="B1045" s="3" t="inlineStr">
        <is>
          <t>Bobimixyn (Polymyxin B) (BOB01)</t>
        </is>
      </c>
      <c r="C1045" s="9" t="inlineStr">
        <is>
          <t>Low</t>
        </is>
      </c>
      <c r="D1045" s="3" t="inlineStr">
        <is>
          <t>Administration/compatibility</t>
        </is>
      </c>
      <c r="E1045" s="3" t="inlineStr"/>
      <c r="F1045" s="3" t="inlineStr">
        <is>
          <t>Change infusion time to 60–90 min per TW insert</t>
        </is>
      </c>
      <c r="G1045" s="3" t="inlineStr">
        <is>
          <t>Infuse over 1 hour</t>
        </is>
      </c>
      <c r="H1045" s="3" t="inlineStr">
        <is>
          <t>TW §3.1: continuous infusion over 60–90 minutes (minor difference)</t>
        </is>
      </c>
      <c r="I1045" s="3" t="inlineStr">
        <is>
          <t>Taiwan insert §3.1</t>
        </is>
      </c>
      <c r="J1045" s="3" t="inlineStr">
        <is>
          <t>Open</t>
        </is>
      </c>
      <c r="K1045" s="3" t="inlineStr"/>
    </row>
    <row r="1046">
      <c r="A1046" s="3" t="n">
        <v>675</v>
      </c>
      <c r="B1046" s="3" t="inlineStr">
        <is>
          <t>Bobimixyn (Polymyxin B) (BOB01)</t>
        </is>
      </c>
      <c r="C1046" s="9" t="inlineStr">
        <is>
          <t>Low</t>
        </is>
      </c>
      <c r="D1046" s="3" t="inlineStr">
        <is>
          <t>Administration/compatibility</t>
        </is>
      </c>
      <c r="E1046" s="3" t="inlineStr"/>
      <c r="F1046" s="3" t="inlineStr">
        <is>
          <t>No change: D5W or NS diluent matches TW insert</t>
        </is>
      </c>
      <c r="G1046" s="3" t="inlineStr">
        <is>
          <t>D5W or 0.9% NaCl 300–500 mL</t>
        </is>
      </c>
      <c r="H1046" s="3" t="inlineStr">
        <is>
          <t>Matches TW §3.2, so this is NOT a hospital error. The brief's issue 2 relied on the US label, which says D5W only.</t>
        </is>
      </c>
      <c r="I1046" s="3" t="inlineStr">
        <is>
          <t>Taiwan insert §3.2 調製方式</t>
        </is>
      </c>
      <c r="J1046" s="3" t="inlineStr">
        <is>
          <t>Open</t>
        </is>
      </c>
      <c r="K1046" s="3" t="inlineStr"/>
    </row>
    <row r="1047">
      <c r="A1047" s="3" t="n">
        <v>661</v>
      </c>
      <c r="B1047" s="3" t="inlineStr">
        <is>
          <t>Bobimixyn (Polymyxin B) (BOB01)</t>
        </is>
      </c>
      <c r="C1047" s="9" t="inlineStr">
        <is>
          <t>Low</t>
        </is>
      </c>
      <c r="D1047" s="3" t="inlineStr">
        <is>
          <t>Pharmacokinetics/other</t>
        </is>
      </c>
      <c r="E1047" s="3" t="inlineStr"/>
      <c r="F1047" s="3" t="inlineStr">
        <is>
          <t>Add licence 衛部藥製字第061557號 and insert link</t>
        </is>
      </c>
      <c r="G1047" s="3" t="inlineStr">
        <is>
          <t>仿單 field empty; no licence number shown</t>
        </is>
      </c>
      <c r="H1047" s="3" t="inlineStr">
        <is>
          <t>A TFDA insert exists: 衛部藥製字第061557號, revised 2024-11 (台灣東洋).</t>
        </is>
      </c>
      <c r="I1047" s="3" t="inlineStr">
        <is>
          <t>https://mcp.fda.gov.tw/im_detail_1/%E8%A1%9B%E9%83%A8%E8%97%A5%E8%A3%BD%E5%AD%97%E7%AC%AC061557%E8%99%9F</t>
        </is>
      </c>
      <c r="J1047" s="3" t="inlineStr">
        <is>
          <t>Open</t>
        </is>
      </c>
      <c r="K1047" s="3" t="inlineStr"/>
    </row>
    <row r="1048">
      <c r="A1048" s="3" t="n">
        <v>662</v>
      </c>
      <c r="B1048" s="3" t="inlineStr">
        <is>
          <t>Bobimixyn (Polymyxin B) (BOB01)</t>
        </is>
      </c>
      <c r="C1048" s="9" t="inlineStr">
        <is>
          <t>Low</t>
        </is>
      </c>
      <c r="D1048" s="3" t="inlineStr">
        <is>
          <t>Pharmacokinetics/other</t>
        </is>
      </c>
      <c r="E1048" s="3" t="inlineStr"/>
      <c r="F1048" s="3" t="inlineStr">
        <is>
          <t>Update PK: t½ 5.4 h normal, 15.2 h ESRD; ~94% protein bound (TW insert)</t>
        </is>
      </c>
      <c r="G1048" s="3" t="inlineStr">
        <is>
          <t>Half-life about 10.1–13.6 h; protein binding about 60% (79–92% in critically ill patients)</t>
        </is>
      </c>
      <c r="H1048" s="3" t="inlineStr">
        <is>
          <t>Taiwan insert PK study: t½ 5.44 h with normal renal function, 7.39 h in mild impairment, 15.2 h in ESRD on HD. Unbound fraction about 5–6%, so roughly 94% protein-bound. Urinary excretion about 1.7% of the dose.</t>
        </is>
      </c>
      <c r="I1048" s="3" t="inlineStr">
        <is>
          <t>TW insert 11.1 — https://mcp.fda.gov.tw/im_detail_1/%E8%A1%9B%E9%83%A8%E8%97%A5%E8%A3%BD%E5%AD%97%E7%AC%AC061557%E8%99%9F</t>
        </is>
      </c>
      <c r="J1048" s="3" t="inlineStr">
        <is>
          <t>Open</t>
        </is>
      </c>
      <c r="K1048" s="3" t="inlineStr"/>
    </row>
    <row r="1049">
      <c r="A1049" s="3" t="n">
        <v>665</v>
      </c>
      <c r="B1049" s="3" t="inlineStr">
        <is>
          <t>Bobimixyn (Polymyxin B) (BOB01)</t>
        </is>
      </c>
      <c r="C1049" s="9" t="inlineStr">
        <is>
          <t>Low</t>
        </is>
      </c>
      <c r="D1049" s="3" t="inlineStr">
        <is>
          <t>Pharmacokinetics/other</t>
        </is>
      </c>
      <c r="E1049" s="3" t="inlineStr"/>
      <c r="F1049" s="3" t="inlineStr">
        <is>
          <t>Storage: 20-25°C protected from light; reconstituted 2-8°C 72 h (hospital only)</t>
        </is>
      </c>
      <c r="G1049" s="3" t="inlineStr">
        <is>
          <t>儲存於25℃以下避光處 (store below 25°C, protected from light)</t>
        </is>
      </c>
      <c r="H1049" s="3" t="inlineStr">
        <is>
          <t>Taiwan insert 13.3: unopened vials at 20–25°C, protected from light; after reconstitution, refrigerate at 2–8°C and discard after 72 h. This is a hospital-database item only and must not go into Notion.</t>
        </is>
      </c>
      <c r="I1049" s="3" t="inlineStr">
        <is>
          <t>TW insert 13.3/13.4</t>
        </is>
      </c>
      <c r="J1049" s="3" t="inlineStr">
        <is>
          <t>Open</t>
        </is>
      </c>
      <c r="K1049" s="3" t="inlineStr"/>
    </row>
    <row r="1050">
      <c r="A1050" s="3" t="n">
        <v>666</v>
      </c>
      <c r="B1050" s="3" t="inlineStr">
        <is>
          <t>Bobimixyn (Polymyxin B) (BOB01)</t>
        </is>
      </c>
      <c r="C1050" s="9" t="inlineStr">
        <is>
          <t>Low</t>
        </is>
      </c>
      <c r="D1050" s="3" t="inlineStr">
        <is>
          <t>Pharmacokinetics/other</t>
        </is>
      </c>
      <c r="E1050" s="3" t="inlineStr"/>
      <c r="F1050" s="3" t="inlineStr">
        <is>
          <t>Link TFDA insert 衛部藥製字第061557號</t>
        </is>
      </c>
      <c r="G1050" s="3" t="inlineStr">
        <is>
          <t>Empty; no licence number shown on the P4 page</t>
        </is>
      </c>
      <c r="H1050" s="3" t="inlineStr">
        <is>
          <t>The TFDA insert exists for 衛部藥製字第061557號, revised 2024-11, uploaded 113/02/19 and updated 2024-11-27.</t>
        </is>
      </c>
      <c r="I1050" s="3" t="inlineStr">
        <is>
          <t>https://mcp.fda.gov.tw/im_detail_1/%E8%A1%9B%E9%83%A8%E8%97%A5%E8%A3%BD%E5%AD%97%E7%AC%AC061557%E8%99%9F</t>
        </is>
      </c>
      <c r="J1050" s="3" t="inlineStr">
        <is>
          <t>Open</t>
        </is>
      </c>
      <c r="K1050" s="3" t="inlineStr"/>
    </row>
    <row r="1051">
      <c r="A1051" s="3" t="n">
        <v>674</v>
      </c>
      <c r="B1051" s="3" t="inlineStr">
        <is>
          <t>Bobimixyn (Polymyxin B) (BOB01)</t>
        </is>
      </c>
      <c r="C1051" s="9" t="inlineStr">
        <is>
          <t>Low</t>
        </is>
      </c>
      <c r="D1051" s="3" t="inlineStr">
        <is>
          <t>Pharmacokinetics/other</t>
        </is>
      </c>
      <c r="E1051" s="3" t="inlineStr"/>
      <c r="F1051" s="3" t="inlineStr">
        <is>
          <t>Replace PK with Bobimixyn insert data: ~94% bound, t½ 5.4 h (15.2 h on HD)</t>
        </is>
      </c>
      <c r="G1051" s="3" t="inlineStr">
        <is>
          <t>Protein binding ~60% (79–92% in critically ill); half-life ~10.1–13.6 h</t>
        </is>
      </c>
      <c r="H1051" s="3" t="inlineStr">
        <is>
          <t>TW §11.1 (Bobimixyn PK study): unbound fraction ~5–6% (about 94% bound); t½ 5.44 h with normal renal function, 7.39 h in mild impairment, 15.2 h on HD. The hospital uses non-label values and does not cite the stocked product's own data.</t>
        </is>
      </c>
      <c r="I1051" s="3" t="inlineStr">
        <is>
          <t>Taiwan insert §11.1 Tables 1–2, 蛋白質結合率</t>
        </is>
      </c>
      <c r="J1051" s="3" t="inlineStr">
        <is>
          <t>Open</t>
        </is>
      </c>
      <c r="K1051" s="3" t="inlineStr"/>
    </row>
    <row r="1052">
      <c r="A1052" s="3" t="n">
        <v>276</v>
      </c>
      <c r="B1052" s="3" t="inlineStr">
        <is>
          <t>Brosym (cefoperazone-sulbactam) (BRO04, BUR01)</t>
        </is>
      </c>
      <c r="C1052" s="9" t="inlineStr">
        <is>
          <t>Low</t>
        </is>
      </c>
      <c r="D1052" s="3" t="inlineStr">
        <is>
          <t>Pharmacokinetics/other</t>
        </is>
      </c>
      <c r="E1052" s="3" t="inlineStr"/>
      <c r="F1052" s="3" t="inlineStr">
        <is>
          <t>Check Burotam licence renewal (expires 2026-12-07) and newer insert</t>
        </is>
      </c>
      <c r="G1052" s="3" t="inlineStr">
        <is>
          <t>Burotam is listed as a current stocked product.</t>
        </is>
      </c>
      <c r="H1052" s="3" t="inlineStr">
        <is>
          <t>The TFDA licence 衛部藥製字第061039號 is valid until 115-12-07 (2026-12-07), about 2 months from now. Check renewal and whether a newer insert version exists.</t>
        </is>
      </c>
      <c r="I1052" s="3" t="inlineStr">
        <is>
          <t>TFDA Burotam page — https://mcp.fda.gov.tw/im_detail_1/%E8%A1%9B%E9%83%A8%E8%97%A5%E8%A3%BD%E5%AD%97%E7%AC%AC061039%E8%99%9F</t>
        </is>
      </c>
      <c r="J1052" s="3" t="inlineStr">
        <is>
          <t>Open</t>
        </is>
      </c>
      <c r="K1052" s="3" t="inlineStr"/>
    </row>
    <row r="1053">
      <c r="A1053" s="3" t="n">
        <v>283</v>
      </c>
      <c r="B1053" s="3" t="inlineStr">
        <is>
          <t>Brosym (cefoperazone-sulbactam) (BRO04, BUR01)</t>
        </is>
      </c>
      <c r="C1053" s="9" t="inlineStr">
        <is>
          <t>Low</t>
        </is>
      </c>
      <c r="D1053" s="3" t="inlineStr">
        <is>
          <t>Pharmacokinetics/other</t>
        </is>
      </c>
      <c r="E1053" s="3" t="inlineStr"/>
      <c r="F1053" s="3" t="inlineStr">
        <is>
          <t>Verify Burotam licence renewal before 2026-12-07</t>
        </is>
      </c>
      <c r="G1053" s="3" t="inlineStr">
        <is>
          <t>Listed as a current formulary item</t>
        </is>
      </c>
      <c r="H1053" s="3" t="inlineStr">
        <is>
          <t>TFDA licence 衛部藥製字第061039號 is valid only to 115-12-07 (2026-12-07), about 2 months from now; renewal should be checked</t>
        </is>
      </c>
      <c r="I1053" s="3" t="inlineStr">
        <is>
          <t>TFDA Burotam page https://mcp.fda.gov.tw/im_detail_1/%E8%A1%9B%E9%83%A8%E8%97%A5%E8%A3%BD%E5%AD%97%E7%AC%AC061039%E8%99%9F</t>
        </is>
      </c>
      <c r="J1053" s="3" t="inlineStr">
        <is>
          <t>Open</t>
        </is>
      </c>
      <c r="K1053" s="3" t="inlineStr"/>
    </row>
    <row r="1054">
      <c r="A1054" s="3" t="n">
        <v>272</v>
      </c>
      <c r="B1054" s="3" t="inlineStr">
        <is>
          <t>Brosym (cefoperazone-sulbactam) (BRO04, BUR01)</t>
        </is>
      </c>
      <c r="C1054" s="9" t="inlineStr">
        <is>
          <t>Low</t>
        </is>
      </c>
      <c r="D1054" s="3" t="inlineStr">
        <is>
          <t>Pregnancy</t>
        </is>
      </c>
      <c r="E1054" s="3" t="inlineStr">
        <is>
          <t>FDA letter category</t>
        </is>
      </c>
      <c r="F1054" s="3" t="inlineStr">
        <is>
          <t>Remove 'B (FDA)'; no FDA label; TW: use only if benefit outweighs risk</t>
        </is>
      </c>
      <c r="G1054" s="3" t="inlineStr">
        <is>
          <t>B (FDA)</t>
        </is>
      </c>
      <c r="H1054" s="3" t="inlineStr">
        <is>
          <t>The product has no FDA label, and FDA letter categories are retired. The Taiwan insert says to use only if the therapeutic benefit outweighs the risk.</t>
        </is>
      </c>
      <c r="I1054" s="3" t="inlineStr">
        <is>
          <t>Brosym TW insert §6.1; DailyMed 0 results — https://dailymed.nlm.nih.gov/dailymed/services/v2/spls.json?drug_name=cefoperazone</t>
        </is>
      </c>
      <c r="J1054" s="3" t="inlineStr">
        <is>
          <t>Open</t>
        </is>
      </c>
      <c r="K1054" s="3" t="inlineStr"/>
    </row>
    <row r="1055">
      <c r="A1055" s="3" t="n">
        <v>279</v>
      </c>
      <c r="B1055" s="3" t="inlineStr">
        <is>
          <t>Brosym (cefoperazone-sulbactam) (BRO04, BUR01)</t>
        </is>
      </c>
      <c r="C1055" s="9" t="inlineStr">
        <is>
          <t>Low</t>
        </is>
      </c>
      <c r="D1055" s="3" t="inlineStr">
        <is>
          <t>Pregnancy</t>
        </is>
      </c>
      <c r="E1055" s="3" t="inlineStr">
        <is>
          <t>FDA letter category</t>
        </is>
      </c>
      <c r="F1055" s="3" t="inlineStr">
        <is>
          <t>Remove 'B (FDA)'; use TW insert benefit-risk wording</t>
        </is>
      </c>
      <c r="G1055" s="3" t="inlineStr">
        <is>
          <t>B (FDA)</t>
        </is>
      </c>
      <c r="H1055" s="3" t="inlineStr">
        <is>
          <t>No FDA label exists for this product, and FDA letter categories are retired. TW 仿單 §6.1: use only if benefit outweighs risk</t>
        </is>
      </c>
      <c r="I1055" s="3" t="inlineStr">
        <is>
          <t>TFDA insert Brosym §6.1; DailyMed spls API returns 0 for cefoperazone</t>
        </is>
      </c>
      <c r="J1055" s="3" t="inlineStr">
        <is>
          <t>Open</t>
        </is>
      </c>
      <c r="K1055" s="3" t="inlineStr"/>
    </row>
    <row r="1056">
      <c r="A1056" s="3" t="n">
        <v>474</v>
      </c>
      <c r="B1056" s="3" t="inlineStr">
        <is>
          <t>Cefa (Cefazolin) (CEF01)</t>
        </is>
      </c>
      <c r="C1056" s="9" t="inlineStr">
        <is>
          <t>Low</t>
        </is>
      </c>
      <c r="D1056" s="3" t="inlineStr">
        <is>
          <t>Contraindication/warning</t>
        </is>
      </c>
      <c r="E1056" s="3" t="inlineStr"/>
      <c r="F1056" s="3" t="inlineStr">
        <is>
          <t>Qualify penicillin/beta-lactam contraindication as immediate/severe reactions only</t>
        </is>
      </c>
      <c r="G1056" s="3" t="inlineStr">
        <is>
          <t>Hypersensitivity to cefazolin, other cephalosporins, penicillins, other beta-lactams, or any component</t>
        </is>
      </c>
      <c r="H1056" s="3" t="inlineStr">
        <is>
          <t>Matches the current US PLR label §4, which restricts this to immediate hypersensitivity such as anaphylaxis or serious skin reactions. It is broader than the TW insert (cephalosporin allergy plus SEVERE allergy to other β-lactams) and the UK SmPC (severe β-lactam hypersensitivity). The penicillin part should say 'immediate/severe' reactions. A minor issue, smaller than the brief suggests.</t>
        </is>
      </c>
      <c r="I1056" s="3" t="inlineStr">
        <is>
          <t>US PLR §4; TW 仿單 §4; UK SmPC §4.3</t>
        </is>
      </c>
      <c r="J1056" s="3" t="inlineStr">
        <is>
          <t>Open</t>
        </is>
      </c>
      <c r="K1056" s="3" t="inlineStr"/>
    </row>
    <row r="1057">
      <c r="A1057" s="3" t="n">
        <v>477</v>
      </c>
      <c r="B1057" s="3" t="inlineStr">
        <is>
          <t>Cefa (Cefazolin) (CEF01)</t>
        </is>
      </c>
      <c r="C1057" s="9" t="inlineStr">
        <is>
          <t>Low</t>
        </is>
      </c>
      <c r="D1057" s="3" t="inlineStr">
        <is>
          <t>Contraindication/warning</t>
        </is>
      </c>
      <c r="E1057" s="3" t="inlineStr"/>
      <c r="F1057" s="3" t="inlineStr">
        <is>
          <t>Decide local policy on TW insert skin-test advice; informational only</t>
        </is>
      </c>
      <c r="G1057" s="3" t="inlineStr">
        <is>
          <t>No mention of the TW insert's skin-test advice</t>
        </is>
      </c>
      <c r="H1057" s="3" t="inlineStr">
        <is>
          <t>TW insert §5.1 still says 使用本劑為防止休克宜先施行皮膚試驗. The US and UK labels do not. The hospital and owner should decide on local policy; this is informational only.</t>
        </is>
      </c>
      <c r="I1057" s="3" t="inlineStr">
        <is>
          <t>TW 仿單 §5.1 – https://mcp.fda.gov.tw/im_detail_1/%E8%A1%9B%E7%BD%B2%E8%97%A5%E8%A3%BD%E5%AD%97%E7%AC%AC029447%E8%99%9F</t>
        </is>
      </c>
      <c r="J1057" s="3" t="inlineStr">
        <is>
          <t>Open</t>
        </is>
      </c>
      <c r="K1057" s="3" t="inlineStr"/>
    </row>
    <row r="1058">
      <c r="A1058" s="3" t="n">
        <v>463</v>
      </c>
      <c r="B1058" s="3" t="inlineStr">
        <is>
          <t>Cefa (Cefazolin) (CEF01)</t>
        </is>
      </c>
      <c r="C1058" s="9" t="inlineStr">
        <is>
          <t>Low</t>
        </is>
      </c>
      <c r="D1058" s="3" t="inlineStr">
        <is>
          <t>Dosing – renal/dialysis</t>
        </is>
      </c>
      <c r="E1058" s="3" t="inlineStr">
        <is>
          <t>Renal table outdated</t>
        </is>
      </c>
      <c r="F1058" s="3" t="inlineStr">
        <is>
          <t>CrCl 35–54: full dose q8h (UK); q12h acceptable under US 'or longer'</t>
        </is>
      </c>
      <c r="G1058" s="3" t="inlineStr">
        <is>
          <t>1 g q8–12h</t>
        </is>
      </c>
      <c r="H1058" s="3" t="inlineStr">
        <is>
          <t>Full dose with intervals of at least 8 h (US; the PLR label says 'every 8 hours or longer'); the UK says 'Normal dose, every 8 hours'. q12h is technically within the US wording but goes beyond the UK label. Minor.</t>
        </is>
      </c>
      <c r="I1058" s="3" t="inlineStr">
        <is>
          <t>US FDA label renal adjustment; UK SmPC §4.2 renal table – https://www.medicines.org.uk/emc/product/102464/smpc</t>
        </is>
      </c>
      <c r="J1058" s="3" t="inlineStr">
        <is>
          <t>Open</t>
        </is>
      </c>
      <c r="K1058" s="3" t="inlineStr"/>
    </row>
    <row r="1059">
      <c r="A1059" s="3" t="n">
        <v>471</v>
      </c>
      <c r="B1059" s="3" t="inlineStr">
        <is>
          <t>Cefa (Cefazolin) (CEF01)</t>
        </is>
      </c>
      <c r="C1059" s="9" t="inlineStr">
        <is>
          <t>Low</t>
        </is>
      </c>
      <c r="D1059" s="3" t="inlineStr">
        <is>
          <t>Dosing – renal/dialysis</t>
        </is>
      </c>
      <c r="E1059" s="3" t="inlineStr">
        <is>
          <t>Renal table outdated</t>
        </is>
      </c>
      <c r="F1059" s="3" t="inlineStr">
        <is>
          <t>CrCl 35–54: full dose q8h per labels; q12h only within US 'or longer'</t>
        </is>
      </c>
      <c r="G1059" s="3" t="inlineStr">
        <is>
          <t>1 gm Q8-12H</t>
        </is>
      </c>
      <c r="H1059" s="3" t="inlineStr">
        <is>
          <t>Full usual dose every 8 h or longer (UK: 'Normal dose, every 8 hours'). Q12h is technically within 'or longer', but the labels give q8h at the full dose.</t>
        </is>
      </c>
      <c r="I1059" s="3" t="inlineStr">
        <is>
          <t>US PLR Table 4; UK SmPC §4.2 renal table</t>
        </is>
      </c>
      <c r="J1059" s="3" t="inlineStr">
        <is>
          <t>Open</t>
        </is>
      </c>
      <c r="K1059" s="3" t="inlineStr"/>
    </row>
    <row r="1060">
      <c r="A1060" s="3" t="n">
        <v>476</v>
      </c>
      <c r="B1060" s="3" t="inlineStr">
        <is>
          <t>Cefa (Cefazolin) (CEF01)</t>
        </is>
      </c>
      <c r="C1060" s="9" t="inlineStr">
        <is>
          <t>Low</t>
        </is>
      </c>
      <c r="D1060" s="3" t="inlineStr">
        <is>
          <t>Pharmacokinetics/other</t>
        </is>
      </c>
      <c r="E1060" s="3" t="inlineStr"/>
      <c r="F1060" s="3" t="inlineStr">
        <is>
          <t>Protein binding: note UK SmPC 85–90%</t>
        </is>
      </c>
      <c r="G1060" s="3" t="inlineStr">
        <is>
          <t>74% to 86%</t>
        </is>
      </c>
      <c r="H1060" s="3" t="inlineStr">
        <is>
          <t>UK SmPC: 85-90% (minor).</t>
        </is>
      </c>
      <c r="I1060" s="3" t="inlineStr">
        <is>
          <t>UK SmPC §5.2 – https://www.medicines.org.uk/emc/product/102464/smpc</t>
        </is>
      </c>
      <c r="J1060" s="3" t="inlineStr">
        <is>
          <t>Open</t>
        </is>
      </c>
      <c r="K1060" s="3" t="inlineStr"/>
    </row>
    <row r="1061">
      <c r="A1061" s="3" t="n">
        <v>461</v>
      </c>
      <c r="B1061" s="3" t="inlineStr">
        <is>
          <t>Cefa (Cefazolin) (CEF01)</t>
        </is>
      </c>
      <c r="C1061" s="9" t="inlineStr">
        <is>
          <t>Low</t>
        </is>
      </c>
      <c r="D1061" s="3" t="inlineStr">
        <is>
          <t>Pregnancy</t>
        </is>
      </c>
      <c r="E1061" s="3" t="inlineStr">
        <is>
          <t>FDA letter category</t>
        </is>
      </c>
      <c r="F1061" s="3" t="inlineStr">
        <is>
          <t>Remove FDA letter 'B'; replace with PLLR narrative risk summary</t>
        </is>
      </c>
      <c r="G1061" s="3" t="inlineStr">
        <is>
          <t>B</t>
        </is>
      </c>
      <c r="H1061" s="3" t="inlineStr">
        <is>
          <t>FDA letter categories were retired (PLLR). The current PLR US label gives a narrative risk summary: no drug-associated risk established; crosses the placenta. Only the old-format repackager label still prints 'Category B'.</t>
        </is>
      </c>
      <c r="I1061" s="3" t="inlineStr">
        <is>
          <t>US FDA PLR label (Baxter) §8.1 – https://dailymed.nlm.nih.gov/dailymed/drugInfo.cfm?setid=d91a8d13-99a0-4d87-88dc-71cbd37922b4</t>
        </is>
      </c>
      <c r="J1061" s="3" t="inlineStr">
        <is>
          <t>Open</t>
        </is>
      </c>
      <c r="K1061" s="3" t="inlineStr"/>
    </row>
    <row r="1062">
      <c r="A1062" s="3" t="n">
        <v>469</v>
      </c>
      <c r="B1062" s="3" t="inlineStr">
        <is>
          <t>Cefa (Cefazolin) (CEF01)</t>
        </is>
      </c>
      <c r="C1062" s="9" t="inlineStr">
        <is>
          <t>Low</t>
        </is>
      </c>
      <c r="D1062" s="3" t="inlineStr">
        <is>
          <t>Pregnancy</t>
        </is>
      </c>
      <c r="E1062" s="3" t="inlineStr">
        <is>
          <t>FDA letter category</t>
        </is>
      </c>
      <c r="F1062" s="3" t="inlineStr">
        <is>
          <t>Remove FDA letter 'B'; replace with PLLR narrative risk summary</t>
        </is>
      </c>
      <c r="G1062" s="3" t="inlineStr">
        <is>
          <t>B</t>
        </is>
      </c>
      <c r="H1062" s="3" t="inlineStr">
        <is>
          <t>FDA letter categories are retired. Current US PLR label §8.1 gives a narrative risk summary (no drug-associated risk established in decades of data). The older Henry Schein label still prints 'Category B'.</t>
        </is>
      </c>
      <c r="I1062" s="3" t="inlineStr">
        <is>
          <t>US FDA PLR label §8.1 – https://dailymed.nlm.nih.gov/dailymed/drugInfo.cfm?setid=1367568c-7d27-479f-a4c5-58e99942f686</t>
        </is>
      </c>
      <c r="J1062" s="3" t="inlineStr">
        <is>
          <t>Open</t>
        </is>
      </c>
      <c r="K1062" s="3" t="inlineStr"/>
    </row>
    <row r="1063">
      <c r="A1063" s="3" t="n">
        <v>285</v>
      </c>
      <c r="B1063" s="3" t="inlineStr">
        <is>
          <t>Cefin (Ceftriaxone) (CEF10)</t>
        </is>
      </c>
      <c r="C1063" s="9" t="inlineStr">
        <is>
          <t>Low</t>
        </is>
      </c>
      <c r="D1063" s="3" t="inlineStr">
        <is>
          <t>Dosing – renal/dialysis</t>
        </is>
      </c>
      <c r="E1063" s="3" t="inlineStr"/>
      <c r="F1063" s="3" t="inlineStr">
        <is>
          <t>Cite literature source for CRRT statement; note no PIRRT data</t>
        </is>
      </c>
      <c r="G1063" s="3" t="inlineStr">
        <is>
          <t>CRRT, PIRRT: no dosage adjustment necessary</t>
        </is>
      </c>
      <c r="H1063" s="3" t="inlineStr">
        <is>
          <t>No label addresses CRRT or PIRRT. The CRRT statement is supported only by literature (Kroh 1996 CVVH PK, PMID 9013367); nothing supporting PIRRT was found in the labels.</t>
        </is>
      </c>
      <c r="I1063" s="3" t="inlineStr">
        <is>
          <t>https://pubmed.ncbi.nlm.nih.gov/9013367/</t>
        </is>
      </c>
      <c r="J1063" s="3" t="inlineStr">
        <is>
          <t>Open</t>
        </is>
      </c>
      <c r="K1063" s="3" t="inlineStr"/>
    </row>
    <row r="1064">
      <c r="A1064" s="3" t="n">
        <v>291</v>
      </c>
      <c r="B1064" s="3" t="inlineStr">
        <is>
          <t>Cefin (Ceftriaxone) (CEF10)</t>
        </is>
      </c>
      <c r="C1064" s="9" t="inlineStr">
        <is>
          <t>Low</t>
        </is>
      </c>
      <c r="D1064" s="3" t="inlineStr">
        <is>
          <t>Dosing – renal/dialysis</t>
        </is>
      </c>
      <c r="E1064" s="3" t="inlineStr"/>
      <c r="F1064" s="3" t="inlineStr">
        <is>
          <t>Add PubMed references for CRRT; state no PIRRT data</t>
        </is>
      </c>
      <c r="G1064" s="3" t="inlineStr">
        <is>
          <t>CRRT, PIRRT: no dosage adjustment necessary.</t>
        </is>
      </c>
      <c r="H1064" s="3" t="inlineStr">
        <is>
          <t>No label addresses CRRT or PIRRT. PubMed PK data support no reduction in CRRT: Kroh 1996, PMID 9013367 (CVVH); Ulldemolins 2021, PMID 33559708 (CVVHDF, 1 g q24h adequate). The site's statement is plausible but has no source; I found no PIRRT data.</t>
        </is>
      </c>
      <c r="I1064" s="3" t="inlineStr">
        <is>
          <t>https://pubmed.ncbi.nlm.nih.gov/9013367/ ; https://pubmed.ncbi.nlm.nih.gov/33559708/</t>
        </is>
      </c>
      <c r="J1064" s="3" t="inlineStr">
        <is>
          <t>Open</t>
        </is>
      </c>
      <c r="K1064" s="3" t="inlineStr"/>
    </row>
    <row r="1065">
      <c r="A1065" s="3" t="n">
        <v>288</v>
      </c>
      <c r="B1065" s="3" t="inlineStr">
        <is>
          <t>Cefin (Ceftriaxone) (CEF10)</t>
        </is>
      </c>
      <c r="C1065" s="9" t="inlineStr">
        <is>
          <t>Low</t>
        </is>
      </c>
      <c r="D1065" s="3" t="inlineStr">
        <is>
          <t>Pregnancy</t>
        </is>
      </c>
      <c r="E1065" s="3" t="inlineStr"/>
      <c r="F1065" s="3" t="inlineStr">
        <is>
          <t>Add risk statements: pregnancy use only if clearly needed; lactation acceptable, monitor infant diarrhoea/thrush</t>
        </is>
      </c>
      <c r="G1065" s="3" t="inlineStr">
        <is>
          <t>'Ceftriaxone crosses the placenta' / 'Ceftriaxone is present in breast milk' (no risk statement)</t>
        </is>
      </c>
      <c r="H1065" s="3" t="inlineStr">
        <is>
          <t>Pregnancy: human safety not established, animal studies show no teratogenicity, use only if clearly needed (FDA/TW/SmPC). Lactation: low milk levels, acceptable, possible infant diarrhoea/thrush (LactMed); use with caution (FDA/TW). The hospital entries are incomplete rather than wrong.</t>
        </is>
      </c>
      <c r="I1065" s="3" t="inlineStr">
        <is>
          <t>LactMed https://www.ncbi.nlm.nih.gov/books/NBK501453/ ; TW insert 2.5.1/2.5.2 ; US FDA Teratogenic Effects/Nursing Mothers</t>
        </is>
      </c>
      <c r="J1065" s="3" t="inlineStr">
        <is>
          <t>Open</t>
        </is>
      </c>
      <c r="K1065" s="3" t="inlineStr"/>
    </row>
    <row r="1066">
      <c r="A1066" s="3" t="n">
        <v>296</v>
      </c>
      <c r="B1066" s="3" t="inlineStr">
        <is>
          <t>Cefin (Ceftriaxone) (CEF10)</t>
        </is>
      </c>
      <c r="C1066" s="9" t="inlineStr">
        <is>
          <t>Low</t>
        </is>
      </c>
      <c r="D1066" s="3" t="inlineStr">
        <is>
          <t>Pregnancy</t>
        </is>
      </c>
      <c r="E1066" s="3" t="inlineStr"/>
      <c r="F1066" s="3" t="inlineStr">
        <is>
          <t>Add pregnancy benefit-risk wording and LactMed 'acceptable', monitor infant diarrhoea/thrush</t>
        </is>
      </c>
      <c r="G1066" s="3" t="inlineStr">
        <is>
          <t>Pregnancy: 'Ceftriaxone crosses the placenta'. Lactation: 'present in breast milk'. No further guidance.</t>
        </is>
      </c>
      <c r="H1066" s="3" t="inlineStr">
        <is>
          <t>Pregnancy: the 仿單 says safety in human pregnancy is not established, and the SmPC says use only if benefit outweighs risk, especially in the first trimester. Lactation: LactMed rates it 'acceptable', with low levels (infant dose about 0.5% of the maternal dose), and advises monitoring for diarrhoea or thrush.</t>
        </is>
      </c>
      <c r="I1066" s="3" t="inlineStr">
        <is>
          <t>仿單 2.5.1/2.5.2; SmPC 4.6; LactMed NBK501453 https://www.ncbi.nlm.nih.gov/books/NBK501453/</t>
        </is>
      </c>
      <c r="J1066" s="3" t="inlineStr">
        <is>
          <t>Open</t>
        </is>
      </c>
      <c r="K1066" s="3" t="inlineStr"/>
    </row>
    <row r="1067">
      <c r="A1067" s="3" t="n">
        <v>304</v>
      </c>
      <c r="B1067" s="3" t="inlineStr">
        <is>
          <t>Cefmore (Cefoxitin) (CEF08)</t>
        </is>
      </c>
      <c r="C1067" s="9" t="inlineStr">
        <is>
          <t>Low</t>
        </is>
      </c>
      <c r="D1067" s="3" t="inlineStr">
        <is>
          <t>Administration/compatibility</t>
        </is>
      </c>
      <c r="E1067" s="3" t="inlineStr"/>
      <c r="F1067" s="3" t="inlineStr">
        <is>
          <t>Storage: below 25°C, protect from light</t>
        </is>
      </c>
      <c r="G1067" s="3" t="inlineStr">
        <is>
          <t>請置於 15-30℃ 乾燥處儲存</t>
        </is>
      </c>
      <c r="H1067" s="3" t="inlineStr">
        <is>
          <t>25℃以下避光儲存</t>
        </is>
      </c>
      <c r="I1067" s="3" t="inlineStr">
        <is>
          <t>Taiwan 仿單 §13.3 儲存條件 (reported for the hospital only; not to be added to Notion)</t>
        </is>
      </c>
      <c r="J1067" s="3" t="inlineStr">
        <is>
          <t>Open</t>
        </is>
      </c>
      <c r="K1067" s="3" t="inlineStr"/>
    </row>
    <row r="1068">
      <c r="A1068" s="3" t="n">
        <v>313</v>
      </c>
      <c r="B1068" s="3" t="inlineStr">
        <is>
          <t>Cefmore (Cefoxitin) (CEF08)</t>
        </is>
      </c>
      <c r="C1068" s="9" t="inlineStr">
        <is>
          <t>Low</t>
        </is>
      </c>
      <c r="D1068" s="3" t="inlineStr">
        <is>
          <t>Administration/compatibility</t>
        </is>
      </c>
      <c r="E1068" s="3" t="inlineStr"/>
      <c r="F1068" s="3" t="inlineStr">
        <is>
          <t>Storage: below 25°C, protect from light</t>
        </is>
      </c>
      <c r="G1068" s="3" t="inlineStr">
        <is>
          <t>請置於 15-30℃ 乾燥處儲存</t>
        </is>
      </c>
      <c r="H1068" s="3" t="inlineStr">
        <is>
          <t>25℃以下避光儲存 (store below 25 °C, protected from light)</t>
        </is>
      </c>
      <c r="I1068" s="3" t="inlineStr">
        <is>
          <t>Taiwan insert §13.3 儲存條件</t>
        </is>
      </c>
      <c r="J1068" s="3" t="inlineStr">
        <is>
          <t>Open</t>
        </is>
      </c>
      <c r="K1068" s="3" t="inlineStr"/>
    </row>
    <row r="1069">
      <c r="A1069" s="3" t="n">
        <v>303</v>
      </c>
      <c r="B1069" s="3" t="inlineStr">
        <is>
          <t>Cefmore (Cefoxitin) (CEF08)</t>
        </is>
      </c>
      <c r="C1069" s="9" t="inlineStr">
        <is>
          <t>Low</t>
        </is>
      </c>
      <c r="D1069" s="3" t="inlineStr">
        <is>
          <t>Pharmacokinetics/other</t>
        </is>
      </c>
      <c r="E1069" s="3" t="inlineStr"/>
      <c r="F1069" s="3" t="inlineStr">
        <is>
          <t>Attach TFDA insert link (衛署藥製字第038843號)</t>
        </is>
      </c>
      <c r="G1069" s="3" t="inlineStr">
        <is>
          <t>Empty</t>
        </is>
      </c>
      <c r="H1069" s="3" t="inlineStr">
        <is>
          <t>The TFDA insert is available online for 衛署藥製字第038843號</t>
        </is>
      </c>
      <c r="I1069" s="3" t="inlineStr">
        <is>
          <t>https://mcp.fda.gov.tw/im_detail_1/%E8%A1%9B%E7%BD%B2%E8%97%A5%E8%A3%BD%E5%AD%97%E7%AC%AC038843%E8%99%9F</t>
        </is>
      </c>
      <c r="J1069" s="3" t="inlineStr">
        <is>
          <t>Open</t>
        </is>
      </c>
      <c r="K1069" s="3" t="inlineStr"/>
    </row>
    <row r="1070">
      <c r="A1070" s="3" t="n">
        <v>306</v>
      </c>
      <c r="B1070" s="3" t="inlineStr">
        <is>
          <t>Cefmore (Cefoxitin) (CEF08)</t>
        </is>
      </c>
      <c r="C1070" s="9" t="inlineStr">
        <is>
          <t>Low</t>
        </is>
      </c>
      <c r="D1070" s="3" t="inlineStr">
        <is>
          <t>Pharmacokinetics/other</t>
        </is>
      </c>
      <c r="E1070" s="3" t="inlineStr"/>
      <c r="F1070" s="3" t="inlineStr">
        <is>
          <t>Protein binding: 65–80%</t>
        </is>
      </c>
      <c r="G1070" s="3" t="inlineStr">
        <is>
          <t>41% to 75%</t>
        </is>
      </c>
      <c r="H1070" s="3" t="inlineStr">
        <is>
          <t>65-80%</t>
        </is>
      </c>
      <c r="I1070" s="3" t="inlineStr">
        <is>
          <t>UK SmPC §5.2 – https://www.medicines.org.uk/emc/product/10505/smpc</t>
        </is>
      </c>
      <c r="J1070" s="3" t="inlineStr">
        <is>
          <t>Open</t>
        </is>
      </c>
      <c r="K1070" s="3" t="inlineStr"/>
    </row>
    <row r="1071">
      <c r="A1071" s="3" t="n">
        <v>311</v>
      </c>
      <c r="B1071" s="3" t="inlineStr">
        <is>
          <t>Cefmore (Cefoxitin) (CEF08)</t>
        </is>
      </c>
      <c r="C1071" s="9" t="inlineStr">
        <is>
          <t>Low</t>
        </is>
      </c>
      <c r="D1071" s="3" t="inlineStr">
        <is>
          <t>Pharmacokinetics/other</t>
        </is>
      </c>
      <c r="E1071" s="3" t="inlineStr"/>
      <c r="F1071" s="3" t="inlineStr">
        <is>
          <t>Attach current TFDA insert for Cefmore</t>
        </is>
      </c>
      <c r="G1071" s="3" t="inlineStr">
        <is>
          <t>Empty</t>
        </is>
      </c>
      <c r="H1071" s="3" t="inlineStr">
        <is>
          <t>A TFDA insert exists for the stocked product (Cefmore, 衛署藥製字第038843號). Older PDF versions are dated 103-05-15, 106-02-08, 106-06-28 and 106-09-30.</t>
        </is>
      </c>
      <c r="I1071" s="3" t="inlineStr">
        <is>
          <t>TFDA 藥品仿單查詢平台 https://mcp.fda.gov.tw/im_detail_1/%E8%A1%9B%E7%BD%B2%E8%97%A5%E8%A3%BD%E5%AD%97%E7%AC%AC038843%E8%99%9F</t>
        </is>
      </c>
      <c r="J1071" s="3" t="inlineStr">
        <is>
          <t>Open</t>
        </is>
      </c>
      <c r="K1071" s="3" t="inlineStr"/>
    </row>
    <row r="1072">
      <c r="A1072" s="3" t="n">
        <v>315</v>
      </c>
      <c r="B1072" s="3" t="inlineStr">
        <is>
          <t>Cefmore (Cefoxitin) (CEF08)</t>
        </is>
      </c>
      <c r="C1072" s="9" t="inlineStr">
        <is>
          <t>Low</t>
        </is>
      </c>
      <c r="D1072" s="3" t="inlineStr">
        <is>
          <t>Pharmacokinetics/other</t>
        </is>
      </c>
      <c r="E1072" s="3" t="inlineStr"/>
      <c r="F1072" s="3" t="inlineStr">
        <is>
          <t>Protein binding: 65–80%</t>
        </is>
      </c>
      <c r="G1072" s="3" t="inlineStr">
        <is>
          <t>41% to 75%</t>
        </is>
      </c>
      <c r="H1072" s="3" t="inlineStr">
        <is>
          <t>Plasma protein binding 65-80%</t>
        </is>
      </c>
      <c r="I1072" s="3" t="inlineStr">
        <is>
          <t>UK SmPC Renoxitin §5.2</t>
        </is>
      </c>
      <c r="J1072" s="3" t="inlineStr">
        <is>
          <t>Open</t>
        </is>
      </c>
      <c r="K1072" s="3" t="inlineStr"/>
    </row>
    <row r="1073">
      <c r="A1073" s="3" t="n">
        <v>299</v>
      </c>
      <c r="B1073" s="3" t="inlineStr">
        <is>
          <t>Cefmore (Cefoxitin) (CEF08)</t>
        </is>
      </c>
      <c r="C1073" s="9" t="inlineStr">
        <is>
          <t>Low</t>
        </is>
      </c>
      <c r="D1073" s="3" t="inlineStr">
        <is>
          <t>Pregnancy</t>
        </is>
      </c>
      <c r="E1073" s="3" t="inlineStr">
        <is>
          <t>FDA letter category</t>
        </is>
      </c>
      <c r="F1073" s="3" t="inlineStr">
        <is>
          <t>Remove category B; use narrative (no teratogenicity; use if clearly needed)</t>
        </is>
      </c>
      <c r="G1073" s="3" t="inlineStr">
        <is>
          <t>B (FDA)</t>
        </is>
      </c>
      <c r="H1073" s="3" t="inlineStr">
        <is>
          <t>FDA letter categories are retired. The US label says no teratogenicity in rats/mice and no adequate human studies, so use only if clearly needed. The UK SmPC says a large amount of human data shows no malformative or fetotoxic effect. The Taiwan insert's 'B級' is also outdated.</t>
        </is>
      </c>
      <c r="I1073" s="3" t="inlineStr">
        <is>
          <t>US FDA label PRECAUTIONS – Pregnancy (DailyMed setid 658a0dc6-…); UK SmPC §4.6 – https://www.medicines.org.uk/emc/product/10505/smpc</t>
        </is>
      </c>
      <c r="J1073" s="3" t="inlineStr">
        <is>
          <t>Open</t>
        </is>
      </c>
      <c r="K1073" s="3" t="inlineStr"/>
    </row>
    <row r="1074">
      <c r="A1074" s="3" t="n">
        <v>309</v>
      </c>
      <c r="B1074" s="3" t="inlineStr">
        <is>
          <t>Cefmore (Cefoxitin) (CEF08)</t>
        </is>
      </c>
      <c r="C1074" s="9" t="inlineStr">
        <is>
          <t>Low</t>
        </is>
      </c>
      <c r="D1074" s="3" t="inlineStr">
        <is>
          <t>Pregnancy</t>
        </is>
      </c>
      <c r="E1074" s="3" t="inlineStr">
        <is>
          <t>FDA letter category</t>
        </is>
      </c>
      <c r="F1074" s="3" t="inlineStr">
        <is>
          <t>Remove category B; use US/UK narrative wording</t>
        </is>
      </c>
      <c r="G1074" s="3" t="inlineStr">
        <is>
          <t>B (FDA)</t>
        </is>
      </c>
      <c r="H1074" s="3" t="inlineStr">
        <is>
          <t>FDA letter categories are retired. US label: animal studies show no teratogenicity; no adequate human studies; use only if clearly needed. UK SmPC: large clinical dataset shows no malformative or fetotoxic effect. (The TW insert also still says B級, which is outdated.)</t>
        </is>
      </c>
      <c r="I1074" s="3" t="inlineStr">
        <is>
          <t>US FDA label PRECAUTIONS – Pregnancy; UK SmPC Renoxitin §4.6</t>
        </is>
      </c>
      <c r="J1074" s="3" t="inlineStr">
        <is>
          <t>Open</t>
        </is>
      </c>
      <c r="K1074" s="3" t="inlineStr"/>
    </row>
    <row r="1075">
      <c r="A1075" s="3" t="n">
        <v>485</v>
      </c>
      <c r="B1075" s="3" t="inlineStr">
        <is>
          <t>Cephalexin (CEP02, ULE02)</t>
        </is>
      </c>
      <c r="C1075" s="9" t="inlineStr">
        <is>
          <t>Low</t>
        </is>
      </c>
      <c r="D1075" s="3" t="inlineStr">
        <is>
          <t>Administration/compatibility</t>
        </is>
      </c>
      <c r="E1075" s="3" t="inlineStr"/>
      <c r="F1075" s="3" t="inlineStr">
        <is>
          <t>Storage: below 25 °C, protect from light (TW insert)</t>
        </is>
      </c>
      <c r="G1075" s="3" t="inlineStr">
        <is>
          <t>請置於 15-30℃ 乾燥處儲存</t>
        </is>
      </c>
      <c r="H1075" s="3" t="inlineStr">
        <is>
          <t>TW TBC insert 13.3: 儲存於25℃以下，避光儲存 (below 25 °C, protect from light)</t>
        </is>
      </c>
      <c r="I1075" s="3" t="inlineStr">
        <is>
          <t>TW insert TBC §13.3 https://mcp.fda.gov.tw/im_detail_1/衛署藥製字第015660號</t>
        </is>
      </c>
      <c r="J1075" s="3" t="inlineStr">
        <is>
          <t>Open</t>
        </is>
      </c>
      <c r="K1075" s="3" t="inlineStr"/>
    </row>
    <row r="1076">
      <c r="A1076" s="3" t="n">
        <v>489</v>
      </c>
      <c r="B1076" s="3" t="inlineStr">
        <is>
          <t>Cephalexin (CEP02, ULE02)</t>
        </is>
      </c>
      <c r="C1076" s="9" t="inlineStr">
        <is>
          <t>Low</t>
        </is>
      </c>
      <c r="D1076" s="3" t="inlineStr">
        <is>
          <t>Adverse effects</t>
        </is>
      </c>
      <c r="E1076" s="3" t="inlineStr"/>
      <c r="F1076" s="3" t="inlineStr">
        <is>
          <t>Move penicillin allergy and seizure risk from side effects to precautions</t>
        </is>
      </c>
      <c r="G1076" s="3" t="inlineStr">
        <is>
          <t>Lists 'Penicillin allergy' and 'Seizure disorder' as side effects</t>
        </is>
      </c>
      <c r="H1076" s="3" t="inlineStr">
        <is>
          <t>These are precautions, not adverse reactions: US §5.1 cross-hypersensitivity up to 10% in penicillin-allergic patients; §5.4 seizure potential with unreduced dose in renal impairment</t>
        </is>
      </c>
      <c r="I1076" s="3" t="inlineStr">
        <is>
          <t>US FDA label §5.1, §5.4 https://dailymed.nlm.nih.gov/dailymed/drugInfo.cfm?setid=8e28f049-6110-4473-830f-c494191a7197</t>
        </is>
      </c>
      <c r="J1076" s="3" t="inlineStr">
        <is>
          <t>Open</t>
        </is>
      </c>
      <c r="K1076" s="3" t="inlineStr"/>
    </row>
    <row r="1077">
      <c r="A1077" s="3" t="n">
        <v>499</v>
      </c>
      <c r="B1077" s="3" t="inlineStr">
        <is>
          <t>Cephalexin (CEP02, ULE02)</t>
        </is>
      </c>
      <c r="C1077" s="9" t="inlineStr">
        <is>
          <t>Low</t>
        </is>
      </c>
      <c r="D1077" s="3" t="inlineStr">
        <is>
          <t>Breastfeeding</t>
        </is>
      </c>
      <c r="E1077" s="3" t="inlineStr">
        <is>
          <t>LactMed outdated</t>
        </is>
      </c>
      <c r="F1077" s="3" t="inlineStr">
        <is>
          <t>Update lactation to LactMed: acceptable; monitor infant for diarrhea/thrush</t>
        </is>
      </c>
      <c r="G1077" s="3" t="inlineStr">
        <is>
          <t>'Enters breast milk/use caution'</t>
        </is>
      </c>
      <c r="H1077" s="3" t="inlineStr">
        <is>
          <t>LactMed: 'Cephalexin is acceptable in nursing mothers' (low milk levels; watch the infant for diarrhoea/thrush). The UK SmPC does advise caution, so this is a difference in emphasis, not an error.</t>
        </is>
      </c>
      <c r="I1077" s="3" t="inlineStr">
        <is>
          <t>LactMed NBK501487 — https://www.ncbi.nlm.nih.gov/books/NBK501487/</t>
        </is>
      </c>
      <c r="J1077" s="3" t="inlineStr">
        <is>
          <t>Open</t>
        </is>
      </c>
      <c r="K1077" s="3" t="inlineStr"/>
    </row>
    <row r="1078">
      <c r="A1078" s="3" t="n">
        <v>487</v>
      </c>
      <c r="B1078" s="3" t="inlineStr">
        <is>
          <t>Cephalexin (CEP02, ULE02)</t>
        </is>
      </c>
      <c r="C1078" s="9" t="inlineStr">
        <is>
          <t>Low</t>
        </is>
      </c>
      <c r="D1078" s="3" t="inlineStr">
        <is>
          <t>Dosing – pediatric</t>
        </is>
      </c>
      <c r="E1078" s="3" t="inlineStr"/>
      <c r="F1078" s="3" t="inlineStr">
        <is>
          <t>Align ULE02 interval with TW insert: divided q6h (four doses)</t>
        </is>
      </c>
      <c r="G1078" s="3" t="inlineStr">
        <is>
          <t>Children &gt;1 year: 25-100 mg/kg/day in divided doses every 6-8 hours (max 4 g/day)</t>
        </is>
      </c>
      <c r="H1078" s="3" t="inlineStr">
        <is>
          <t>TW Ulexin insert: 25–50 mg/kg/day 分四次 (q6h), severe 50–100 mg/kg/day 分四次. q8h is UK SmPC 4.2 practice, not the stocked product's insert. The 4 g/day max is consistent with the adult maximum.</t>
        </is>
      </c>
      <c r="I1078" s="3" t="inlineStr">
        <is>
          <t>TW insert Ulexin §3.1 https://mcp.fda.gov.tw/im_detail_1/衛署藥製字第017280號</t>
        </is>
      </c>
      <c r="J1078" s="3" t="inlineStr">
        <is>
          <t>Open</t>
        </is>
      </c>
      <c r="K1078" s="3" t="inlineStr"/>
    </row>
    <row r="1079">
      <c r="A1079" s="3" t="n">
        <v>488</v>
      </c>
      <c r="B1079" s="3" t="inlineStr">
        <is>
          <t>Cephalexin (CEP02, ULE02)</t>
        </is>
      </c>
      <c r="C1079" s="9" t="inlineStr">
        <is>
          <t>Low</t>
        </is>
      </c>
      <c r="D1079" s="3" t="inlineStr">
        <is>
          <t>Pharmacokinetics/other</t>
        </is>
      </c>
      <c r="E1079" s="3" t="inlineStr"/>
      <c r="F1079" s="3" t="inlineStr">
        <is>
          <t>Link CEP02 TFDA insert 衛署藥製字第015660號</t>
        </is>
      </c>
      <c r="G1079" s="3" t="inlineStr">
        <is>
          <t>The 仿單 heading on the P4 page has no linked insert. The licence had to be derived from NHI code AC15660100.</t>
        </is>
      </c>
      <c r="H1079" s="3" t="inlineStr">
        <is>
          <t>The TFDA insert exists: 衛署藥製字第015660號, 印刷版次3, 2019-04-02</t>
        </is>
      </c>
      <c r="I1079" s="3" t="inlineStr">
        <is>
          <t>https://mcp.fda.gov.tw/im_detail_1/衛署藥製字第015660號</t>
        </is>
      </c>
      <c r="J1079" s="3" t="inlineStr">
        <is>
          <t>Open</t>
        </is>
      </c>
      <c r="K1079" s="3" t="inlineStr"/>
    </row>
    <row r="1080">
      <c r="A1080" s="3" t="n">
        <v>497</v>
      </c>
      <c r="B1080" s="3" t="inlineStr">
        <is>
          <t>Cephalexin (CEP02, ULE02)</t>
        </is>
      </c>
      <c r="C1080" s="9" t="inlineStr">
        <is>
          <t>Low</t>
        </is>
      </c>
      <c r="D1080" s="3" t="inlineStr">
        <is>
          <t>Pharmacokinetics/other</t>
        </is>
      </c>
      <c r="E1080" s="3" t="inlineStr"/>
      <c r="F1080" s="3" t="inlineStr">
        <is>
          <t>Add CEP02 licence/insert link (衛署藥製字第015660號)</t>
        </is>
      </c>
      <c r="G1080" s="3" t="inlineStr">
        <is>
          <t>No 仿單 or licence link on the P4 page (ULE02 has one).</t>
        </is>
      </c>
      <c r="H1080" s="3" t="inlineStr">
        <is>
          <t>Licence 衛署藥製字第015660號; TFDA insert 印刷版次3, 2019-04-02.</t>
        </is>
      </c>
      <c r="I1080" s="3" t="inlineStr">
        <is>
          <t>https://mcp.fda.gov.tw/im_detail_1/%E8%A1%9B%E7%BD%B2%E8%97%A5%E8%A3%BD%E5%AD%97%E7%AC%AC015660%E8%99%9F</t>
        </is>
      </c>
      <c r="J1080" s="3" t="inlineStr">
        <is>
          <t>Open</t>
        </is>
      </c>
      <c r="K1080" s="3" t="inlineStr"/>
    </row>
    <row r="1081">
      <c r="A1081" s="3" t="n">
        <v>478</v>
      </c>
      <c r="B1081" s="3" t="inlineStr">
        <is>
          <t>Cephalexin (CEP02, ULE02)</t>
        </is>
      </c>
      <c r="C1081" s="9" t="inlineStr">
        <is>
          <t>Low</t>
        </is>
      </c>
      <c r="D1081" s="3" t="inlineStr">
        <is>
          <t>Pregnancy</t>
        </is>
      </c>
      <c r="E1081" s="3" t="inlineStr">
        <is>
          <t>FDA letter category</t>
        </is>
      </c>
      <c r="F1081" s="3" t="inlineStr">
        <is>
          <t>Remove FDA letter 'B'; replace with PLLR narrative risk summary</t>
        </is>
      </c>
      <c r="G1081" s="3" t="inlineStr">
        <is>
          <t>CEP02: 'B (FDA); ...'; ULE02: 'B'</t>
        </is>
      </c>
      <c r="H1081" s="3" t="inlineStr">
        <is>
          <t>FDA letter categories are retired. The US label §8.1 gives a narrative risk summary (no established risk of major birth defects/miscarriage). TW Ulexin 6.1: 孕婦使用本劑的安全性尚未確定.</t>
        </is>
      </c>
      <c r="I1081" s="3" t="inlineStr">
        <is>
          <t>US FDA label §8.1 https://dailymed.nlm.nih.gov/dailymed/drugInfo.cfm?setid=8e28f049-6110-4473-830f-c494191a7197</t>
        </is>
      </c>
      <c r="J1081" s="3" t="inlineStr">
        <is>
          <t>Open</t>
        </is>
      </c>
      <c r="K1081" s="3" t="inlineStr"/>
    </row>
    <row r="1082">
      <c r="A1082" s="3" t="n">
        <v>490</v>
      </c>
      <c r="B1082" s="3" t="inlineStr">
        <is>
          <t>Cephalexin (CEP02, ULE02)</t>
        </is>
      </c>
      <c r="C1082" s="9" t="inlineStr">
        <is>
          <t>Low</t>
        </is>
      </c>
      <c r="D1082" s="3" t="inlineStr">
        <is>
          <t>Pregnancy</t>
        </is>
      </c>
      <c r="E1082" s="3" t="inlineStr">
        <is>
          <t>FDA letter category</t>
        </is>
      </c>
      <c r="F1082" s="3" t="inlineStr">
        <is>
          <t>Remove FDA letter 'B'; replace with PLLR narrative risk summary</t>
        </is>
      </c>
      <c r="G1082" s="3" t="inlineStr">
        <is>
          <t>B (FDA)</t>
        </is>
      </c>
      <c r="H1082" s="3" t="inlineStr">
        <is>
          <t>FDA letter categories are retired. The current US label has a narrative risk summary: 'have not established drug-associated risks of major birth defects, miscarriage, or adverse maternal or fetal outcomes'.</t>
        </is>
      </c>
      <c r="I1082" s="3" t="inlineStr">
        <is>
          <t>US FDA label 8.1 — https://dailymed.nlm.nih.gov/dailymed/drugInfo.cfm?setid=8e28f049-6110-4473-830f-c494191a7197</t>
        </is>
      </c>
      <c r="J1082" s="3" t="inlineStr">
        <is>
          <t>Open</t>
        </is>
      </c>
      <c r="K1082" s="3" t="inlineStr"/>
    </row>
    <row r="1083">
      <c r="A1083" s="3" t="n">
        <v>491</v>
      </c>
      <c r="B1083" s="3" t="inlineStr">
        <is>
          <t>Cephalexin (CEP02, ULE02)</t>
        </is>
      </c>
      <c r="C1083" s="9" t="inlineStr">
        <is>
          <t>Low</t>
        </is>
      </c>
      <c r="D1083" s="3" t="inlineStr">
        <is>
          <t>Pregnancy</t>
        </is>
      </c>
      <c r="E1083" s="3" t="inlineStr">
        <is>
          <t>FDA letter category</t>
        </is>
      </c>
      <c r="F1083" s="3" t="inlineStr">
        <is>
          <t>Remove FDA letter 'B'; replace with PLLR narrative risk summary</t>
        </is>
      </c>
      <c r="G1083" s="3" t="inlineStr">
        <is>
          <t>B</t>
        </is>
      </c>
      <c r="H1083" s="3" t="inlineStr">
        <is>
          <t>No letter category. The TW Ulexin insert says '孕婦使用本劑的安全性尚未確定', and the US label uses a PLLR narrative.</t>
        </is>
      </c>
      <c r="I1083" s="3" t="inlineStr">
        <is>
          <t>TW 仿單 Ulexin 6.1 — https://mcp.fda.gov.tw/im_detail_1/%E8%A1%9B%E7%BD%B2%E8%97%A5%E8%A3%BD%E5%AD%97%E7%AC%AC017280%E8%99%9F</t>
        </is>
      </c>
      <c r="J1083" s="3" t="inlineStr">
        <is>
          <t>Open</t>
        </is>
      </c>
      <c r="K1083" s="3" t="inlineStr"/>
    </row>
    <row r="1084">
      <c r="A1084" s="3" t="n">
        <v>319</v>
      </c>
      <c r="B1084" s="3" t="inlineStr">
        <is>
          <t>Cetazone (Cefmetazole) (CET03)</t>
        </is>
      </c>
      <c r="C1084" s="9" t="inlineStr">
        <is>
          <t>Low</t>
        </is>
      </c>
      <c r="D1084" s="3" t="inlineStr">
        <is>
          <t>Contraindication/warning</t>
        </is>
      </c>
      <c r="E1084" s="3" t="inlineStr"/>
      <c r="F1084" s="3" t="inlineStr">
        <is>
          <t>Note jaundiced-neonate contraindication is not in TW insert; label: cephem allergy only</t>
        </is>
      </c>
      <c r="G1084" s="3" t="inlineStr">
        <is>
          <t>Contraindicated in jaundiced newborns (bilirubin displacement)</t>
        </is>
      </c>
      <c r="H1084" s="3" t="inlineStr">
        <is>
          <t>TW insert §4 禁忌 says '目前尚無資訊'. The only label 'do not use' is cephem allergy (§5.1(2)). The neonatal hyperbilirubinemia contraindication does not appear in the stocked product's label.</t>
        </is>
      </c>
      <c r="I1084" s="3" t="inlineStr">
        <is>
          <t>TW仿單 §4, §5.1, https://mcp.fda.gov.tw/im_detail_1/%E8%A1%9B%E7%BD%B2%E8%97%A5%E8%A3%BD%E5%AD%97%E7%AC%AC035182%E8%99%9F</t>
        </is>
      </c>
      <c r="J1084" s="3" t="inlineStr">
        <is>
          <t>Open</t>
        </is>
      </c>
      <c r="K1084" s="3" t="inlineStr"/>
    </row>
    <row r="1085">
      <c r="A1085" s="3" t="n">
        <v>324</v>
      </c>
      <c r="B1085" s="3" t="inlineStr">
        <is>
          <t>Cetazone (Cefmetazole) (CET03)</t>
        </is>
      </c>
      <c r="C1085" s="9" t="inlineStr">
        <is>
          <t>Low</t>
        </is>
      </c>
      <c r="D1085" s="3" t="inlineStr">
        <is>
          <t>Contraindication/warning</t>
        </is>
      </c>
      <c r="E1085" s="3" t="inlineStr"/>
      <c r="F1085" s="3" t="inlineStr">
        <is>
          <t>Cite TW wording: cephem allergy, caution in penicillin allergy; mark neonatal statement as non-label</t>
        </is>
      </c>
      <c r="G1085" s="3" t="inlineStr">
        <is>
          <t>Hypersensitivity to cephalosporin and cephamycin group; avoid in jaundiced newborns (competes with bilirubin for albumin binding → bilirubin encephalopathy)</t>
        </is>
      </c>
      <c r="H1085" s="3" t="inlineStr">
        <is>
          <t>TW §4 禁忌 says 目前尚無資訊. §5.1(2) says do not give to patients with prior Cephem (cephalosporin/cephamycin) allergy, and §5.1(3) says use caution with penicillin allergy. The TW insert does not contain the jaundiced-newborn/bilirubin statement.</t>
        </is>
      </c>
      <c r="I1085" s="3" t="inlineStr">
        <is>
          <t>TW 仿單 §4, §5.1 — https://mcp.fda.gov.tw/im_detail_1/%E8%A1%9B%E7%BD%B2%E8%97%A5%E8%A3%BD%E5%AD%97%E7%AC%AC035182%E8%99%9F</t>
        </is>
      </c>
      <c r="J1085" s="3" t="inlineStr">
        <is>
          <t>Open</t>
        </is>
      </c>
      <c r="K1085" s="3" t="inlineStr"/>
    </row>
    <row r="1086">
      <c r="A1086" s="3" t="n">
        <v>326</v>
      </c>
      <c r="B1086" s="3" t="inlineStr">
        <is>
          <t>Cetazone (Cefmetazole) (CET03)</t>
        </is>
      </c>
      <c r="C1086" s="9" t="inlineStr">
        <is>
          <t>Low</t>
        </is>
      </c>
      <c r="D1086" s="3" t="inlineStr">
        <is>
          <t>Pharmacokinetics/other</t>
        </is>
      </c>
      <c r="E1086" s="3" t="inlineStr"/>
      <c r="F1086" s="3" t="inlineStr">
        <is>
          <t>Chinese name: 喜達隆注射劑 (dry-powder injection), not 注射液</t>
        </is>
      </c>
      <c r="G1086" s="3" t="inlineStr">
        <is>
          <t>喜達隆注射液</t>
        </is>
      </c>
      <c r="H1086" s="3" t="inlineStr">
        <is>
          <t>The licensed name is 喜達隆注射劑（西華美達諾）〝信東〞, a dry-powder injection (乾粉注射劑), not a solution (注射液).</t>
        </is>
      </c>
      <c r="I1086" s="3" t="inlineStr">
        <is>
          <t>TW 仿單 header, 劑型 — https://mcp.fda.gov.tw/im_detail_1/%E8%A1%9B%E7%BD%B2%E8%97%A5%E8%A3%BD%E5%AD%97%E7%AC%AC035182%E8%99%9F</t>
        </is>
      </c>
      <c r="J1086" s="3" t="inlineStr">
        <is>
          <t>Open</t>
        </is>
      </c>
      <c r="K1086" s="3" t="inlineStr"/>
    </row>
    <row r="1087">
      <c r="A1087" s="3" t="n">
        <v>316</v>
      </c>
      <c r="B1087" s="3" t="inlineStr">
        <is>
          <t>Cetazone (Cefmetazole) (CET03)</t>
        </is>
      </c>
      <c r="C1087" s="9" t="inlineStr">
        <is>
          <t>Low</t>
        </is>
      </c>
      <c r="D1087" s="3" t="inlineStr">
        <is>
          <t>Pregnancy</t>
        </is>
      </c>
      <c r="E1087" s="3" t="inlineStr">
        <is>
          <t>FDA letter category</t>
        </is>
      </c>
      <c r="F1087" s="3" t="inlineStr">
        <is>
          <t>Remove category B; TW insert: no human data; rat studies negative</t>
        </is>
      </c>
      <c r="G1087" s="3" t="inlineStr">
        <is>
          <t>B (FDA letter category)</t>
        </is>
      </c>
      <c r="H1087" s="3" t="inlineStr">
        <is>
          <t>FDA letter categories are retired. TW insert §6.1 懷孕 says '目前尚無資訊'. Only rat teratogenicity data (§10.3) showed no abnormalities.</t>
        </is>
      </c>
      <c r="I1087" s="3" t="inlineStr">
        <is>
          <t>TW仿單 衛署藥製字第035182號 §6.1, §10.3, https://mcp.fda.gov.tw/im_detail_1/%E8%A1%9B%E7%BD%B2%E8%97%A5%E8%A3%BD%E5%AD%97%E7%AC%AC035182%E8%99%9F</t>
        </is>
      </c>
      <c r="J1087" s="3" t="inlineStr">
        <is>
          <t>Open</t>
        </is>
      </c>
      <c r="K1087" s="3" t="inlineStr"/>
    </row>
    <row r="1088">
      <c r="A1088" s="3" t="n">
        <v>321</v>
      </c>
      <c r="B1088" s="3" t="inlineStr">
        <is>
          <t>Cetazone (Cefmetazole) (CET03)</t>
        </is>
      </c>
      <c r="C1088" s="9" t="inlineStr">
        <is>
          <t>Low</t>
        </is>
      </c>
      <c r="D1088" s="3" t="inlineStr">
        <is>
          <t>Pregnancy</t>
        </is>
      </c>
      <c r="E1088" s="3" t="inlineStr">
        <is>
          <t>FDA letter category</t>
        </is>
      </c>
      <c r="F1088" s="3" t="inlineStr">
        <is>
          <t>Remove category B; TW: no human data, rat studies negative</t>
        </is>
      </c>
      <c r="G1088" s="3" t="inlineStr">
        <is>
          <t>B; Cephalosporins, in general, are considered safe for use in pregnancy</t>
        </is>
      </c>
      <c r="H1088" s="3" t="inlineStr">
        <is>
          <t>The FDA letter categories are retired. TW 仿單 §6.1 says 目前尚無資訊 (no human data). §10.3 reports rat teratogenicity studies with no abnormality.</t>
        </is>
      </c>
      <c r="I1088" s="3" t="inlineStr">
        <is>
          <t>TW 仿單 §6.1/§10.3 — https://mcp.fda.gov.tw/im_detail_1/%E8%A1%9B%E7%BD%B2%E8%97%A5%E8%A3%BD%E5%AD%97%E7%AC%AC035182%E8%99%9F ; hospital page https://pharmacy.fjuh.fju.edu.tw/Key_Search/P4?query=CET03</t>
        </is>
      </c>
      <c r="J1088" s="3" t="inlineStr">
        <is>
          <t>Open</t>
        </is>
      </c>
      <c r="K1088" s="3" t="inlineStr"/>
    </row>
    <row r="1089">
      <c r="A1089" s="3" t="n">
        <v>522</v>
      </c>
      <c r="B1089" s="3" t="inlineStr">
        <is>
          <t>Cexime (Cefixime) (CEX02)</t>
        </is>
      </c>
      <c r="C1089" s="9" t="inlineStr">
        <is>
          <t>Low</t>
        </is>
      </c>
      <c r="D1089" s="3" t="inlineStr">
        <is>
          <t>Pharmacokinetics/other</t>
        </is>
      </c>
      <c r="E1089" s="3" t="inlineStr"/>
      <c r="F1089" s="3" t="inlineStr">
        <is>
          <t>Add licence 衛署藥製字第048892號</t>
        </is>
      </c>
      <c r="G1089" s="3" t="inlineStr">
        <is>
          <t>No TFDA licence number shown; only NHI code AC48892100</t>
        </is>
      </c>
      <c r="H1089" s="3" t="inlineStr">
        <is>
          <t>The licence is 衛署藥製字第048892號 (信東生技), valid to 116-07-17. I derived it from the NHI code and confirmed it on TFDA.</t>
        </is>
      </c>
      <c r="I1089" s="3" t="inlineStr">
        <is>
          <t>https://mcp.fda.gov.tw/im_detail_pdf/%E8%A1%9B%E7%BD%B2%E8%97%A5%E8%A3%BD%E5%AD%97%E7%AC%AC048892%E8%99%9F</t>
        </is>
      </c>
      <c r="J1089" s="3" t="inlineStr">
        <is>
          <t>Open</t>
        </is>
      </c>
      <c r="K1089" s="3" t="inlineStr"/>
    </row>
    <row r="1090">
      <c r="A1090" s="3" t="n">
        <v>530</v>
      </c>
      <c r="B1090" s="3" t="inlineStr">
        <is>
          <t>Cexime (Cefixime) (CEX02)</t>
        </is>
      </c>
      <c r="C1090" s="9" t="inlineStr">
        <is>
          <t>Low</t>
        </is>
      </c>
      <c r="D1090" s="3" t="inlineStr">
        <is>
          <t>Pharmacokinetics/other</t>
        </is>
      </c>
      <c r="E1090" s="3" t="inlineStr"/>
      <c r="F1090" s="3" t="inlineStr">
        <is>
          <t>Add licence 衛署藥製字第048892號</t>
        </is>
      </c>
      <c r="G1090" s="3" t="inlineStr">
        <is>
          <t>Not shown on the P4 page (only NHI AC48892100)</t>
        </is>
      </c>
      <c r="H1090" s="3" t="inlineStr">
        <is>
          <t>衛署藥製字第048892號 (信東生技, valid to 116-07-17)</t>
        </is>
      </c>
      <c r="I1090" s="3" t="inlineStr">
        <is>
          <t>https://mcp.fda.gov.tw/im_detail_pdf/%E8%A1%9B%E7%BD%B2%E8%97%A5%E8%A3%BD%E5%AD%97%E7%AC%AC048892%E8%99%9F</t>
        </is>
      </c>
      <c r="J1090" s="3" t="inlineStr">
        <is>
          <t>Open</t>
        </is>
      </c>
      <c r="K1090" s="3" t="inlineStr"/>
    </row>
    <row r="1091">
      <c r="A1091" s="3" t="n">
        <v>518</v>
      </c>
      <c r="B1091" s="3" t="inlineStr">
        <is>
          <t>Cexime (Cefixime) (CEX02)</t>
        </is>
      </c>
      <c r="C1091" s="9" t="inlineStr">
        <is>
          <t>Low</t>
        </is>
      </c>
      <c r="D1091" s="3" t="inlineStr">
        <is>
          <t>Pregnancy</t>
        </is>
      </c>
      <c r="E1091" s="3" t="inlineStr">
        <is>
          <t>FDA letter category</t>
        </is>
      </c>
      <c r="F1091" s="3" t="inlineStr">
        <is>
          <t>Remove FDA letter 'B'; replace with PLLR narrative risk summary</t>
        </is>
      </c>
      <c r="G1091" s="3" t="inlineStr">
        <is>
          <t>B</t>
        </is>
      </c>
      <c r="H1091" s="3" t="inlineStr">
        <is>
          <t>FDA letter categories are retired. The US 8.1 narrative says no established drug-associated risk. UK: avoid unless essential. TW: give only if benefit outweighs risk.</t>
        </is>
      </c>
      <c r="I1091" s="3" t="inlineStr">
        <is>
          <t>US cefixime capsule §8.1 https://dailymed.nlm.nih.gov/dailymed/drugInfo.cfm?setid=9cdb156f-7a99-413e-b49a-ffafaf9e93fe</t>
        </is>
      </c>
      <c r="J1091" s="3" t="inlineStr">
        <is>
          <t>Open</t>
        </is>
      </c>
      <c r="K1091" s="3" t="inlineStr"/>
    </row>
    <row r="1092">
      <c r="A1092" s="3" t="n">
        <v>524</v>
      </c>
      <c r="B1092" s="3" t="inlineStr">
        <is>
          <t>Cexime (Cefixime) (CEX02)</t>
        </is>
      </c>
      <c r="C1092" s="9" t="inlineStr">
        <is>
          <t>Low</t>
        </is>
      </c>
      <c r="D1092" s="3" t="inlineStr">
        <is>
          <t>Pregnancy</t>
        </is>
      </c>
      <c r="E1092" s="3" t="inlineStr">
        <is>
          <t>FDA letter category</t>
        </is>
      </c>
      <c r="F1092" s="3" t="inlineStr">
        <is>
          <t>Remove FDA letter 'B'; replace with PLLR narrative risk summary</t>
        </is>
      </c>
      <c r="G1092" s="3" t="inlineStr">
        <is>
          <t>B</t>
        </is>
      </c>
      <c r="H1092" s="3" t="inlineStr">
        <is>
          <t>The FDA retired letter categories (PLLR). US 8.1 is narrative: no established drug-associated risk. UK: use only if essential. 仿單: only if benefit outweighs risk.</t>
        </is>
      </c>
      <c r="I1092" s="3" t="inlineStr">
        <is>
          <t>https://dailymed.nlm.nih.gov/dailymed/drugInfo.cfm?setid=9cdb156f-7a99-413e-b49a-ffafaf9e93fe (8.1)</t>
        </is>
      </c>
      <c r="J1092" s="3" t="inlineStr">
        <is>
          <t>Open</t>
        </is>
      </c>
      <c r="K1092" s="3" t="inlineStr"/>
    </row>
    <row r="1093">
      <c r="A1093" s="3" t="n">
        <v>507</v>
      </c>
      <c r="B1093" s="3" t="inlineStr">
        <is>
          <t>Claforan (Cefotaxime) (CLA01)</t>
        </is>
      </c>
      <c r="C1093" s="9" t="inlineStr">
        <is>
          <t>Low</t>
        </is>
      </c>
      <c r="D1093" s="3" t="inlineStr">
        <is>
          <t>Administration/compatibility</t>
        </is>
      </c>
      <c r="E1093" s="3" t="inlineStr"/>
      <c r="F1093" s="3" t="inlineStr">
        <is>
          <t>Storage: below 25 °C, protect from light</t>
        </is>
      </c>
      <c r="G1093" s="3" t="inlineStr">
        <is>
          <t>請置於 15–30℃ 乾燥處儲存</t>
        </is>
      </c>
      <c r="H1093" s="3" t="inlineStr">
        <is>
          <t>仿單: 產品 25℃以下避光儲存 (SmPC 6.4: do not store above 25°C, protect from light)</t>
        </is>
      </c>
      <c r="I1093" s="3" t="inlineStr">
        <is>
          <t>Taiwan 仿單 儲存注意事項; UK SmPC 6.4</t>
        </is>
      </c>
      <c r="J1093" s="3" t="inlineStr">
        <is>
          <t>Open</t>
        </is>
      </c>
      <c r="K1093" s="3" t="inlineStr"/>
    </row>
    <row r="1094">
      <c r="A1094" s="3" t="n">
        <v>511</v>
      </c>
      <c r="B1094" s="3" t="inlineStr">
        <is>
          <t>Claforan (Cefotaxime) (CLA01)</t>
        </is>
      </c>
      <c r="C1094" s="9" t="inlineStr">
        <is>
          <t>Low</t>
        </is>
      </c>
      <c r="D1094" s="3" t="inlineStr">
        <is>
          <t>Administration/compatibility</t>
        </is>
      </c>
      <c r="E1094" s="3" t="inlineStr"/>
      <c r="F1094" s="3" t="inlineStr">
        <is>
          <t>Storage: below 25 °C, protect from light</t>
        </is>
      </c>
      <c r="G1094" s="3" t="inlineStr">
        <is>
          <t>請置於 15-30℃ 乾燥處儲存</t>
        </is>
      </c>
      <c r="H1094" s="3" t="inlineStr">
        <is>
          <t>仿單: 25℃以下避光儲存 (store below 25°C, protect from light); SmPC also says do not store above 25°C, protect from light. Report only; storage is not to be added to Notion.</t>
        </is>
      </c>
      <c r="I1094" s="3" t="inlineStr">
        <is>
          <t>TW 仿單 [儲存注意事項]; SmPC 6.4</t>
        </is>
      </c>
      <c r="J1094" s="3" t="inlineStr">
        <is>
          <t>Open</t>
        </is>
      </c>
      <c r="K1094" s="3" t="inlineStr"/>
    </row>
    <row r="1095">
      <c r="A1095" s="3" t="n">
        <v>502</v>
      </c>
      <c r="B1095" s="3" t="inlineStr">
        <is>
          <t>Claforan (Cefotaxime) (CLA01)</t>
        </is>
      </c>
      <c r="C1095" s="9" t="inlineStr">
        <is>
          <t>Low</t>
        </is>
      </c>
      <c r="D1095" s="3" t="inlineStr">
        <is>
          <t>Pharmacokinetics/other</t>
        </is>
      </c>
      <c r="E1095" s="3" t="inlineStr"/>
      <c r="F1095" s="3" t="inlineStr">
        <is>
          <t>Sodium: 48 mg (2.09 mmol)/g per stocked product's TW insert</t>
        </is>
      </c>
      <c r="G1095" s="3" t="inlineStr">
        <is>
          <t>2.2 mEq of Na/g</t>
        </is>
      </c>
      <c r="H1095" s="3" t="inlineStr">
        <is>
          <t>The stocked product's Taiwan insert gives 48 mg (2.09 mmol) Na per g, the same as UK SmPC 4.4 (48.07 mg / 2.09 mmol per 1 g vial). The hospital's 2.2 mEq/g (50.5 mg) matches the US SteriMax label, not the stocked Sanofi-made product. The difference is small.</t>
        </is>
      </c>
      <c r="I1095" s="3" t="inlineStr">
        <is>
          <t>Taiwan 仿單 組成 / 警語 (2.09mmol/g); US FDA DESCRIPTION (50.5 mg, 2.2 mEq)</t>
        </is>
      </c>
      <c r="J1095" s="3" t="inlineStr">
        <is>
          <t>Open</t>
        </is>
      </c>
      <c r="K1095" s="3" t="inlineStr"/>
    </row>
    <row r="1096">
      <c r="A1096" s="3" t="n">
        <v>506</v>
      </c>
      <c r="B1096" s="3" t="inlineStr">
        <is>
          <t>Claforan (Cefotaxime) (CLA01)</t>
        </is>
      </c>
      <c r="C1096" s="9" t="inlineStr">
        <is>
          <t>Low</t>
        </is>
      </c>
      <c r="D1096" s="3" t="inlineStr">
        <is>
          <t>Pharmacokinetics/other</t>
        </is>
      </c>
      <c r="E1096" s="3" t="inlineStr"/>
      <c r="F1096" s="3" t="inlineStr">
        <is>
          <t>Protein binding: approx 25–40% (UK SmPC)</t>
        </is>
      </c>
      <c r="G1096" s="3" t="inlineStr">
        <is>
          <t>31–50%</t>
        </is>
      </c>
      <c r="H1096" s="3" t="inlineStr">
        <is>
          <t>UK SmPC 5.2: approximately 25–40%</t>
        </is>
      </c>
      <c r="I1096" s="3" t="inlineStr">
        <is>
          <t>UK SmPC 5.2 https://www.medicines.org.uk/emc/product/100184/smpc</t>
        </is>
      </c>
      <c r="J1096" s="3" t="inlineStr">
        <is>
          <t>Open</t>
        </is>
      </c>
      <c r="K1096" s="3" t="inlineStr"/>
    </row>
    <row r="1097">
      <c r="A1097" s="3" t="n">
        <v>510</v>
      </c>
      <c r="B1097" s="3" t="inlineStr">
        <is>
          <t>Claforan (Cefotaxime) (CLA01)</t>
        </is>
      </c>
      <c r="C1097" s="9" t="inlineStr">
        <is>
          <t>Low</t>
        </is>
      </c>
      <c r="D1097" s="3" t="inlineStr">
        <is>
          <t>Pharmacokinetics/other</t>
        </is>
      </c>
      <c r="E1097" s="3" t="inlineStr"/>
      <c r="F1097" s="3" t="inlineStr">
        <is>
          <t>Sodium: cite stocked product value 2.09 mmol/g or note US source</t>
        </is>
      </c>
      <c r="G1097" s="3" t="inlineStr">
        <is>
          <t>2.2 mEq of Na/g</t>
        </is>
      </c>
      <c r="H1097" s="3" t="inlineStr">
        <is>
          <t>Matches the US FDA label (50.5 mg = 2.2 mEq/g). The stocked product's 仿單 (and the SmPC) give 48 mg (2.09 mmol)/g. This is a minor source mismatch, not a clinical error: the hospital quotes the US value rather than the label of the product it stocks. The brief's issue #3 overstates this.</t>
        </is>
      </c>
      <c r="I1097" s="3" t="inlineStr">
        <is>
          <t>TW 仿單 [組成] &amp; [警語]; FDA DESCRIPTION; SmPC 4.4</t>
        </is>
      </c>
      <c r="J1097" s="3" t="inlineStr">
        <is>
          <t>Open</t>
        </is>
      </c>
      <c r="K1097" s="3" t="inlineStr"/>
    </row>
    <row r="1098">
      <c r="A1098" s="3" t="n">
        <v>515</v>
      </c>
      <c r="B1098" s="3" t="inlineStr">
        <is>
          <t>Claforan (Cefotaxime) (CLA01)</t>
        </is>
      </c>
      <c r="C1098" s="9" t="inlineStr">
        <is>
          <t>Low</t>
        </is>
      </c>
      <c r="D1098" s="3" t="inlineStr">
        <is>
          <t>Pharmacokinetics/other</t>
        </is>
      </c>
      <c r="E1098" s="3" t="inlineStr"/>
      <c r="F1098" s="3" t="inlineStr">
        <is>
          <t>Update PK: protein binding 25–40%, t½ 50–80 min</t>
        </is>
      </c>
      <c r="G1098" s="3" t="inlineStr">
        <is>
          <t>Protein binding 31–50%; adult t½ 1–1.5 h</t>
        </is>
      </c>
      <c r="H1098" s="3" t="inlineStr">
        <is>
          <t>SmPC: protein binding 25–40%, t½ 50–80 min. 仿單: t½ 0.9–1.14 h (desacetyl ~1.3 h). Minor.</t>
        </is>
      </c>
      <c r="I1098" s="3" t="inlineStr">
        <is>
          <t>SmPC 5.2; 仿單 [藥理性質] 藥動性質</t>
        </is>
      </c>
      <c r="J1098" s="3" t="inlineStr">
        <is>
          <t>Open</t>
        </is>
      </c>
      <c r="K1098" s="3" t="inlineStr"/>
    </row>
    <row r="1099">
      <c r="A1099" s="3" t="n">
        <v>501</v>
      </c>
      <c r="B1099" s="3" t="inlineStr">
        <is>
          <t>Claforan (Cefotaxime) (CLA01)</t>
        </is>
      </c>
      <c r="C1099" s="9" t="inlineStr">
        <is>
          <t>Low</t>
        </is>
      </c>
      <c r="D1099" s="3" t="inlineStr">
        <is>
          <t>Pregnancy</t>
        </is>
      </c>
      <c r="E1099" s="3" t="inlineStr">
        <is>
          <t>FDA letter category</t>
        </is>
      </c>
      <c r="F1099" s="3" t="inlineStr">
        <is>
          <t>Remove FDA letter 'B'; replace with PLLR narrative risk summary</t>
        </is>
      </c>
      <c r="G1099" s="3" t="inlineStr">
        <is>
          <t>B</t>
        </is>
      </c>
      <c r="H1099" s="3" t="inlineStr">
        <is>
          <t>The FDA retired letter categories (PLLR). Use narrative text instead: crosses the placenta; no animal teratogenicity; use only if clearly needed (US); benefit &gt; risk (UK SmPC 4.6); avoid in the first trimester unless benefit and risk are weighed (仿單).</t>
        </is>
      </c>
      <c r="I1099" s="3" t="inlineStr">
        <is>
          <t>US FDA PRECAUTIONS Pregnancy; UK SmPC 4.6; Taiwan 仿單 懷孕與授乳</t>
        </is>
      </c>
      <c r="J1099" s="3" t="inlineStr">
        <is>
          <t>Open</t>
        </is>
      </c>
      <c r="K1099" s="3" t="inlineStr"/>
    </row>
    <row r="1100">
      <c r="A1100" s="3" t="n">
        <v>509</v>
      </c>
      <c r="B1100" s="3" t="inlineStr">
        <is>
          <t>Claforan (Cefotaxime) (CLA01)</t>
        </is>
      </c>
      <c r="C1100" s="9" t="inlineStr">
        <is>
          <t>Low</t>
        </is>
      </c>
      <c r="D1100" s="3" t="inlineStr">
        <is>
          <t>Pregnancy</t>
        </is>
      </c>
      <c r="E1100" s="3" t="inlineStr">
        <is>
          <t>FDA letter category</t>
        </is>
      </c>
      <c r="F1100" s="3" t="inlineStr">
        <is>
          <t>Remove FDA letter 'B'; replace with PLLR narrative risk summary</t>
        </is>
      </c>
      <c r="G1100" s="3" t="inlineStr">
        <is>
          <t>B</t>
        </is>
      </c>
      <c r="H1100" s="3" t="inlineStr">
        <is>
          <t>FDA letter categories are retired (PLLR). The US Claforan label still prints 'Category B', but current wording should describe the data: crosses placenta, no animal teratogenicity, no adequate human data, use only if clearly needed. 仿單: avoid in 1st trimester without careful benefit–risk assessment.</t>
        </is>
      </c>
      <c r="I1100" s="3" t="inlineStr">
        <is>
          <t>FDA label PRECAUTIONS Pregnancy; SmPC 4.6; 仿單 [懷孕與授乳]</t>
        </is>
      </c>
      <c r="J1100" s="3" t="inlineStr">
        <is>
          <t>Open</t>
        </is>
      </c>
      <c r="K1100" s="3" t="inlineStr"/>
    </row>
    <row r="1101">
      <c r="A1101" s="3" t="n">
        <v>10</v>
      </c>
      <c r="B1101" s="3" t="inlineStr">
        <is>
          <t>Colistin (COL04)</t>
        </is>
      </c>
      <c r="C1101" s="9" t="inlineStr">
        <is>
          <t>Low</t>
        </is>
      </c>
      <c r="D1101" s="3" t="inlineStr">
        <is>
          <t>Pregnancy</t>
        </is>
      </c>
      <c r="E1101" s="3" t="inlineStr">
        <is>
          <t>FDA letter category</t>
        </is>
      </c>
      <c r="F1101" s="3" t="inlineStr">
        <is>
          <t>Replace category C with PLLR narrative: crosses placenta, use only if benefit justifies risk</t>
        </is>
      </c>
      <c r="G1101" s="3" t="inlineStr">
        <is>
          <t>C</t>
        </is>
      </c>
      <c r="H1101" s="3" t="inlineStr">
        <is>
          <t>FDA letter categories retired; label: crosses placenta, use only if benefit justifies risk</t>
        </is>
      </c>
      <c r="I1101" s="3" t="inlineStr">
        <is>
          <t>US label</t>
        </is>
      </c>
      <c r="J1101" s="3" t="inlineStr">
        <is>
          <t>Open</t>
        </is>
      </c>
      <c r="K1101" s="3" t="inlineStr"/>
    </row>
    <row r="1102">
      <c r="A1102" s="3" t="n">
        <v>185</v>
      </c>
      <c r="B1102" s="3" t="inlineStr">
        <is>
          <t>Cresemba (Isavuconazonium) (CRE02, CRE03)</t>
        </is>
      </c>
      <c r="C1102" s="9" t="inlineStr">
        <is>
          <t>Low</t>
        </is>
      </c>
      <c r="D1102" s="3" t="inlineStr">
        <is>
          <t>Adverse effects</t>
        </is>
      </c>
      <c r="E1102" s="3" t="inlineStr"/>
      <c r="F1102" s="3" t="inlineStr">
        <is>
          <t>Split '譫妄潮紅' into 譫妄 (delirium); flushing is overdose symptom only</t>
        </is>
      </c>
      <c r="G1102" s="3" t="inlineStr">
        <is>
          <t>'譫妄潮紅' (delirium-flushing) listed as one item</t>
        </is>
      </c>
      <c r="H1102" s="3" t="inlineStr">
        <is>
          <t>The TW insert lists 譫妄 (delirium, common) as a separate term. Flushing appears only among supratherapeutic-dose (600 mg/day) overdose symptoms (熱潮紅). The combined term looks like a typo or a merge of two terms.</t>
        </is>
      </c>
      <c r="I1102" s="3" t="inlineStr">
        <is>
          <t>Taiwan insert 027796 §8.1 表4 and §9</t>
        </is>
      </c>
      <c r="J1102" s="3" t="inlineStr">
        <is>
          <t>Open</t>
        </is>
      </c>
      <c r="K1102" s="3" t="inlineStr"/>
    </row>
    <row r="1103">
      <c r="A1103" s="3" t="n">
        <v>193</v>
      </c>
      <c r="B1103" s="3" t="inlineStr">
        <is>
          <t>Cresemba (Isavuconazonium) (CRE02, CRE03)</t>
        </is>
      </c>
      <c r="C1103" s="9" t="inlineStr">
        <is>
          <t>Low</t>
        </is>
      </c>
      <c r="D1103" s="3" t="inlineStr">
        <is>
          <t>Adverse effects</t>
        </is>
      </c>
      <c r="E1103" s="3" t="inlineStr"/>
      <c r="F1103" s="3" t="inlineStr">
        <is>
          <t>Correct bag ADR '譫妄潮紅' to '譫妄'</t>
        </is>
      </c>
      <c r="G1103" s="3" t="inlineStr">
        <is>
          <t>噁心、嘔吐、低血鉀、譫妄潮紅、頭痛、嗜睡、血栓性靜脈炎、皮疹等</t>
        </is>
      </c>
      <c r="H1103" s="3" t="inlineStr">
        <is>
          <t>'譫妄潮紅' is not a term used in any label; it is probably a missing separator between 譫妄 (delirium, common in Taiwan Table 4) and 潮紅/熱潮紅 (hot flush, listed only as an overdose symptom in Taiwan §9). It should be split or corrected.</t>
        </is>
      </c>
      <c r="I1103" s="3" t="inlineStr">
        <is>
          <t>https://mcp.fda.gov.tw/im_detail_1/%E8%A1%9B%E9%83%A8%E8%97%A5%E8%BC%B8%E5%AD%97%E7%AC%AC027796%E8%99%9F</t>
        </is>
      </c>
      <c r="J1103" s="3" t="inlineStr">
        <is>
          <t>Open</t>
        </is>
      </c>
      <c r="K1103" s="3" t="inlineStr"/>
    </row>
    <row r="1104">
      <c r="A1104" s="3" t="n">
        <v>194</v>
      </c>
      <c r="B1104" s="3" t="inlineStr">
        <is>
          <t>Cresemba (Isavuconazonium) (CRE02, CRE03)</t>
        </is>
      </c>
      <c r="C1104" s="9" t="inlineStr">
        <is>
          <t>Low</t>
        </is>
      </c>
      <c r="D1104" s="3" t="inlineStr">
        <is>
          <t>Dosing – pediatric</t>
        </is>
      </c>
      <c r="E1104" s="3" t="inlineStr"/>
      <c r="F1104" s="3" t="inlineStr">
        <is>
          <t>State explicitly capsule is adults only in TW</t>
        </is>
      </c>
      <c r="G1104" s="3" t="inlineStr">
        <is>
          <t>(blank)</t>
        </is>
      </c>
      <c r="H1104" s="3" t="inlineStr">
        <is>
          <t>Taiwan capsule insert: adults only, so a blank field is consistent with it but should say so explicitly. The US label allows capsules from age 6 and ≥16 kg (mostly with 74.5 mg capsules). The UK SmPC allows two 100 mg capsules for children aged ≥6 and ≥37 kg.</t>
        </is>
      </c>
      <c r="I1104" s="3" t="inlineStr">
        <is>
          <t>https://mcp.fda.gov.tw/im_detail_1/%E8%A1%9B%E9%83%A8%E8%97%A5%E8%BC%B8%E5%AD%97%E7%AC%AC027795%E8%99%9F ; https://www.medicines.org.uk/emc/product/5071/smpc</t>
        </is>
      </c>
      <c r="J1104" s="3" t="inlineStr">
        <is>
          <t>Open</t>
        </is>
      </c>
      <c r="K1104" s="3" t="inlineStr"/>
    </row>
    <row r="1105">
      <c r="A1105" s="3" t="n">
        <v>349</v>
      </c>
      <c r="B1105" s="3" t="inlineStr">
        <is>
          <t>Cubicin (Daptomycin) (CUB01)</t>
        </is>
      </c>
      <c r="C1105" s="9" t="inlineStr">
        <is>
          <t>Low</t>
        </is>
      </c>
      <c r="D1105" s="3" t="inlineStr">
        <is>
          <t>Pharmacokinetics/other</t>
        </is>
      </c>
      <c r="E1105" s="3" t="inlineStr"/>
      <c r="F1105" s="3" t="inlineStr">
        <is>
          <t>Link TFDA insert 衛署藥輸字第024565號</t>
        </is>
      </c>
      <c r="G1105" s="3" t="inlineStr">
        <is>
          <t>Empty</t>
        </is>
      </c>
      <c r="H1105" s="3" t="inlineStr">
        <is>
          <t>The TFDA insert for 衛署藥輸字第024565號 exists (updated 111/10/21): https://mcp.fda.gov.tw/insert/pdfcasefile/i_27bc1396-9737-42b5-af65-e9f7799a779d</t>
        </is>
      </c>
      <c r="I1105" s="3" t="inlineStr">
        <is>
          <t>TFDA 藥品仿單查詢平台 – https://mcp.fda.gov.tw/im_detail_1/%E8%A1%9B%E7%BD%B2%E8%97%A5%E8%BC%B8%E5%AD%97%E7%AC%AC024565%E8%99%9F</t>
        </is>
      </c>
      <c r="J1105" s="3" t="inlineStr">
        <is>
          <t>Open</t>
        </is>
      </c>
      <c r="K1105" s="3" t="inlineStr"/>
    </row>
    <row r="1106">
      <c r="A1106" s="3" t="n">
        <v>344</v>
      </c>
      <c r="B1106" s="3" t="inlineStr">
        <is>
          <t>Cubicin (Daptomycin) (CUB01)</t>
        </is>
      </c>
      <c r="C1106" s="9" t="inlineStr">
        <is>
          <t>Low</t>
        </is>
      </c>
      <c r="D1106" s="3" t="inlineStr">
        <is>
          <t>Pregnancy</t>
        </is>
      </c>
      <c r="E1106" s="3" t="inlineStr">
        <is>
          <t>FDA letter category</t>
        </is>
      </c>
      <c r="F1106" s="3" t="inlineStr">
        <is>
          <t>Replace category B with PLLR narrative; UK: use only if clearly necessary</t>
        </is>
      </c>
      <c r="G1106" s="3" t="inlineStr">
        <is>
          <t>Pregnancy category B</t>
        </is>
      </c>
      <c r="H1106" s="3" t="inlineStr">
        <is>
          <t>The FDA has retired letter categories. The US label §8.1 PLLR narrative says limited human data cannot inform risk and animal studies showed no harm; the TW insert matches; UK SmPC 4.6 says use only if clearly necessary.</t>
        </is>
      </c>
      <c r="I1106" s="3" t="inlineStr">
        <is>
          <t>US FDA label §8.1 – https://dailymed.nlm.nih.gov/dailymed/drugInfo.cfm?setid=0b1a8885-2198-4a0e-8105-0c76c1cba6c2; TW insert 懷孕 – https://mcp.fda.gov.tw/im_detail_1/%E8%A1%9B%E7%BD%B2%E8%97%A5%E8%BC%B8%E5%AD%97%E7%AC%AC024565%E8%99%9F</t>
        </is>
      </c>
      <c r="J1106" s="3" t="inlineStr">
        <is>
          <t>Open</t>
        </is>
      </c>
      <c r="K1106" s="3" t="inlineStr"/>
    </row>
    <row r="1107">
      <c r="A1107" s="3" t="n">
        <v>350</v>
      </c>
      <c r="B1107" s="3" t="inlineStr">
        <is>
          <t>Cubicin (Daptomycin) (CUB01)</t>
        </is>
      </c>
      <c r="C1107" s="9" t="inlineStr">
        <is>
          <t>Low</t>
        </is>
      </c>
      <c r="D1107" s="3" t="inlineStr">
        <is>
          <t>Pregnancy</t>
        </is>
      </c>
      <c r="E1107" s="3" t="inlineStr">
        <is>
          <t>FDA letter category</t>
        </is>
      </c>
      <c r="F1107" s="3" t="inlineStr">
        <is>
          <t>Replace category B with PLLR risk summary (insufficient human data; no animal harm)</t>
        </is>
      </c>
      <c r="G1107" s="3" t="inlineStr">
        <is>
          <t>B</t>
        </is>
      </c>
      <c r="H1107" s="3" t="inlineStr">
        <is>
          <t>The FDA has retired letter categories (PLLR). Current label: human data insufficient to inform risk; no adverse developmental outcomes in rat/rabbit studies. UK SmPC: avoid unless clearly necessary.</t>
        </is>
      </c>
      <c r="I1107" s="3" t="inlineStr">
        <is>
          <t>US label §8.1 (https://dailymed.nlm.nih.gov/dailymed/drugInfo.cfm?setid=0b1a8885-2198-4a0e-8105-0c76c1cba6c2); 仿單 6.1; UK SmPC §4.6</t>
        </is>
      </c>
      <c r="J1107" s="3" t="inlineStr">
        <is>
          <t>Open</t>
        </is>
      </c>
      <c r="K1107" s="3" t="inlineStr"/>
    </row>
    <row r="1108">
      <c r="A1108" s="3" t="n">
        <v>1301</v>
      </c>
      <c r="B1108" s="3" t="inlineStr">
        <is>
          <t>Delstrigo (Doravirine/Lamivudine/TDF) (DEL01)</t>
        </is>
      </c>
      <c r="C1108" s="9" t="inlineStr">
        <is>
          <t>Low</t>
        </is>
      </c>
      <c r="D1108" s="3" t="inlineStr">
        <is>
          <t>Administration/compatibility</t>
        </is>
      </c>
      <c r="E1108" s="3" t="inlineStr"/>
      <c r="F1108" s="3" t="inlineStr">
        <is>
          <t>Harmonise storage to TW insert: below 30°C (report only; not for Notion).</t>
        </is>
      </c>
      <c r="G1108" s="3" t="inlineStr">
        <is>
          <t>Drug bag: 15–30℃ 乾燥處; 安定性 field quotes the US 20–25°C</t>
        </is>
      </c>
      <c r="H1108" s="3" t="inlineStr">
        <is>
          <t>TW 仿單 §13: store below 30°C, with short excursions to 15–30°C allowed. US: 20–25°C, excursions 15–30°C. The hospital fields mix the two. Reported here only; the owner excluded storage from Notion.</t>
        </is>
      </c>
      <c r="I1108" s="3" t="inlineStr">
        <is>
          <t>TW 仿單 §13 儲存條件; US FDA label §16</t>
        </is>
      </c>
      <c r="J1108" s="3" t="inlineStr">
        <is>
          <t>Open</t>
        </is>
      </c>
      <c r="K1108" s="3" t="inlineStr"/>
    </row>
    <row r="1109">
      <c r="A1109" s="3" t="n">
        <v>1309</v>
      </c>
      <c r="B1109" s="3" t="inlineStr">
        <is>
          <t>Delstrigo (Doravirine/Lamivudine/TDF) (DEL01)</t>
        </is>
      </c>
      <c r="C1109" s="9" t="inlineStr">
        <is>
          <t>Low</t>
        </is>
      </c>
      <c r="D1109" s="3" t="inlineStr">
        <is>
          <t>Administration/compatibility</t>
        </is>
      </c>
      <c r="E1109" s="3" t="inlineStr"/>
      <c r="F1109" s="3" t="inlineStr">
        <is>
          <t>Resolve conflicting storage fields; quote TW insert below 30°C with desiccant (report only).</t>
        </is>
      </c>
      <c r="G1109" s="3" t="inlineStr">
        <is>
          <t>安定性: 20–25°C (excursions 15–30°C, US wording); 藥袋 儲存方式: 15–30℃ 乾燥處</t>
        </is>
      </c>
      <c r="H1109" s="3" t="inlineStr">
        <is>
          <t>The TW insert says store below 30°C, with short excursions to 15–30°C allowed, and keep in the original bottle with desiccant. The hospital's two fields contradict each other and do not quote the TW insert. Reported only for the hospital's information; per the ground rule, storage is not added to Notion.</t>
        </is>
      </c>
      <c r="I1109" s="3" t="inlineStr">
        <is>
          <t>TW insert §13 包裝及儲存 – https://mcp.fda.gov.tw/im_detail_1/%E8%A1%9B%E9%83%A8%E8%97%A5%E8%BC%B8%E5%AD%97%E7%AC%AC027739%E8%99%9F</t>
        </is>
      </c>
      <c r="J1109" s="3" t="inlineStr">
        <is>
          <t>Open</t>
        </is>
      </c>
      <c r="K1109" s="3" t="inlineStr"/>
    </row>
    <row r="1110">
      <c r="A1110" s="3" t="n">
        <v>1308</v>
      </c>
      <c r="B1110" s="3" t="inlineStr">
        <is>
          <t>Delstrigo (Doravirine/Lamivudine/TDF) (DEL01)</t>
        </is>
      </c>
      <c r="C1110" s="9" t="inlineStr">
        <is>
          <t>Low</t>
        </is>
      </c>
      <c r="D1110" s="3" t="inlineStr">
        <is>
          <t>Breastfeeding</t>
        </is>
      </c>
      <c r="E1110" s="3" t="inlineStr">
        <is>
          <t>LactMed outdated</t>
        </is>
      </c>
      <c r="F1110" s="3" t="inlineStr">
        <is>
          <t>Add LactMed shared-decision wording for suppressed viral load; no pregnancy category needed.</t>
        </is>
      </c>
      <c r="G1110" s="3" t="inlineStr">
        <is>
          <t>Wording copied from US 8.1/8.2 (APR data insufficient; lists breastfeeding risks); no category.</t>
        </is>
      </c>
      <c r="H1110" s="3" t="inlineStr">
        <is>
          <t>Leaving out a category is acceptable because the FDA retired letter categories. The breastfeeding text is more conservative than current LactMed: with sustained viral suppression, breastfeeding can be supported (transmission &lt;1%). The TW insert still repeats the old CDC advice not to breastfeed.</t>
        </is>
      </c>
      <c r="I1110" s="3" t="inlineStr">
        <is>
          <t>LactMed NBK532499 / NBK501536 / NBK501549; US §8.2; TW §6.2</t>
        </is>
      </c>
      <c r="J1110" s="3" t="inlineStr">
        <is>
          <t>Open</t>
        </is>
      </c>
      <c r="K1110" s="3" t="inlineStr"/>
    </row>
    <row r="1111">
      <c r="A1111" s="3" t="n">
        <v>1296</v>
      </c>
      <c r="B1111" s="3" t="inlineStr">
        <is>
          <t>Delstrigo (Doravirine/Lamivudine/TDF) (DEL01)</t>
        </is>
      </c>
      <c r="C1111" s="9" t="inlineStr">
        <is>
          <t>Low</t>
        </is>
      </c>
      <c r="D1111" s="3" t="inlineStr">
        <is>
          <t>Pharmacokinetics/other</t>
        </is>
      </c>
      <c r="E1111" s="3" t="inlineStr"/>
      <c r="F1111" s="3" t="inlineStr">
        <is>
          <t>Add TFDA insert link 衛部藥輸字第027739號 (current version).</t>
        </is>
      </c>
      <c r="G1111" s="3" t="inlineStr">
        <is>
          <t>Empty</t>
        </is>
      </c>
      <c r="H1111" s="3" t="inlineStr">
        <is>
          <t>A TFDA insert exists: 衛部藥輸字第027739號, current version MSD-000028732-TW-20251209 (PDF uploaded 2026-01-13).</t>
        </is>
      </c>
      <c r="I1111" s="3" t="inlineStr">
        <is>
          <t>https://mcp.fda.gov.tw/im_detail_1/%E8%A1%9B%E9%83%A8%E8%97%A5%E8%BC%B8%E5%AD%97%E7%AC%AC027739%E8%99%9F</t>
        </is>
      </c>
      <c r="J1111" s="3" t="inlineStr">
        <is>
          <t>Open</t>
        </is>
      </c>
      <c r="K1111" s="3" t="inlineStr"/>
    </row>
    <row r="1112">
      <c r="A1112" s="3" t="n">
        <v>1298</v>
      </c>
      <c r="B1112" s="3" t="inlineStr">
        <is>
          <t>Delstrigo (Doravirine/Lamivudine/TDF) (DEL01)</t>
        </is>
      </c>
      <c r="C1112" s="9" t="inlineStr">
        <is>
          <t>Low</t>
        </is>
      </c>
      <c r="D1112" s="3" t="inlineStr">
        <is>
          <t>Pharmacokinetics/other</t>
        </is>
      </c>
      <c r="E1112" s="3" t="inlineStr"/>
      <c r="F1112" s="3" t="inlineStr">
        <is>
          <t>Write strength as tenofovir disoproxil fumarate 300 mg (=245 mg tenofovir disoproxil).</t>
        </is>
      </c>
      <c r="G1112" s="3" t="inlineStr">
        <is>
          <t>Lamivudine 300mg/Tenofovir 300mg/Doravirine 100mg</t>
        </is>
      </c>
      <c r="H1112" s="3" t="inlineStr">
        <is>
          <t>300 mg is tenofovir disoproxil fumarate (TDF), equal to 245 mg tenofovir disoproxil, not 300 mg 'tenofovir'.</t>
        </is>
      </c>
      <c r="I1112" s="3" t="inlineStr">
        <is>
          <t>US FDA label §3; TW 仿單 §1.1</t>
        </is>
      </c>
      <c r="J1112" s="3" t="inlineStr">
        <is>
          <t>Open</t>
        </is>
      </c>
      <c r="K1112" s="3" t="inlineStr"/>
    </row>
    <row r="1113">
      <c r="A1113" s="3" t="n">
        <v>1302</v>
      </c>
      <c r="B1113" s="3" t="inlineStr">
        <is>
          <t>Delstrigo (Doravirine/Lamivudine/TDF) (DEL01)</t>
        </is>
      </c>
      <c r="C1113" s="9" t="inlineStr">
        <is>
          <t>Low</t>
        </is>
      </c>
      <c r="D1113" s="3" t="inlineStr">
        <is>
          <t>Pharmacokinetics/other</t>
        </is>
      </c>
      <c r="E1113" s="3" t="inlineStr"/>
      <c r="F1113" s="3" t="inlineStr">
        <is>
          <t>Fix typo 'Antiretrovials' to 'Antiretrovirals'.</t>
        </is>
      </c>
      <c r="G1113" s="3" t="inlineStr">
        <is>
          <t>Antiretrovials Antivirals</t>
        </is>
      </c>
      <c r="H1113" s="3" t="inlineStr">
        <is>
          <t>Typo: should read 'Antiretrovirals'.</t>
        </is>
      </c>
      <c r="I1113" s="3" t="inlineStr">
        <is>
          <t>Spelling only</t>
        </is>
      </c>
      <c r="J1113" s="3" t="inlineStr">
        <is>
          <t>Open</t>
        </is>
      </c>
      <c r="K1113" s="3" t="inlineStr"/>
    </row>
    <row r="1114">
      <c r="A1114" s="3" t="n">
        <v>1303</v>
      </c>
      <c r="B1114" s="3" t="inlineStr">
        <is>
          <t>Delstrigo (Doravirine/Lamivudine/TDF) (DEL01)</t>
        </is>
      </c>
      <c r="C1114" s="9" t="inlineStr">
        <is>
          <t>Low</t>
        </is>
      </c>
      <c r="D1114" s="3" t="inlineStr">
        <is>
          <t>Pharmacokinetics/other</t>
        </is>
      </c>
      <c r="E1114" s="3" t="inlineStr"/>
      <c r="F1114" s="3" t="inlineStr">
        <is>
          <t>Add TFDA insert link 衛部藥輸字第027739號 v7.</t>
        </is>
      </c>
      <c r="G1114" s="3" t="inlineStr">
        <is>
          <t>Empty</t>
        </is>
      </c>
      <c r="H1114" s="3" t="inlineStr">
        <is>
          <t>A TFDA insert exists: 達滋克膜衣錠 衛部藥輸字第027739號, version 7 (114/11/03), MSD-000028732-TW-20251209.</t>
        </is>
      </c>
      <c r="I1114" s="3" t="inlineStr">
        <is>
          <t>https://mcp.fda.gov.tw/im_detail_1/%E8%A1%9B%E9%83%A8%E8%97%A5%E8%BC%B8%E5%AD%97%E7%AC%AC027739%E8%99%9F</t>
        </is>
      </c>
      <c r="J1114" s="3" t="inlineStr">
        <is>
          <t>Open</t>
        </is>
      </c>
      <c r="K1114" s="3" t="inlineStr"/>
    </row>
    <row r="1115">
      <c r="A1115" s="3" t="n">
        <v>1304</v>
      </c>
      <c r="B1115" s="3" t="inlineStr">
        <is>
          <t>Delstrigo (Doravirine/Lamivudine/TDF) (DEL01)</t>
        </is>
      </c>
      <c r="C1115" s="9" t="inlineStr">
        <is>
          <t>Low</t>
        </is>
      </c>
      <c r="D1115" s="3" t="inlineStr">
        <is>
          <t>Pharmacokinetics/other</t>
        </is>
      </c>
      <c r="E1115" s="3" t="inlineStr"/>
      <c r="F1115" s="3" t="inlineStr">
        <is>
          <t>Correct doravirine Vdss from 605 L to 60.5 L.</t>
        </is>
      </c>
      <c r="G1115" s="3" t="inlineStr">
        <is>
          <t>Vdss Doravirine: 605L</t>
        </is>
      </c>
      <c r="H1115" s="3" t="inlineStr">
        <is>
          <t>Doravirine Vdss is 60.5 L (US 12.3 PK table). The hospital value is off by a factor of 10 (decimal-point error).</t>
        </is>
      </c>
      <c r="I1115" s="3" t="inlineStr">
        <is>
          <t>US FDA label §12.3 – https://dailymed.nlm.nih.gov/dailymed/drugInfo.cfm?setid=cd1e9f84-607a-46d3-b01e-2736018d67b6</t>
        </is>
      </c>
      <c r="J1115" s="3" t="inlineStr">
        <is>
          <t>Open</t>
        </is>
      </c>
      <c r="K1115" s="3" t="inlineStr"/>
    </row>
    <row r="1116">
      <c r="A1116" s="3" t="n">
        <v>1305</v>
      </c>
      <c r="B1116" s="3" t="inlineStr">
        <is>
          <t>Delstrigo (Doravirine/Lamivudine/TDF) (DEL01)</t>
        </is>
      </c>
      <c r="C1116" s="9" t="inlineStr">
        <is>
          <t>Low</t>
        </is>
      </c>
      <c r="D1116" s="3" t="inlineStr">
        <is>
          <t>Pharmacokinetics/other</t>
        </is>
      </c>
      <c r="E1116" s="3" t="inlineStr"/>
      <c r="F1116" s="3" t="inlineStr">
        <is>
          <t>Rename strength to 'Tenofovir disoproxil fumarate 300 mg'.</t>
        </is>
      </c>
      <c r="G1116" s="3" t="inlineStr">
        <is>
          <t>Lamivudine 300mg/Tenofovir 300mg/Doravirine 100mg</t>
        </is>
      </c>
      <c r="H1116" s="3" t="inlineStr">
        <is>
          <t>The 300 mg is tenofovir disoproxil fumarate (TDF), equal to 245 mg tenofovir disoproxil; it is not 300 mg tenofovir. Suggest writing 'Tenofovir disoproxil fumarate 300 mg'.</t>
        </is>
      </c>
      <c r="I1116" s="3" t="inlineStr">
        <is>
          <t>US §3 / TW §1.1 / UK SmPC title (100 mg/300 mg/245 mg)</t>
        </is>
      </c>
      <c r="J1116" s="3" t="inlineStr">
        <is>
          <t>Open</t>
        </is>
      </c>
      <c r="K1116" s="3" t="inlineStr"/>
    </row>
    <row r="1117">
      <c r="A1117" s="3" t="n">
        <v>146</v>
      </c>
      <c r="B1117" s="3" t="inlineStr">
        <is>
          <t>Diflucan (Fluconazole) (DIF02, FLU22)</t>
        </is>
      </c>
      <c r="C1117" s="9" t="inlineStr">
        <is>
          <t>Low</t>
        </is>
      </c>
      <c r="D1117" s="3" t="inlineStr">
        <is>
          <t>Pharmacokinetics/other</t>
        </is>
      </c>
      <c r="E1117" s="3" t="inlineStr"/>
      <c r="F1117" s="3" t="inlineStr">
        <is>
          <t>Add TFDA insert links for DIF02 and FLU22</t>
        </is>
      </c>
      <c r="G1117" s="3" t="inlineStr">
        <is>
          <t>Empty</t>
        </is>
      </c>
      <c r="H1117" s="3" t="inlineStr">
        <is>
          <t>TFDA inserts are available: DIF02 at 衛署藥輸字第018790號 (CDS 20240709-3) https://mcp.fda.gov.tw/im_detail_1/%E8%A1%9B%E7%BD%B2%E8%97%A5%E8%BC%B8%E5%AD%97%E7%AC%AC018790%E8%99%9F and FLU22 at 衛署藥製字第041997號 https://mcp.fda.gov.tw/im_detail_1/%E8%A1%9B%E7%BD%B2%E8%97%A5%E8%A3%BD%E5%AD%97%E7%AC%AC041997%E8%99%9F</t>
        </is>
      </c>
      <c r="I1117" s="3" t="inlineStr">
        <is>
          <t>TFDA 藥品仿單查詢平台</t>
        </is>
      </c>
      <c r="J1117" s="3" t="inlineStr">
        <is>
          <t>Open</t>
        </is>
      </c>
      <c r="K1117" s="3" t="inlineStr"/>
    </row>
    <row r="1118">
      <c r="A1118" s="3" t="n">
        <v>154</v>
      </c>
      <c r="B1118" s="3" t="inlineStr">
        <is>
          <t>Diflucan (Fluconazole) (DIF02, FLU22)</t>
        </is>
      </c>
      <c r="C1118" s="9" t="inlineStr">
        <is>
          <t>Low</t>
        </is>
      </c>
      <c r="D1118" s="3" t="inlineStr">
        <is>
          <t>Pharmacokinetics/other</t>
        </is>
      </c>
      <c r="E1118" s="3" t="inlineStr"/>
      <c r="F1118" s="3" t="inlineStr">
        <is>
          <t>Change DIF02 臨床用途 from 抗生素 to 抗黴菌劑</t>
        </is>
      </c>
      <c r="G1118" s="3" t="inlineStr">
        <is>
          <t>抗生素</t>
        </is>
      </c>
      <c r="H1118" s="3" t="inlineStr">
        <is>
          <t>TW Diflucan IV insert 適應症: 抗黴菌劑 (antifungal). FLU22 on the same site correctly says 黴菌感染.</t>
        </is>
      </c>
      <c r="I1118" s="3" t="inlineStr">
        <is>
          <t>TW 仿單 DIFLUCAN IV §2 適應症 https://mcp.fda.gov.tw/im_detail_1/%E8%A1%9B%E7%BD%B2%E8%97%A5%E8%BC%B8%E5%AD%97%E7%AC%AC018790%E8%99%9F</t>
        </is>
      </c>
      <c r="J1118" s="3" t="inlineStr">
        <is>
          <t>Open</t>
        </is>
      </c>
      <c r="K1118" s="3" t="inlineStr"/>
    </row>
    <row r="1119">
      <c r="A1119" s="3" t="n">
        <v>157</v>
      </c>
      <c r="B1119" s="3" t="inlineStr">
        <is>
          <t>Diflucan (Fluconazole) (DIF02, FLU22)</t>
        </is>
      </c>
      <c r="C1119" s="9" t="inlineStr">
        <is>
          <t>Low</t>
        </is>
      </c>
      <c r="D1119" s="3" t="inlineStr">
        <is>
          <t>Pharmacokinetics/other</t>
        </is>
      </c>
      <c r="E1119" s="3" t="inlineStr"/>
      <c r="F1119" s="3" t="inlineStr">
        <is>
          <t>Add TFDA insert links (Diflucan IV CDS 20240709-3; Fluene 2023 v4)</t>
        </is>
      </c>
      <c r="G1119" s="3" t="inlineStr">
        <is>
          <t>Empty 仿單 field (no insert link)</t>
        </is>
      </c>
      <c r="H1119" s="3" t="inlineStr">
        <is>
          <t>Current inserts are on TFDA mcp.fda.gov.tw: Diflucan IV 衛署藥輸字第018790號 (CDS 20240709-3) and Fluene 衛署藥製字第041997號 (2023-01-13 版次4).</t>
        </is>
      </c>
      <c r="I1119" s="3" t="inlineStr">
        <is>
          <t>https://mcp.fda.gov.tw/im_detail_1/%E8%A1%9B%E7%BD%B2%E8%97%A5%E8%BC%B8%E5%AD%97%E7%AC%AC018790%E8%99%9F ; https://mcp.fda.gov.tw/im_detail_1/%E8%A1%9B%E7%BD%B2%E8%97%A5%E8%A3%BD%E5%AD%97%E7%AC%AC041997%E8%99%9F</t>
        </is>
      </c>
      <c r="J1119" s="3" t="inlineStr">
        <is>
          <t>Open</t>
        </is>
      </c>
      <c r="K1119" s="3" t="inlineStr"/>
    </row>
    <row r="1120">
      <c r="A1120" s="3" t="n">
        <v>148</v>
      </c>
      <c r="B1120" s="3" t="inlineStr">
        <is>
          <t>Diflucan (Fluconazole) (DIF02, FLU22)</t>
        </is>
      </c>
      <c r="C1120" s="9" t="inlineStr">
        <is>
          <t>Low</t>
        </is>
      </c>
      <c r="D1120" s="3" t="inlineStr">
        <is>
          <t>Pregnancy</t>
        </is>
      </c>
      <c r="E1120" s="3" t="inlineStr">
        <is>
          <t>FDA letter category</t>
        </is>
      </c>
      <c r="F1120" s="3" t="inlineStr">
        <is>
          <t>Replace 'D [FDA.AUS]' with current narrative pregnancy wording</t>
        </is>
      </c>
      <c r="G1120" s="3" t="inlineStr">
        <is>
          <t>D [FDA.AUS]</t>
        </is>
      </c>
      <c r="H1120" s="3" t="inlineStr">
        <is>
          <t>Current US label has no letter category, only narrative text: avoid except in severe or life-threatening infection; high-dose first-trimester exposure causes anomalies. TW Diflucan IV insert §6.1 and UK SmPC 4.6 are also narrative. FDA letter categories are retired.</t>
        </is>
      </c>
      <c r="I1120" s="3" t="inlineStr">
        <is>
          <t>US label PRECAUTIONS – Pregnancy https://dailymed.nlm.nih.gov/dailymed/drugInfo.cfm?setid=02f74fe7-0649-46c5-a06a-0700cd265773; TW 仿單 §6.1 https://mcp.fda.gov.tw/im_detail_1/%E8%A1%9B%E7%BD%B2%E8%97%A5%E8%BC%B8%E5%AD%97%E7%AC%AC018790%E8%99%9F</t>
        </is>
      </c>
      <c r="J1120" s="3" t="inlineStr">
        <is>
          <t>Open</t>
        </is>
      </c>
      <c r="K1120" s="3" t="inlineStr"/>
    </row>
    <row r="1121">
      <c r="A1121" s="3" t="n">
        <v>837</v>
      </c>
      <c r="B1121" s="3" t="inlineStr">
        <is>
          <t>Disfect (Fusidic acid) (DIS01)</t>
        </is>
      </c>
      <c r="C1121" s="9" t="inlineStr">
        <is>
          <t>Low</t>
        </is>
      </c>
      <c r="D1121" s="3" t="inlineStr">
        <is>
          <t>Dosing – adult</t>
        </is>
      </c>
      <c r="E1121" s="3" t="inlineStr"/>
      <c r="F1121" s="3" t="inlineStr">
        <is>
          <t>Verify '&gt;12 years' tablet age claim against TW insert; SmPC gives adult/elderly only</t>
        </is>
      </c>
      <c r="G1121" s="3" t="inlineStr">
        <is>
          <t>Adults and children over 12 years: 2 tablets TID; skin and soft tissue 1 tablet BID, doubled if severe</t>
        </is>
      </c>
      <c r="H1121" s="3" t="inlineStr">
        <is>
          <t>The tablet SmPC gives adult and elderly dosing only and has no 'over 12 years' paediatric statement. Children's dosing exists only for the oral suspension, which is not bioequivalent mg-for-mg. The age claim cannot be checked against a Taiwan insert because none was retrieved.</t>
        </is>
      </c>
      <c r="I1121" s="3" t="inlineStr">
        <is>
          <t>UK SmPC 5515 section 4.2 — https://www.medicines.org.uk/emc/product/5515/smpc; Suspension SmPC 5514 section 4.2 — https://www.medicines.org.uk/emc/product/5514/smpc</t>
        </is>
      </c>
      <c r="J1121" s="3" t="inlineStr">
        <is>
          <t>Open</t>
        </is>
      </c>
      <c r="K1121" s="3" t="inlineStr"/>
    </row>
    <row r="1122">
      <c r="A1122" s="3" t="n">
        <v>846</v>
      </c>
      <c r="B1122" s="3" t="inlineStr">
        <is>
          <t>Disfect (Fusidic acid) (DIS01)</t>
        </is>
      </c>
      <c r="C1122" s="9" t="inlineStr">
        <is>
          <t>Low</t>
        </is>
      </c>
      <c r="D1122" s="3" t="inlineStr">
        <is>
          <t>Dosing – adult</t>
        </is>
      </c>
      <c r="E1122" s="3" t="inlineStr"/>
      <c r="F1122" s="3" t="inlineStr">
        <is>
          <t>Verify age statement against TW insert; no paediatric tablet dose in SmPC</t>
        </is>
      </c>
      <c r="G1122" s="3" t="inlineStr">
        <is>
          <t>成人與超過12歲之兒童 (adults and children over 12): 2 tabs TID</t>
        </is>
      </c>
      <c r="H1122" s="3" t="inlineStr">
        <is>
          <t>The UK tablet SmPC gives adult and elderly doses only, with no age cut-off and no paediatric tablet dose. Paediatric dosing exists only for the suspension, in age bands up to 12 y. The hospital's age statement may come from the Taiwan insert, which I could not verify.</t>
        </is>
      </c>
      <c r="I1122" s="3" t="inlineStr">
        <is>
          <t>UK SmPC Fucidin 250 mg Tablets §4.2 - https://www.medicines.org.uk/emc/product/5515/smpc; UK SmPC Fucidin Oral Suspension §4.2 - https://www.medicines.org.uk/emc/product/5514/smpc</t>
        </is>
      </c>
      <c r="J1122" s="3" t="inlineStr">
        <is>
          <t>Open</t>
        </is>
      </c>
      <c r="K1122" s="3" t="inlineStr"/>
    </row>
    <row r="1123">
      <c r="A1123" s="3" t="n">
        <v>841</v>
      </c>
      <c r="B1123" s="3" t="inlineStr">
        <is>
          <t>Disfect (Fusidic acid) (DIS01)</t>
        </is>
      </c>
      <c r="C1123" s="9" t="inlineStr">
        <is>
          <t>Low</t>
        </is>
      </c>
      <c r="D1123" s="3" t="inlineStr">
        <is>
          <t>Pharmacokinetics/other</t>
        </is>
      </c>
      <c r="E1123" s="3" t="inlineStr"/>
      <c r="F1123" s="3" t="inlineStr">
        <is>
          <t>Add licence number and TFDA insert link</t>
        </is>
      </c>
      <c r="G1123" s="3" t="inlineStr">
        <is>
          <t>仿單 field empty; no licence number shown</t>
        </is>
      </c>
      <c r="H1123" s="3" t="inlineStr">
        <is>
          <t>Without a licence number the TFDA insert (mcp.fda.gov.tw/im_detail_1/&lt;licence&gt;) cannot be linked, so the Taiwan-approved dosing and age range cannot be verified.</t>
        </is>
      </c>
      <c r="I1123" s="3" t="inlineStr">
        <is>
          <t>Hospital P4 page DIS01 (pharmacy.fjuh.fju.edu.tw); TFDA https://mcp.fda.gov.tw/im</t>
        </is>
      </c>
      <c r="J1123" s="3" t="inlineStr">
        <is>
          <t>Open</t>
        </is>
      </c>
      <c r="K1123" s="3" t="inlineStr"/>
    </row>
    <row r="1124">
      <c r="A1124" s="3" t="n">
        <v>842</v>
      </c>
      <c r="B1124" s="3" t="inlineStr">
        <is>
          <t>Disfect (Fusidic acid) (DIS01)</t>
        </is>
      </c>
      <c r="C1124" s="9" t="inlineStr">
        <is>
          <t>Low</t>
        </is>
      </c>
      <c r="D1124" s="3" t="inlineStr">
        <is>
          <t>Pharmacokinetics/other</t>
        </is>
      </c>
      <c r="E1124" s="3" t="inlineStr"/>
      <c r="F1124" s="3" t="inlineStr">
        <is>
          <t>Optionally change class to steroid antibacterial (J01XC01)</t>
        </is>
      </c>
      <c r="G1124" s="3" t="inlineStr">
        <is>
          <t>Misc. Antibacterials</t>
        </is>
      </c>
      <c r="H1124" s="3" t="inlineStr">
        <is>
          <t>Steroid antibacterials (ATC J01XC01). This is minor and not wrong, just less specific.</t>
        </is>
      </c>
      <c r="I1124" s="3" t="inlineStr">
        <is>
          <t>UK SmPC 5515 section 5.1 — https://www.medicines.org.uk/emc/product/5515/smpc</t>
        </is>
      </c>
      <c r="J1124" s="3" t="inlineStr">
        <is>
          <t>Open</t>
        </is>
      </c>
      <c r="K1124" s="3" t="inlineStr"/>
    </row>
    <row r="1125">
      <c r="A1125" s="3" t="n">
        <v>848</v>
      </c>
      <c r="B1125" s="3" t="inlineStr">
        <is>
          <t>Disfect (Fusidic acid) (DIS01)</t>
        </is>
      </c>
      <c r="C1125" s="9" t="inlineStr">
        <is>
          <t>Low</t>
        </is>
      </c>
      <c r="D1125" s="3" t="inlineStr">
        <is>
          <t>Pharmacokinetics/other</t>
        </is>
      </c>
      <c r="E1125" s="3" t="inlineStr"/>
      <c r="F1125" s="3" t="inlineStr">
        <is>
          <t>Add TFDA licence number and insert link</t>
        </is>
      </c>
      <c r="G1125" s="3" t="inlineStr">
        <is>
          <t>Field empty; no TFDA licence number shown for DIS01</t>
        </is>
      </c>
      <c r="H1125" s="3" t="inlineStr">
        <is>
          <t>The licence number is needed to retrieve the Taiwan insert (mcp.fda.gov.tw/im_detail_1/&lt;licence&gt;). The hospital should add the licence number and insert link.</t>
        </is>
      </c>
      <c r="I1125" s="3" t="inlineStr">
        <is>
          <t>TFDA insert site - https://mcp.fda.gov.tw/im</t>
        </is>
      </c>
      <c r="J1125" s="3" t="inlineStr">
        <is>
          <t>Open</t>
        </is>
      </c>
      <c r="K1125" s="3" t="inlineStr"/>
    </row>
    <row r="1126">
      <c r="A1126" s="3" t="n">
        <v>1249</v>
      </c>
      <c r="B1126" s="3" t="inlineStr">
        <is>
          <t>Dovato (Dolutegravir/Lamivudine) (DOV01)</t>
        </is>
      </c>
      <c r="C1126" s="9" t="inlineStr">
        <is>
          <t>Low</t>
        </is>
      </c>
      <c r="D1126" s="3" t="inlineStr">
        <is>
          <t>Dosing – renal/dialysis</t>
        </is>
      </c>
      <c r="E1126" s="3" t="inlineStr">
        <is>
          <t>Renal table outdated</t>
        </is>
      </c>
      <c r="F1126" s="3" t="inlineStr">
        <is>
          <t>Change renal band wording from CrCl 30~50 to 30–49.</t>
        </is>
      </c>
      <c r="G1126" s="3" t="inlineStr">
        <is>
          <t>CrCl consistently between 30~50: monitor hematologic toxicities…; 'CrCl &gt;30: No dosage adjustment'</t>
        </is>
      </c>
      <c r="H1126" s="3" t="inlineStr">
        <is>
          <t>Labels use CrCl 30–49 (≥50 is normal). Not recommended if CrCl &lt;30.</t>
        </is>
      </c>
      <c r="I1126" s="3" t="inlineStr">
        <is>
          <t>US FDA DOVATO §8.6; TW insert 6.7; UK SmPC §4.4</t>
        </is>
      </c>
      <c r="J1126" s="3" t="inlineStr">
        <is>
          <t>Open</t>
        </is>
      </c>
      <c r="K1126" s="3" t="inlineStr"/>
    </row>
    <row r="1127">
      <c r="A1127" s="3" t="n">
        <v>1252</v>
      </c>
      <c r="B1127" s="3" t="inlineStr">
        <is>
          <t>Dovato (Dolutegravir/Lamivudine) (DOV01)</t>
        </is>
      </c>
      <c r="C1127" s="9" t="inlineStr">
        <is>
          <t>Low</t>
        </is>
      </c>
      <c r="D1127" s="3" t="inlineStr">
        <is>
          <t>Indication/coverage</t>
        </is>
      </c>
      <c r="E1127" s="3" t="inlineStr"/>
      <c r="F1127" s="3" t="inlineStr">
        <is>
          <t>Label &gt;500,000 copies/mL restriction as guideline wording with source.</t>
        </is>
      </c>
      <c r="G1127" s="3" t="inlineStr">
        <is>
          <t>'Not a recommended initial regimen in patients with HIV RNA &gt;500,000 copies/mL, HBV coinfection, or … before genotypic resistance/HBV results'</t>
        </is>
      </c>
      <c r="H1127" s="3" t="inlineStr">
        <is>
          <t>Not label text; it is guideline wording with no source given. The labels only say GEMINI enrolled VL ≤500,000 c/mL and require HBV testing (boxed warning).</t>
        </is>
      </c>
      <c r="I1127" s="3" t="inlineStr">
        <is>
          <t>UK SmPC §5.1; US FDA DOVATO §6.1, Boxed Warning</t>
        </is>
      </c>
      <c r="J1127" s="3" t="inlineStr">
        <is>
          <t>Open</t>
        </is>
      </c>
      <c r="K1127" s="3" t="inlineStr"/>
    </row>
    <row r="1128">
      <c r="A1128" s="3" t="n">
        <v>1245</v>
      </c>
      <c r="B1128" s="3" t="inlineStr">
        <is>
          <t>Dovato (Dolutegravir/Lamivudine) (DOV01)</t>
        </is>
      </c>
      <c r="C1128" s="9" t="inlineStr">
        <is>
          <t>Low</t>
        </is>
      </c>
      <c r="D1128" s="3" t="inlineStr">
        <is>
          <t>Pharmacokinetics/other</t>
        </is>
      </c>
      <c r="E1128" s="3" t="inlineStr"/>
      <c r="F1128" s="3" t="inlineStr">
        <is>
          <t>Correct lamivudine t½ to 13–19 h, protein binding 36%; food effect not significant.</t>
        </is>
      </c>
      <c r="G1128" s="3" t="inlineStr">
        <is>
          <t>Lamivudine half-life 5~7 h; lamivudine protein-binding value is blank (lost in the HTML); 'Food increased the extent of absorption'.</t>
        </is>
      </c>
      <c r="H1128" s="3" t="inlineStr">
        <is>
          <t>Dovato label Table 7: lamivudine t½ 13–19 h, protein binding 36%. The food effect is not clinically significant; take with or without food (DTG AUC fed/fasted ratio 1.33).</t>
        </is>
      </c>
      <c r="I1128" s="3" t="inlineStr">
        <is>
          <t>US §12.3 Tables 6–7</t>
        </is>
      </c>
      <c r="J1128" s="3" t="inlineStr">
        <is>
          <t>Open</t>
        </is>
      </c>
      <c r="K1128" s="3" t="inlineStr"/>
    </row>
    <row r="1129">
      <c r="A1129" s="3" t="n">
        <v>1246</v>
      </c>
      <c r="B1129" s="3" t="inlineStr">
        <is>
          <t>Dovato (Dolutegravir/Lamivudine) (DOV01)</t>
        </is>
      </c>
      <c r="C1129" s="9" t="inlineStr">
        <is>
          <t>Low</t>
        </is>
      </c>
      <c r="D1129" s="3" t="inlineStr">
        <is>
          <t>Pharmacokinetics/other</t>
        </is>
      </c>
      <c r="E1129" s="3" t="inlineStr"/>
      <c r="F1129" s="3" t="inlineStr">
        <is>
          <t>Add licence number 衛部藥輸字第027860號.</t>
        </is>
      </c>
      <c r="G1129" s="3" t="inlineStr">
        <is>
          <t>Not listed on the product page.</t>
        </is>
      </c>
      <c r="H1129" s="3" t="inlineStr">
        <is>
          <t>衛部藥輸字第027860號 (derived from NHI code BC27860100 and confirmed on the TFDA page).</t>
        </is>
      </c>
      <c r="I1129" s="3" t="inlineStr">
        <is>
          <t>https://mcp.fda.gov.tw/im_detail_1/%E8%A1%9B%E9%83%A8%E8%97%A5%E8%BC%B8%E5%AD%97%E7%AC%AC027860%E8%99%9F</t>
        </is>
      </c>
      <c r="J1129" s="3" t="inlineStr">
        <is>
          <t>Open</t>
        </is>
      </c>
      <c r="K1129" s="3" t="inlineStr"/>
    </row>
    <row r="1130">
      <c r="A1130" s="3" t="n">
        <v>1257</v>
      </c>
      <c r="B1130" s="3" t="inlineStr">
        <is>
          <t>Dovato (Dolutegravir/Lamivudine) (DOV01)</t>
        </is>
      </c>
      <c r="C1130" s="9" t="inlineStr">
        <is>
          <t>Low</t>
        </is>
      </c>
      <c r="D1130" s="3" t="inlineStr">
        <is>
          <t>Pharmacokinetics/other</t>
        </is>
      </c>
      <c r="E1130" s="3" t="inlineStr"/>
      <c r="F1130" s="3" t="inlineStr">
        <is>
          <t>Fix typo 'Antiretrovials' to 'Antiretrovirals'.</t>
        </is>
      </c>
      <c r="G1130" s="3" t="inlineStr">
        <is>
          <t>'Antiretrovials Antivirals'</t>
        </is>
      </c>
      <c r="H1130" s="3" t="inlineStr">
        <is>
          <t>Typo: 'Antiretrovirals'</t>
        </is>
      </c>
      <c r="I1130" s="3" t="inlineStr">
        <is>
          <t>https://pharmacy.fjuh.fju.edu.tw/Key_Search/P4?query=DOV01</t>
        </is>
      </c>
      <c r="J1130" s="3" t="inlineStr">
        <is>
          <t>Open</t>
        </is>
      </c>
      <c r="K1130" s="3" t="inlineStr"/>
    </row>
    <row r="1131">
      <c r="A1131" s="3" t="n">
        <v>759</v>
      </c>
      <c r="B1131" s="3" t="inlineStr">
        <is>
          <t>Doxycycline (DOX04)</t>
        </is>
      </c>
      <c r="C1131" s="9" t="inlineStr">
        <is>
          <t>Low</t>
        </is>
      </c>
      <c r="D1131" s="3" t="inlineStr">
        <is>
          <t>Administration/compatibility</t>
        </is>
      </c>
      <c r="E1131" s="3" t="inlineStr"/>
      <c r="F1131" s="3" t="inlineStr">
        <is>
          <t>Change storage to below 25 °C in original package (TW insert)</t>
        </is>
      </c>
      <c r="G1131" s="3" t="inlineStr">
        <is>
          <t>請置於 15-30℃ 乾燥處儲存</t>
        </is>
      </c>
      <c r="H1131" s="3" t="inlineStr">
        <is>
          <t>TW 培力 insert 【儲存】: 25℃以下，於原包裝儲存. The hospital range allows up to 30 °C, above the label limit. Minor; report to the hospital DB owner only, since storage is excluded from Notion.</t>
        </is>
      </c>
      <c r="I1131" s="3" t="inlineStr">
        <is>
          <t>TW 培力仿單 【儲存】 https://mcp.fda.gov.tw/insert/pdfcasefile/i_edef98a6-602d-4623-8078-ae6972f7e267</t>
        </is>
      </c>
      <c r="J1131" s="3" t="inlineStr">
        <is>
          <t>Open</t>
        </is>
      </c>
      <c r="K1131" s="3" t="inlineStr"/>
    </row>
    <row r="1132">
      <c r="A1132" s="3" t="n">
        <v>758</v>
      </c>
      <c r="B1132" s="3" t="inlineStr">
        <is>
          <t>Doxycycline (DOX04)</t>
        </is>
      </c>
      <c r="C1132" s="9" t="inlineStr">
        <is>
          <t>Low</t>
        </is>
      </c>
      <c r="D1132" s="3" t="inlineStr">
        <is>
          <t>Dosing – renal/dialysis</t>
        </is>
      </c>
      <c r="E1132" s="3" t="inlineStr"/>
      <c r="F1132" s="3" t="inlineStr">
        <is>
          <t>No change: no renal adjustment matches labels</t>
        </is>
      </c>
      <c r="G1132" s="3" t="inlineStr">
        <is>
          <t>Not required with renal impairment</t>
        </is>
      </c>
      <c r="H1132" s="3" t="inlineStr">
        <is>
          <t>Agrees with the US label, UK SmPC 4.2 and the TW insert (no renal section). No issue; listed for completeness.</t>
        </is>
      </c>
      <c r="I1132" s="3" t="inlineStr">
        <is>
          <t>US CLINICAL PHARMACOLOGY / DOSAGE AND ADMINISTRATION; UK SmPC 4.2</t>
        </is>
      </c>
      <c r="J1132" s="3" t="inlineStr">
        <is>
          <t>Open</t>
        </is>
      </c>
      <c r="K1132" s="3" t="inlineStr"/>
    </row>
    <row r="1133">
      <c r="A1133" s="3" t="n">
        <v>747</v>
      </c>
      <c r="B1133" s="3" t="inlineStr">
        <is>
          <t>Doxycycline (DOX04)</t>
        </is>
      </c>
      <c r="C1133" s="9" t="inlineStr">
        <is>
          <t>Low</t>
        </is>
      </c>
      <c r="D1133" s="3" t="inlineStr">
        <is>
          <t>Pregnancy</t>
        </is>
      </c>
      <c r="E1133" s="3" t="inlineStr">
        <is>
          <t>FDA letter category</t>
        </is>
      </c>
      <c r="F1133" s="3" t="inlineStr">
        <is>
          <t>Replace D with narrative: avoid in last half of pregnancy (tooth development)</t>
        </is>
      </c>
      <c r="G1133" s="3" t="inlineStr">
        <is>
          <t>D (FDA)</t>
        </is>
      </c>
      <c r="H1133" s="3" t="inlineStr">
        <is>
          <t>FDA letter categories have been retired. The current US label gives narrative risk: avoid during tooth development (last half of pregnancy), fetal skeletal effects in animals, and per TERIS 'unlikely to pose a substantial teratogenic risk' but risk cannot be excluded. The UK SmPC 4.3 contraindicates pregnancy.</t>
        </is>
      </c>
      <c r="I1133" s="3" t="inlineStr">
        <is>
          <t>US FDA label WARNINGS / Teratogenic Effects: https://dailymed.nlm.nih.gov/dailymed/drugInfo.cfm?setid=3e7cf78f-3b48-4614-9fa4-c6d1e0c05a35; UK SmPC 4.3: https://www.medicines.org.uk/emc/product/13082/smpc</t>
        </is>
      </c>
      <c r="J1133" s="3" t="inlineStr">
        <is>
          <t>Open</t>
        </is>
      </c>
      <c r="K1133" s="3" t="inlineStr"/>
    </row>
    <row r="1134">
      <c r="A1134" s="3" t="n">
        <v>752</v>
      </c>
      <c r="B1134" s="3" t="inlineStr">
        <is>
          <t>Doxycycline (DOX04)</t>
        </is>
      </c>
      <c r="C1134" s="9" t="inlineStr">
        <is>
          <t>Low</t>
        </is>
      </c>
      <c r="D1134" s="3" t="inlineStr">
        <is>
          <t>Pregnancy</t>
        </is>
      </c>
      <c r="E1134" s="3" t="inlineStr">
        <is>
          <t>FDA letter category</t>
        </is>
      </c>
      <c r="F1134" s="3" t="inlineStr">
        <is>
          <t>Replace D with narrative risk statement</t>
        </is>
      </c>
      <c r="G1134" s="3" t="inlineStr">
        <is>
          <t>D (FDA)</t>
        </is>
      </c>
      <c r="H1134" s="3" t="inlineStr">
        <is>
          <t>FDA letter categories have been retired. The current US label gives narrative risk (tooth discoloration if used in the last half of pregnancy; TERIS: unlikely substantial teratogenic risk, data insufficient). UK SmPC 4.3/4.6: contraindicated in pregnancy.</t>
        </is>
      </c>
      <c r="I1134" s="3" t="inlineStr">
        <is>
          <t>US FDA label WARNINGS/Teratogenic Effects https://dailymed.nlm.nih.gov/dailymed/drugInfo.cfm?setid=3e7cf78f-3b48-4614-9fa4-c6d1e0c05a35; UK SmPC 4.3 https://www.medicines.org.uk/emc/product/13082/smpc</t>
        </is>
      </c>
      <c r="J1134" s="3" t="inlineStr">
        <is>
          <t>Open</t>
        </is>
      </c>
      <c r="K1134" s="3" t="inlineStr"/>
    </row>
    <row r="1135">
      <c r="A1135" s="3" t="n">
        <v>564</v>
      </c>
      <c r="B1135" s="3" t="inlineStr">
        <is>
          <t>Emblaveo (Aztreonam-avibactam) (EMB01)</t>
        </is>
      </c>
      <c r="C1135" s="9" t="inlineStr">
        <is>
          <t>Low</t>
        </is>
      </c>
      <c r="D1135" s="3" t="inlineStr">
        <is>
          <t>Contraindication/warning</t>
        </is>
      </c>
      <c r="E1135" s="3" t="inlineStr"/>
      <c r="F1135" s="3" t="inlineStr">
        <is>
          <t>Note beta-lactam cross-allergy contraindication is UK-specific</t>
        </is>
      </c>
      <c r="G1135" s="3" t="inlineStr">
        <is>
          <t>Hypersensitivity to the active substances or L-arginine; severe allergy to any other β-lactam</t>
        </is>
      </c>
      <c r="H1135" s="3" t="inlineStr">
        <is>
          <t>This matches UK SmPC 4.3. The US §4 lists hypersensitivity to aztreonam or avibactam only. The page should say the β-lactam cross-allergy contraindication is UK-specific.</t>
        </is>
      </c>
      <c r="I1135" s="3" t="inlineStr">
        <is>
          <t>UK SmPC 4.3 — https://www.medicines.org.uk/emc/product/15895/smpc; US FDA label §4 — https://dailymed.nlm.nih.gov/dailymed/drugInfo.cfm?setid=be1a6c99-d4b3-46d7-9e99-6e5f9fab556a</t>
        </is>
      </c>
      <c r="J1135" s="3" t="inlineStr">
        <is>
          <t>Open</t>
        </is>
      </c>
      <c r="K1135" s="3" t="inlineStr"/>
    </row>
    <row r="1136">
      <c r="A1136" s="3" t="n">
        <v>553</v>
      </c>
      <c r="B1136" s="3" t="inlineStr">
        <is>
          <t>Emblaveo (Aztreonam-avibactam) (EMB01)</t>
        </is>
      </c>
      <c r="C1136" s="9" t="inlineStr">
        <is>
          <t>Low</t>
        </is>
      </c>
      <c r="D1136" s="3" t="inlineStr">
        <is>
          <t>Dosing – pediatric</t>
        </is>
      </c>
      <c r="E1136" s="3" t="inlineStr"/>
      <c r="F1136" s="3" t="inlineStr">
        <is>
          <t>Complete truncated text: safety/efficacy &lt;18 y not established</t>
        </is>
      </c>
      <c r="G1136" s="3" t="inlineStr">
        <is>
          <t>The text is cut off: '尚未確立 Emblaveo 對於'</t>
        </is>
      </c>
      <c r="H1136" s="3" t="inlineStr">
        <is>
          <t>Safety and efficacy in patients under 18 years have not been established, and no data are available.</t>
        </is>
      </c>
      <c r="I1136" s="3" t="inlineStr">
        <is>
          <t>UK SmPC 4.2 — https://www.medicines.org.uk/emc/product/15895/smpc; US FDA label 8.4 — https://dailymed.nlm.nih.gov/dailymed/drugInfo.cfm?setid=be1a6c99-d4b3-46d7-9e99-6e5f9fab556a</t>
        </is>
      </c>
      <c r="J1136" s="3" t="inlineStr">
        <is>
          <t>Open</t>
        </is>
      </c>
      <c r="K1136" s="3" t="inlineStr"/>
    </row>
    <row r="1137">
      <c r="A1137" s="3" t="n">
        <v>562</v>
      </c>
      <c r="B1137" s="3" t="inlineStr">
        <is>
          <t>Emblaveo (Aztreonam-avibactam) (EMB01)</t>
        </is>
      </c>
      <c r="C1137" s="9" t="inlineStr">
        <is>
          <t>Low</t>
        </is>
      </c>
      <c r="D1137" s="3" t="inlineStr">
        <is>
          <t>Dosing – pediatric</t>
        </is>
      </c>
      <c r="E1137" s="3" t="inlineStr"/>
      <c r="F1137" s="3" t="inlineStr">
        <is>
          <t>Complete truncated text: &lt;18 y not established</t>
        </is>
      </c>
      <c r="G1137" s="3" t="inlineStr">
        <is>
          <t>尚未確立 Emblaveo 對於 (the sentence is cut off)</t>
        </is>
      </c>
      <c r="H1137" s="3" t="inlineStr">
        <is>
          <t>Safety and efficacy in patients under 18 years have not been established, and no data are available.</t>
        </is>
      </c>
      <c r="I1137" s="3" t="inlineStr">
        <is>
          <t>UK SmPC 4.2 Paediatric population — https://www.medicines.org.uk/emc/product/15895/smpc; US FDA label §8.4</t>
        </is>
      </c>
      <c r="J1137" s="3" t="inlineStr">
        <is>
          <t>Open</t>
        </is>
      </c>
      <c r="K1137" s="3" t="inlineStr"/>
    </row>
    <row r="1138">
      <c r="A1138" s="3" t="n">
        <v>548</v>
      </c>
      <c r="B1138" s="3" t="inlineStr">
        <is>
          <t>Emblaveo (Aztreonam-avibactam) (EMB01)</t>
        </is>
      </c>
      <c r="C1138" s="9" t="inlineStr">
        <is>
          <t>Low</t>
        </is>
      </c>
      <c r="D1138" s="3" t="inlineStr">
        <is>
          <t>Pharmacokinetics/other</t>
        </is>
      </c>
      <c r="E1138" s="3" t="inlineStr"/>
      <c r="F1138" s="3" t="inlineStr">
        <is>
          <t>Change class to monobactam + beta-lactamase inhibitor</t>
        </is>
      </c>
      <c r="G1138" s="3" t="inlineStr">
        <is>
          <t>Cephalosporins</t>
        </is>
      </c>
      <c r="H1138" s="3" t="inlineStr">
        <is>
          <t>Monobactam (aztreonam) plus a beta-lactamase inhibitor (avibactam). SmPC 5.1 places it under 'other beta-lactam antibacterials, monobactams', which agrees with the hospital page's own 藥理 line (單環內醯胺類).</t>
        </is>
      </c>
      <c r="I1138" s="3" t="inlineStr">
        <is>
          <t>US FDA label 1, 11 — https://dailymed.nlm.nih.gov/dailymed/drugInfo.cfm?setid=be1a6c99-d4b3-46d7-9e99-6e5f9fab556a; UK SmPC 5.1 — https://www.medicines.org.uk/emc/product/15895/smpc</t>
        </is>
      </c>
      <c r="J1138" s="3" t="inlineStr">
        <is>
          <t>Open</t>
        </is>
      </c>
      <c r="K1138" s="3" t="inlineStr"/>
    </row>
    <row r="1139">
      <c r="A1139" s="3" t="n">
        <v>549</v>
      </c>
      <c r="B1139" s="3" t="inlineStr">
        <is>
          <t>Emblaveo (Aztreonam-avibactam) (EMB01)</t>
        </is>
      </c>
      <c r="C1139" s="9" t="inlineStr">
        <is>
          <t>Low</t>
        </is>
      </c>
      <c r="D1139" s="3" t="inlineStr">
        <is>
          <t>Pharmacokinetics/other</t>
        </is>
      </c>
      <c r="E1139" s="3" t="inlineStr"/>
      <c r="F1139" s="3" t="inlineStr">
        <is>
          <t>ATC: J01DF51 only</t>
        </is>
      </c>
      <c r="G1139" s="3" t="inlineStr">
        <is>
          <t>J01DF01 and J01DF51</t>
        </is>
      </c>
      <c r="H1139" s="3" t="inlineStr">
        <is>
          <t>J01DF51 only (aztreonam, combinations). J01DF01 is aztreonam alone.</t>
        </is>
      </c>
      <c r="I1139" s="3" t="inlineStr">
        <is>
          <t>UK SmPC 5.1 — https://www.medicines.org.uk/emc/product/15895/smpc</t>
        </is>
      </c>
      <c r="J1139" s="3" t="inlineStr">
        <is>
          <t>Open</t>
        </is>
      </c>
      <c r="K1139" s="3" t="inlineStr"/>
    </row>
    <row r="1140">
      <c r="A1140" s="3" t="n">
        <v>557</v>
      </c>
      <c r="B1140" s="3" t="inlineStr">
        <is>
          <t>Emblaveo (Aztreonam-avibactam) (EMB01)</t>
        </is>
      </c>
      <c r="C1140" s="9" t="inlineStr">
        <is>
          <t>Low</t>
        </is>
      </c>
      <c r="D1140" s="3" t="inlineStr">
        <is>
          <t>Pharmacokinetics/other</t>
        </is>
      </c>
      <c r="E1140" s="3" t="inlineStr"/>
      <c r="F1140" s="3" t="inlineStr">
        <is>
          <t>Change class to monobactam + beta-lactamase inhibitor</t>
        </is>
      </c>
      <c r="G1140" s="3" t="inlineStr">
        <is>
          <t>Cephalosporins</t>
        </is>
      </c>
      <c r="H1140" s="3" t="inlineStr">
        <is>
          <t>Monobactam (aztreonam) plus a β-lactamase inhibitor (avibactam). The page's own 藥理 field says 單環內醯胺類.</t>
        </is>
      </c>
      <c r="I1140" s="3" t="inlineStr">
        <is>
          <t>UK SmPC 5.1 pharmacotherapeutic group — https://www.medicines.org.uk/emc/product/15895/smpc; US FDA label §1, §11</t>
        </is>
      </c>
      <c r="J1140" s="3" t="inlineStr">
        <is>
          <t>Open</t>
        </is>
      </c>
      <c r="K1140" s="3" t="inlineStr"/>
    </row>
    <row r="1141">
      <c r="A1141" s="3" t="n">
        <v>558</v>
      </c>
      <c r="B1141" s="3" t="inlineStr">
        <is>
          <t>Emblaveo (Aztreonam-avibactam) (EMB01)</t>
        </is>
      </c>
      <c r="C1141" s="9" t="inlineStr">
        <is>
          <t>Low</t>
        </is>
      </c>
      <c r="D1141" s="3" t="inlineStr">
        <is>
          <t>Pharmacokinetics/other</t>
        </is>
      </c>
      <c r="E1141" s="3" t="inlineStr"/>
      <c r="F1141" s="3" t="inlineStr">
        <is>
          <t>ATC: J01DF51 only</t>
        </is>
      </c>
      <c r="G1141" s="3" t="inlineStr">
        <is>
          <t>J01DF01 and J01DF51</t>
        </is>
      </c>
      <c r="H1141" s="3" t="inlineStr">
        <is>
          <t>J01DF51 only (aztreonam, combinations). J01DF01 is aztreonam alone.</t>
        </is>
      </c>
      <c r="I1141" s="3" t="inlineStr">
        <is>
          <t>UK SmPC 5.1 / eMC product header ATC code J01DF51 — https://www.medicines.org.uk/emc/product/15895/smpc</t>
        </is>
      </c>
      <c r="J1141" s="3" t="inlineStr">
        <is>
          <t>Open</t>
        </is>
      </c>
      <c r="K1141" s="3" t="inlineStr"/>
    </row>
    <row r="1142">
      <c r="A1142" s="3" t="n">
        <v>547</v>
      </c>
      <c r="B1142" s="3" t="inlineStr">
        <is>
          <t>Emblaveo (Aztreonam-avibactam) (EMB01)</t>
        </is>
      </c>
      <c r="C1142" s="9" t="inlineStr">
        <is>
          <t>Low</t>
        </is>
      </c>
      <c r="D1142" s="3" t="inlineStr">
        <is>
          <t>Pregnancy</t>
        </is>
      </c>
      <c r="E1142" s="3" t="inlineStr">
        <is>
          <t>FDA letter category</t>
        </is>
      </c>
      <c r="F1142" s="3" t="inlineStr">
        <is>
          <t>Remove FDA letter 'B'; replace with PLLR narrative risk summary</t>
        </is>
      </c>
      <c r="G1142" s="3" t="inlineStr">
        <is>
          <t>B</t>
        </is>
      </c>
      <c r="H1142" s="3" t="inlineStr">
        <is>
          <t>There is no letter category. US 8.1 is a narrative risk summary (FDA letter categories are retired), and UK 4.6 says to use only when clearly indicated. In rabbits, avibactam at 5 or more times the maximum human dose caused fetal effects.</t>
        </is>
      </c>
      <c r="I1142" s="3" t="inlineStr">
        <is>
          <t>US FDA label 8.1 — https://dailymed.nlm.nih.gov/dailymed/drugInfo.cfm?setid=be1a6c99-d4b3-46d7-9e99-6e5f9fab556a; UK SmPC 4.6 — https://www.medicines.org.uk/emc/product/15895/smpc</t>
        </is>
      </c>
      <c r="J1142" s="3" t="inlineStr">
        <is>
          <t>Open</t>
        </is>
      </c>
      <c r="K1142" s="3" t="inlineStr"/>
    </row>
    <row r="1143">
      <c r="A1143" s="3" t="n">
        <v>556</v>
      </c>
      <c r="B1143" s="3" t="inlineStr">
        <is>
          <t>Emblaveo (Aztreonam-avibactam) (EMB01)</t>
        </is>
      </c>
      <c r="C1143" s="9" t="inlineStr">
        <is>
          <t>Low</t>
        </is>
      </c>
      <c r="D1143" s="3" t="inlineStr">
        <is>
          <t>Pregnancy</t>
        </is>
      </c>
      <c r="E1143" s="3" t="inlineStr">
        <is>
          <t>FDA letter category</t>
        </is>
      </c>
      <c r="F1143" s="3" t="inlineStr">
        <is>
          <t>Remove FDA letter 'B'; replace with PLLR narrative risk summary</t>
        </is>
      </c>
      <c r="G1143" s="3" t="inlineStr">
        <is>
          <t>B; 只有在明確指示的情況下…才應在懷孕期間使用</t>
        </is>
      </c>
      <c r="H1143" s="3" t="inlineStr">
        <is>
          <t>The FDA retired letter categories. US §8.1 gives a narrative risk summary only, and UK SmPC 4.6 says use only if clearly indicated. Remove the 'B'.</t>
        </is>
      </c>
      <c r="I1143" s="3" t="inlineStr">
        <is>
          <t>US FDA label §8.1 — https://dailymed.nlm.nih.gov/dailymed/drugInfo.cfm?setid=be1a6c99-d4b3-46d7-9e99-6e5f9fab556a; UK SmPC 4.6 — https://www.medicines.org.uk/emc/product/15895/smpc</t>
        </is>
      </c>
      <c r="J1143" s="3" t="inlineStr">
        <is>
          <t>Open</t>
        </is>
      </c>
      <c r="K1143" s="3" t="inlineStr"/>
    </row>
    <row r="1144">
      <c r="A1144" s="3" t="n">
        <v>1178</v>
      </c>
      <c r="B1144" s="3" t="inlineStr">
        <is>
          <t>Epbutol (Ethambutol) (EPB01)</t>
        </is>
      </c>
      <c r="C1144" s="9" t="inlineStr">
        <is>
          <t>Low</t>
        </is>
      </c>
      <c r="D1144" s="3" t="inlineStr">
        <is>
          <t>Indication/coverage</t>
        </is>
      </c>
      <c r="E1144" s="3" t="inlineStr"/>
      <c r="F1144" s="3" t="inlineStr">
        <is>
          <t>Limit spectrum to M. tuberculosis, M. bovis, some M. kansasii; mark MAC as guideline use; fix typos.</t>
        </is>
      </c>
      <c r="G1144" s="3" t="inlineStr">
        <is>
          <t>Active against M. tuberculosis, M. bovis, M. marinum and some strains of M. kansasii, M. avium, M. fortuitum and M. intracellulare (also typos 'organsims', 'fortuiturn')</t>
        </is>
      </c>
      <c r="H1144" s="3" t="inlineStr">
        <is>
          <t>US: effective against M. tuberculosis; not active against fungi, viruses or other bacteria. UK §5.1: M. tuberculosis, M. bovis, some atypical mycobacteria including M. kansasii. M. marinum and M. fortuitum are not in any label. MAC use is guideline-based only (NTM 2020).</t>
        </is>
      </c>
      <c r="I1144" s="3" t="inlineStr">
        <is>
          <t>US FDA CLINICAL PHARMACOLOGY; UK SmPC §5.1; NTM 2020 (PMID 32628747)</t>
        </is>
      </c>
      <c r="J1144" s="3" t="inlineStr">
        <is>
          <t>Open</t>
        </is>
      </c>
      <c r="K1144" s="3" t="inlineStr"/>
    </row>
    <row r="1145">
      <c r="A1145" s="3" t="n">
        <v>1171</v>
      </c>
      <c r="B1145" s="3" t="inlineStr">
        <is>
          <t>Epbutol (Ethambutol) (EPB01)</t>
        </is>
      </c>
      <c r="C1145" s="9" t="inlineStr">
        <is>
          <t>Low</t>
        </is>
      </c>
      <c r="D1145" s="3" t="inlineStr">
        <is>
          <t>Pharmacokinetics/other</t>
        </is>
      </c>
      <c r="E1145" s="3" t="inlineStr"/>
      <c r="F1145" s="3" t="inlineStr">
        <is>
          <t>Add licence 衛署藥製字第019877號 to link TFDA insert.</t>
        </is>
      </c>
      <c r="G1145" s="3" t="inlineStr">
        <is>
          <t>No 許可證字號 shown (only NHI code AB19877100)</t>
        </is>
      </c>
      <c r="H1145" s="3" t="inlineStr">
        <is>
          <t>Licence is 衛署藥製字第019877號. Adding it would let staff link directly to the TFDA insert.</t>
        </is>
      </c>
      <c r="I1145" s="3" t="inlineStr">
        <is>
          <t>TFDA 仿單 platform: https://mcp.fda.gov.tw/im_detail_1/%E8%A1%9B%E7%BD%B2%E8%97%A5%E8%A3%BD%E5%AD%97%E7%AC%AC019877%E8%99%9F</t>
        </is>
      </c>
      <c r="J1145" s="3" t="inlineStr">
        <is>
          <t>Open</t>
        </is>
      </c>
      <c r="K1145" s="3" t="inlineStr"/>
    </row>
    <row r="1146">
      <c r="A1146" s="3" t="n">
        <v>1179</v>
      </c>
      <c r="B1146" s="3" t="inlineStr">
        <is>
          <t>Epbutol (Ethambutol) (EPB01)</t>
        </is>
      </c>
      <c r="C1146" s="9" t="inlineStr">
        <is>
          <t>Low</t>
        </is>
      </c>
      <c r="D1146" s="3" t="inlineStr">
        <is>
          <t>Pharmacokinetics/other</t>
        </is>
      </c>
      <c r="E1146" s="3" t="inlineStr"/>
      <c r="F1146" s="3" t="inlineStr">
        <is>
          <t>Add licence 衛署藥製字第019877號 and link current TFDA insert.</t>
        </is>
      </c>
      <c r="G1146" s="3" t="inlineStr">
        <is>
          <t>仿單 field empty; no licence number on the P4 page</t>
        </is>
      </c>
      <c r="H1146" s="3" t="inlineStr">
        <is>
          <t>TFDA lists 衛署藥製字第019877號 (優生製藥廠) with current insert file 108-09-20, linkable at the TFDA 仿單 site.</t>
        </is>
      </c>
      <c r="I1146" s="3" t="inlineStr">
        <is>
          <t>https://mcp.fda.gov.tw/im_detail_1/%E8%A1%9B%E7%BD%B2%E8%97%A5%E8%A3%BD%E5%AD%97%E7%AC%AC019877%E8%99%9F</t>
        </is>
      </c>
      <c r="J1146" s="3" t="inlineStr">
        <is>
          <t>Open</t>
        </is>
      </c>
      <c r="K1146" s="3" t="inlineStr"/>
    </row>
    <row r="1147">
      <c r="A1147" s="3" t="n">
        <v>1167</v>
      </c>
      <c r="B1147" s="3" t="inlineStr">
        <is>
          <t>Epbutol (Ethambutol) (EPB01)</t>
        </is>
      </c>
      <c r="C1147" s="9" t="inlineStr">
        <is>
          <t>Low</t>
        </is>
      </c>
      <c r="D1147" s="3" t="inlineStr">
        <is>
          <t>Pregnancy</t>
        </is>
      </c>
      <c r="E1147" s="3" t="inlineStr">
        <is>
          <t>FDA letter category</t>
        </is>
      </c>
      <c r="F1147" s="3" t="inlineStr">
        <is>
          <t>Replace category C with narrative: use when benefit outweighs risk; anti-TB drugs not teratogenic.</t>
        </is>
      </c>
      <c r="G1147" s="3" t="inlineStr">
        <is>
          <t>C</t>
        </is>
      </c>
      <c r="H1147" s="3" t="inlineStr">
        <is>
          <t>FDA letter categories are retired (ATS 2016 notes it is the 'previous FDA letter-based classification'). Describe the risk instead: no adequate human data; ophthalmic abnormalities reported in exposed infants; animal teratogenicity at high doses; UK: not recommended unless benefit &gt; risk; ATS: anti-TB drugs not teratogenic in humans and should be used.</t>
        </is>
      </c>
      <c r="I1147" s="3" t="inlineStr">
        <is>
          <t>US label Pregnancy; UK SmPC 4.6; ATS/CDC/IDSA 2016 'Pregnancy and Breastfeeding'</t>
        </is>
      </c>
      <c r="J1147" s="3" t="inlineStr">
        <is>
          <t>Open</t>
        </is>
      </c>
      <c r="K1147" s="3" t="inlineStr"/>
    </row>
    <row r="1148">
      <c r="A1148" s="3" t="n">
        <v>1173</v>
      </c>
      <c r="B1148" s="3" t="inlineStr">
        <is>
          <t>Epbutol (Ethambutol) (EPB01)</t>
        </is>
      </c>
      <c r="C1148" s="9" t="inlineStr">
        <is>
          <t>Low</t>
        </is>
      </c>
      <c r="D1148" s="3" t="inlineStr">
        <is>
          <t>Pregnancy</t>
        </is>
      </c>
      <c r="E1148" s="3" t="inlineStr">
        <is>
          <t>FDA letter category</t>
        </is>
      </c>
      <c r="F1148" s="3" t="inlineStr">
        <is>
          <t>Replace category C with narrative: benefit vs risk, ophthalmic abnormalities reported in exposed infants.</t>
        </is>
      </c>
      <c r="G1148" s="3" t="inlineStr">
        <is>
          <t>C</t>
        </is>
      </c>
      <c r="H1148" s="3" t="inlineStr">
        <is>
          <t>FDA letter categories are retired. ATS 2016 calls the category C assignment 'the previous FDA letter-based classification system'. US: use only if benefit justifies risk (ophthalmic abnormalities reported in exposed infants). UK §4.6: not recommended unless benefit outweighs risk.</t>
        </is>
      </c>
      <c r="I1148" s="3" t="inlineStr">
        <is>
          <t>US FDA Pregnancy: https://dailymed.nlm.nih.gov/dailymed/drugInfo.cfm?setid=e0d4a594-d3e0-47b0-9f11-f4dbd4552d5a; UK SmPC §4.6; ATS 2016 (PMID 27516382)</t>
        </is>
      </c>
      <c r="J1148" s="3" t="inlineStr">
        <is>
          <t>Open</t>
        </is>
      </c>
      <c r="K1148" s="3" t="inlineStr"/>
    </row>
    <row r="1149">
      <c r="A1149" s="3" t="n">
        <v>1417</v>
      </c>
      <c r="B1149" s="3" t="inlineStr">
        <is>
          <t>Epclusa (Sofosbuvir/Velpatasvir) (EPC01)</t>
        </is>
      </c>
      <c r="C1149" s="9" t="inlineStr">
        <is>
          <t>Low</t>
        </is>
      </c>
      <c r="D1149" s="3" t="inlineStr">
        <is>
          <t>Pharmacokinetics/other</t>
        </is>
      </c>
      <c r="E1149" s="3" t="inlineStr"/>
      <c r="F1149" s="3" t="inlineStr">
        <is>
          <t>List TFDA licence number and NHI code.</t>
        </is>
      </c>
      <c r="G1149" s="3" t="inlineStr">
        <is>
          <t>NHI code and licence number blank; NHI price 0, self-pay 2496</t>
        </is>
      </c>
      <c r="H1149" s="3" t="inlineStr">
        <is>
          <t>No Taiwan licence or insert could be found to confirm it. TFDA im_detail scan 衛部藥輸字第025500–028600號 was negative. Recommend the hospital list the 衛部藥輸字 licence number.</t>
        </is>
      </c>
      <c r="I1149" s="3" t="inlineStr">
        <is>
          <t>TFDA 仿單 platform https://mcp.fda.gov.tw/im_detail_1/ (scanned; no Epclusa page found)</t>
        </is>
      </c>
      <c r="J1149" s="3" t="inlineStr">
        <is>
          <t>Open</t>
        </is>
      </c>
      <c r="K1149" s="3" t="inlineStr"/>
    </row>
    <row r="1150">
      <c r="A1150" s="3" t="n">
        <v>1422</v>
      </c>
      <c r="B1150" s="3" t="inlineStr">
        <is>
          <t>Epclusa (Sofosbuvir/Velpatasvir) (EPC01)</t>
        </is>
      </c>
      <c r="C1150" s="9" t="inlineStr">
        <is>
          <t>Low</t>
        </is>
      </c>
      <c r="D1150" s="3" t="inlineStr">
        <is>
          <t>Pharmacokinetics/other</t>
        </is>
      </c>
      <c r="E1150" s="3" t="inlineStr"/>
      <c r="F1150" s="3" t="inlineStr">
        <is>
          <t>Update ATC code to J05AP55.</t>
        </is>
      </c>
      <c r="G1150" s="3" t="inlineStr">
        <is>
          <t>J05AX69</t>
        </is>
      </c>
      <c r="H1150" s="3" t="inlineStr">
        <is>
          <t>J05AP55 (sofosbuvir and velpatasvir). Both the TW仿單 §5.1 ('ATC編碼：J05AP55') and UK SmPC §5.1 give J05AP55; J05AX69 is an outdated code.</t>
        </is>
      </c>
      <c r="I1150" s="3" t="inlineStr">
        <is>
          <t>TW仿單 §5.1; UK SmPC §5.1</t>
        </is>
      </c>
      <c r="J1150" s="3" t="inlineStr">
        <is>
          <t>Open</t>
        </is>
      </c>
      <c r="K1150" s="3" t="inlineStr"/>
    </row>
    <row r="1151">
      <c r="A1151" s="3" t="n">
        <v>1423</v>
      </c>
      <c r="B1151" s="3" t="inlineStr">
        <is>
          <t>Epclusa (Sofosbuvir/Velpatasvir) (EPC01)</t>
        </is>
      </c>
      <c r="C1151" s="9" t="inlineStr">
        <is>
          <t>Low</t>
        </is>
      </c>
      <c r="D1151" s="3" t="inlineStr">
        <is>
          <t>Pharmacokinetics/other</t>
        </is>
      </c>
      <c r="E1151" s="3" t="inlineStr"/>
      <c r="F1151" s="3" t="inlineStr">
        <is>
          <t>Add licence 衛部藥輸字第027547號, NHI code and insert link.</t>
        </is>
      </c>
      <c r="G1151" s="3" t="inlineStr">
        <is>
          <t>No licence number shown; 健保碼 blank; 仿單 link empty</t>
        </is>
      </c>
      <c r="H1151" s="3" t="inlineStr">
        <is>
          <t>TFDA licence 衛部藥輸字第027547號 (issued 107-12-17); current insert PDF uploaded 2024-12-23</t>
        </is>
      </c>
      <c r="I1151" s="3" t="inlineStr">
        <is>
          <t>https://mcp.fda.gov.tw/im_detail_pdf/%E8%A1%9B%E9%83%A8%E8%97%A5%E8%BC%B8%E5%AD%97%E7%AC%AC027547%E8%99%9F</t>
        </is>
      </c>
      <c r="J1151" s="3" t="inlineStr">
        <is>
          <t>Open</t>
        </is>
      </c>
      <c r="K1151" s="3" t="inlineStr"/>
    </row>
    <row r="1152">
      <c r="A1152" s="3" t="n">
        <v>856</v>
      </c>
      <c r="B1152" s="3" t="inlineStr">
        <is>
          <t>Eraxis (Anidulafungin) (ERA01)</t>
        </is>
      </c>
      <c r="C1152" s="9" t="inlineStr">
        <is>
          <t>Low</t>
        </is>
      </c>
      <c r="D1152" s="3" t="inlineStr">
        <is>
          <t>Administration/compatibility</t>
        </is>
      </c>
      <c r="E1152" s="3" t="inlineStr"/>
      <c r="F1152" s="3" t="inlineStr">
        <is>
          <t>Correct storage: reconstituted up to 24 h at 25 ℃; infusion 48 h at ≤25 ℃</t>
        </is>
      </c>
      <c r="G1152" s="3" t="inlineStr">
        <is>
          <t>Reconstituted solution: store 2–8 ℃ for up to 24 h before dilution</t>
        </is>
      </c>
      <c r="H1152" s="3" t="inlineStr">
        <is>
          <t>TW/US label: reconstituted solution may be stored at 25 ℃ for up to 24 h; infusion solution up to 48 h at ≤25 ℃, do not freeze. Unopened vials 2–8 ℃ (agrees).</t>
        </is>
      </c>
      <c r="I1152" s="3" t="inlineStr">
        <is>
          <t>Taiwan insert §3 配製 and §13 儲存條件 https://mcp.fda.gov.tw/im_detail_1/%E8%A1%9B%E7%BD%B2%E8%97%A5%E8%BC%B8%E5%AD%97%E7%AC%AC024758%E8%99%9F</t>
        </is>
      </c>
      <c r="J1152" s="3" t="inlineStr">
        <is>
          <t>Open</t>
        </is>
      </c>
      <c r="K1152" s="3" t="inlineStr"/>
    </row>
    <row r="1153">
      <c r="A1153" s="3" t="n">
        <v>863</v>
      </c>
      <c r="B1153" s="3" t="inlineStr">
        <is>
          <t>Eraxis (Anidulafungin) (ERA01)</t>
        </is>
      </c>
      <c r="C1153" s="9" t="inlineStr">
        <is>
          <t>Low</t>
        </is>
      </c>
      <c r="D1153" s="3" t="inlineStr">
        <is>
          <t>Administration/compatibility</t>
        </is>
      </c>
      <c r="E1153" s="3" t="inlineStr"/>
      <c r="F1153" s="3" t="inlineStr">
        <is>
          <t>Correct reconstituted storage to 25 ℃ up to 24 h; diluted 48 h</t>
        </is>
      </c>
      <c r="G1153" s="3" t="inlineStr">
        <is>
          <t>Reconstituted solution: store at 2–8℃ for up to 24 h before dilution</t>
        </is>
      </c>
      <c r="H1153" s="3" t="inlineStr">
        <is>
          <t>The TW insert and the US label say the reconstituted solution may be stored at 25℃ for up to 24 h, and the diluted infusion solution at ≤25℃ for up to 48 h.</t>
        </is>
      </c>
      <c r="I1153" s="3" t="inlineStr">
        <is>
          <t>TW §3.2 配製後的溶液存放 https://mcp.fda.gov.tw/im_detail_1/%E8%A1%9B%E7%BD%B2%E8%97%A5%E8%BC%B8%E5%AD%97%E7%AC%AC024758%E8%99%9F; US §2.3</t>
        </is>
      </c>
      <c r="J1153" s="3" t="inlineStr">
        <is>
          <t>Open</t>
        </is>
      </c>
      <c r="K1153" s="3" t="inlineStr"/>
    </row>
    <row r="1154">
      <c r="A1154" s="3" t="n">
        <v>862</v>
      </c>
      <c r="B1154" s="3" t="inlineStr">
        <is>
          <t>Eraxis (Anidulafungin) (ERA01)</t>
        </is>
      </c>
      <c r="C1154" s="9" t="inlineStr">
        <is>
          <t>Low</t>
        </is>
      </c>
      <c r="D1154" s="3" t="inlineStr">
        <is>
          <t>Pharmacokinetics/other</t>
        </is>
      </c>
      <c r="E1154" s="3" t="inlineStr"/>
      <c r="F1154" s="3" t="inlineStr">
        <is>
          <t>Change half-life to terminal 40–50 h</t>
        </is>
      </c>
      <c r="G1154" s="3" t="inlineStr">
        <is>
          <t>26.5 hrs</t>
        </is>
      </c>
      <c r="H1154" s="3" t="inlineStr">
        <is>
          <t>Terminal t½ 40–50 h (US 12.3; TW 11: 末相半衰期 40–50 小時; 52 h at the 200/100 mg regimen). The UK SmPC gives a predominant t½ of ~24 h plus a terminal t½ of 40–50 h. The single 26.5 h figure has no source and understates the terminal half-life. Minor issue.</t>
        </is>
      </c>
      <c r="I1154" s="3" t="inlineStr">
        <is>
          <t>US §12.3 https://dailymed.nlm.nih.gov/dailymed/drugInfo.cfm?setid=a88d9010-55fb-4a02-baff-042cd27688ea; UK §5.2 https://www.medicines.org.uk/emc/product/454/smpc</t>
        </is>
      </c>
      <c r="J1154" s="3" t="inlineStr">
        <is>
          <t>Open</t>
        </is>
      </c>
      <c r="K1154" s="3" t="inlineStr"/>
    </row>
    <row r="1155">
      <c r="A1155" s="3" t="n">
        <v>850</v>
      </c>
      <c r="B1155" s="3" t="inlineStr">
        <is>
          <t>Eraxis (Anidulafungin) (ERA01)</t>
        </is>
      </c>
      <c r="C1155" s="9" t="inlineStr">
        <is>
          <t>Low</t>
        </is>
      </c>
      <c r="D1155" s="3" t="inlineStr">
        <is>
          <t>Pregnancy</t>
        </is>
      </c>
      <c r="E1155" s="3" t="inlineStr">
        <is>
          <t>FDA letter category</t>
        </is>
      </c>
      <c r="F1155" s="3" t="inlineStr">
        <is>
          <t>Replace category C with label narrative: animal fetal harm, no human data</t>
        </is>
      </c>
      <c r="G1155" s="3" t="inlineStr">
        <is>
          <t>C</t>
        </is>
      </c>
      <c r="H1155" s="3" t="inlineStr">
        <is>
          <t>FDA letter categories were retired under PLLR. US/TW label 8.1 says it may cause fetal harm based on animal data (rabbit: reduced fetal weight, incomplete ossification) and there are no human data. UK SmPC 4.6: not recommended unless benefit clearly outweighs risk.</t>
        </is>
      </c>
      <c r="I1155" s="3" t="inlineStr">
        <is>
          <t>US FDA label §8.1 https://dailymed.nlm.nih.gov/dailymed/drugInfo.cfm?setid=a88d9010-55fb-4a02-baff-042cd27688ea; Taiwan insert 懷孕 https://mcp.fda.gov.tw/im_detail_1/%E8%A1%9B%E7%BD%B2%E8%97%A5%E8%BC%B8%E5%AD%97%E7%AC%AC024758%E8%99%9F</t>
        </is>
      </c>
      <c r="J1155" s="3" t="inlineStr">
        <is>
          <t>Open</t>
        </is>
      </c>
      <c r="K1155" s="3" t="inlineStr"/>
    </row>
    <row r="1156">
      <c r="A1156" s="3" t="n">
        <v>857</v>
      </c>
      <c r="B1156" s="3" t="inlineStr">
        <is>
          <t>Eraxis (Anidulafungin) (ERA01)</t>
        </is>
      </c>
      <c r="C1156" s="9" t="inlineStr">
        <is>
          <t>Low</t>
        </is>
      </c>
      <c r="D1156" s="3" t="inlineStr">
        <is>
          <t>Pregnancy</t>
        </is>
      </c>
      <c r="E1156" s="3" t="inlineStr">
        <is>
          <t>FDA letter category</t>
        </is>
      </c>
      <c r="F1156" s="3" t="inlineStr">
        <is>
          <t>Replace category C with label narrative</t>
        </is>
      </c>
      <c r="G1156" s="3" t="inlineStr">
        <is>
          <t>C</t>
        </is>
      </c>
      <c r="H1156" s="3" t="inlineStr">
        <is>
          <t>Letter categories are retired. US 8.1 / TW 6.1 say it may cause fetal harm based on animal data with no human data; UK 4.6 says not recommended unless the benefit clearly outweighs the risk.</t>
        </is>
      </c>
      <c r="I1156" s="3" t="inlineStr">
        <is>
          <t>US §8.1 https://dailymed.nlm.nih.gov/dailymed/drugInfo.cfm?setid=a88d9010-55fb-4a02-baff-042cd27688ea; TW §6.1 https://mcp.fda.gov.tw/im_detail_1/%E8%A1%9B%E7%BD%B2%E8%97%A5%E8%BC%B8%E5%AD%97%E7%AC%AC024758%E8%99%9F</t>
        </is>
      </c>
      <c r="J1156" s="3" t="inlineStr">
        <is>
          <t>Open</t>
        </is>
      </c>
      <c r="K1156" s="3" t="inlineStr"/>
    </row>
    <row r="1157">
      <c r="A1157" s="3" t="n">
        <v>360</v>
      </c>
      <c r="B1157" s="3" t="inlineStr">
        <is>
          <t>Ertapenem (ERT01)</t>
        </is>
      </c>
      <c r="C1157" s="9" t="inlineStr">
        <is>
          <t>Low</t>
        </is>
      </c>
      <c r="D1157" s="3" t="inlineStr">
        <is>
          <t>Administration/compatibility</t>
        </is>
      </c>
      <c r="E1157" s="3" t="inlineStr"/>
      <c r="F1157" s="3" t="inlineStr">
        <is>
          <t>Harmonise IM lidocaine: 1% or 2% without epinephrine per TW insert across both fields</t>
        </is>
      </c>
      <c r="G1157" s="3" t="inlineStr">
        <is>
          <t>Dosing field: reconstitute IM with 1% lidocaine; injection guide field: 1% or 2% lidocaine (internally inconsistent)</t>
        </is>
      </c>
      <c r="H1157" s="3" t="inlineStr">
        <is>
          <t>TW 仿單 (stocked product): 3.2 mL of 1.0% or 2.0% lidocaine HCl without epinephrine; US label: 1.0% only</t>
        </is>
      </c>
      <c r="I1157" s="3" t="inlineStr">
        <is>
          <t>TW 仿單 3.1; US FDA label §2.7</t>
        </is>
      </c>
      <c r="J1157" s="3" t="inlineStr">
        <is>
          <t>Open</t>
        </is>
      </c>
      <c r="K1157" s="3" t="inlineStr"/>
    </row>
    <row r="1158">
      <c r="A1158" s="3" t="n">
        <v>371</v>
      </c>
      <c r="B1158" s="3" t="inlineStr">
        <is>
          <t>Ertapenem (ERT01)</t>
        </is>
      </c>
      <c r="C1158" s="9" t="inlineStr">
        <is>
          <t>Low</t>
        </is>
      </c>
      <c r="D1158" s="3" t="inlineStr">
        <is>
          <t>Administration/compatibility</t>
        </is>
      </c>
      <c r="E1158" s="3" t="inlineStr"/>
      <c r="F1158" s="3" t="inlineStr">
        <is>
          <t>Resolve IM lidocaine conflict: stocked insert allows 1% or 2% without epinephrine</t>
        </is>
      </c>
      <c r="G1158" s="3" t="inlineStr">
        <is>
          <t>Dosing field: 3.2 mL of 1% lidocaine. Injection guide: 1%或2%之lidocaine HCl</t>
        </is>
      </c>
      <c r="H1158" s="3" t="inlineStr">
        <is>
          <t>The stocked SLC product's insert allows 1.0% or 2.0% lidocaine HCl without epinephrine. The US INVANZ label says 1.0% only. The two hospital fields contradict each other.</t>
        </is>
      </c>
      <c r="I1158" s="3" t="inlineStr">
        <is>
          <t>TW insert 3.2 調製方式; US label 2.7</t>
        </is>
      </c>
      <c r="J1158" s="3" t="inlineStr">
        <is>
          <t>Open</t>
        </is>
      </c>
      <c r="K1158" s="3" t="inlineStr"/>
    </row>
    <row r="1159">
      <c r="A1159" s="3" t="n">
        <v>363</v>
      </c>
      <c r="B1159" s="3" t="inlineStr">
        <is>
          <t>Ertapenem (ERT01)</t>
        </is>
      </c>
      <c r="C1159" s="9" t="inlineStr">
        <is>
          <t>Low</t>
        </is>
      </c>
      <c r="D1159" s="3" t="inlineStr">
        <is>
          <t>Adverse effects</t>
        </is>
      </c>
      <c r="E1159" s="3" t="inlineStr"/>
      <c r="F1159" s="3" t="inlineStr">
        <is>
          <t>Use stocked TW product ADR rates (e.g. adult diarrhoea 4.3%) instead of US INVANZ figures</t>
        </is>
      </c>
      <c r="G1159" s="3" t="inlineStr">
        <is>
          <t>Adult diarrhoea 5.5%, infused-vein complication 3.7%, nausea 3.1%, headache 2.2%, vaginitis 2.1%; peds diarrhoea 6.5%, infusion-site pain 5.5% (US INVANZ figures)</t>
        </is>
      </c>
      <c r="H1159" s="3" t="inlineStr">
        <is>
          <t>The stocked product's TW 仿單 gives slightly different rates (e.g. adult diarrhoea 4.3%, paediatric diarrhoea 5.5%), and UK SmPC gives 4.8%/5.2%. The hospital copies the US innovator label, not the insert of the product it stocks.</t>
        </is>
      </c>
      <c r="I1159" s="3" t="inlineStr">
        <is>
          <t>TW 仿單 副作用 section; UK SmPC 4.8; US FDA label §6.1</t>
        </is>
      </c>
      <c r="J1159" s="3" t="inlineStr">
        <is>
          <t>Open</t>
        </is>
      </c>
      <c r="K1159" s="3" t="inlineStr"/>
    </row>
    <row r="1160">
      <c r="A1160" s="3" t="n">
        <v>373</v>
      </c>
      <c r="B1160" s="3" t="inlineStr">
        <is>
          <t>Ertapenem (ERT01)</t>
        </is>
      </c>
      <c r="C1160" s="9" t="inlineStr">
        <is>
          <t>Low</t>
        </is>
      </c>
      <c r="D1160" s="3" t="inlineStr">
        <is>
          <t>Dosing – hepatic</t>
        </is>
      </c>
      <c r="E1160" s="3" t="inlineStr"/>
      <c r="F1160" s="3" t="inlineStr">
        <is>
          <t>Reword: no hepatic dose adjustment needed (TW insert)</t>
        </is>
      </c>
      <c r="G1160" s="3" t="inlineStr">
        <is>
          <t>No dose adjustment recommendations</t>
        </is>
      </c>
      <c r="H1160" s="3" t="inlineStr">
        <is>
          <t>No dosage adjustment needed (肝功能受損的病人不須調整劑量). The hospital wording is the ambiguous US phrasing and could be read as 'unknown'.</t>
        </is>
      </c>
      <c r="I1160" s="3" t="inlineStr">
        <is>
          <t>TW insert 3.3.3; UK SmPC 4.2</t>
        </is>
      </c>
      <c r="J1160" s="3" t="inlineStr">
        <is>
          <t>Open</t>
        </is>
      </c>
      <c r="K1160" s="3" t="inlineStr"/>
    </row>
    <row r="1161">
      <c r="A1161" s="3" t="n">
        <v>364</v>
      </c>
      <c r="B1161" s="3" t="inlineStr">
        <is>
          <t>Ertapenem (ERT01)</t>
        </is>
      </c>
      <c r="C1161" s="9" t="inlineStr">
        <is>
          <t>Low</t>
        </is>
      </c>
      <c r="D1161" s="3" t="inlineStr">
        <is>
          <t>Dosing – renal/dialysis</t>
        </is>
      </c>
      <c r="E1161" s="3" t="inlineStr"/>
      <c r="F1161" s="3" t="inlineStr">
        <is>
          <t>Optionally note UK SmPC advises against use in severe renal impairment/HD</t>
        </is>
      </c>
      <c r="G1161" s="3" t="inlineStr">
        <is>
          <t>CrCl ≤30 or ESRD: 500 mg daily, plus the 150 mg post-HD rule (matches TW/US)</t>
        </is>
      </c>
      <c r="H1161" s="3" t="inlineStr">
        <is>
          <t>Matches the TW 仿單 and US label. The UK SmPC says 'should not be used' in severe renal impairment or HD. Not an error, but the hospital page does not mention the regulatory difference.</t>
        </is>
      </c>
      <c r="I1161" s="3" t="inlineStr">
        <is>
          <t>TW 仿單 3.1; US FDA label §2.4–2.5; UK SmPC 4.2</t>
        </is>
      </c>
      <c r="J1161" s="3" t="inlineStr">
        <is>
          <t>Open</t>
        </is>
      </c>
      <c r="K1161" s="3" t="inlineStr"/>
    </row>
    <row r="1162">
      <c r="A1162" s="3" t="n">
        <v>358</v>
      </c>
      <c r="B1162" s="3" t="inlineStr">
        <is>
          <t>Ertapenem (ERT01)</t>
        </is>
      </c>
      <c r="C1162" s="9" t="inlineStr">
        <is>
          <t>Low</t>
        </is>
      </c>
      <c r="D1162" s="3" t="inlineStr">
        <is>
          <t>Indication/coverage</t>
        </is>
      </c>
      <c r="E1162" s="3" t="inlineStr"/>
      <c r="F1162" s="3" t="inlineStr">
        <is>
          <t>Reword to complicated SSSI incl. diabetic foot without osteomyelitis</t>
        </is>
      </c>
      <c r="G1162" s="3" t="inlineStr">
        <is>
          <t>Skin and soft tissue infection</t>
        </is>
      </c>
      <c r="H1162" s="3" t="inlineStr">
        <is>
          <t>Complicated skin and skin structure infections, incl. diabetic foot infection without osteomyelitis (UK: diabetic foot infections of skin and soft tissue only)</t>
        </is>
      </c>
      <c r="I1162" s="3" t="inlineStr">
        <is>
          <t>US FDA label §1.2; UK SmPC 4.1; TW 仿單 2</t>
        </is>
      </c>
      <c r="J1162" s="3" t="inlineStr">
        <is>
          <t>Open</t>
        </is>
      </c>
      <c r="K1162" s="3" t="inlineStr"/>
    </row>
    <row r="1163">
      <c r="A1163" s="3" t="n">
        <v>362</v>
      </c>
      <c r="B1163" s="3" t="inlineStr">
        <is>
          <t>Ertapenem (ERT01)</t>
        </is>
      </c>
      <c r="C1163" s="9" t="inlineStr">
        <is>
          <t>Low</t>
        </is>
      </c>
      <c r="D1163" s="3" t="inlineStr">
        <is>
          <t>Pharmacokinetics/other</t>
        </is>
      </c>
      <c r="E1163" s="3" t="inlineStr"/>
      <c r="F1163" s="3" t="inlineStr">
        <is>
          <t>Link TFDA insert 衛部藥製字第059078號</t>
        </is>
      </c>
      <c r="G1163" s="3" t="inlineStr">
        <is>
          <t>Empty</t>
        </is>
      </c>
      <c r="H1163" s="3" t="inlineStr">
        <is>
          <t>The TFDA insert exists for 衛部藥製字第059078號 (updated 111/08/12, version 2)</t>
        </is>
      </c>
      <c r="I1163" s="3" t="inlineStr">
        <is>
          <t>https://mcp.fda.gov.tw/im_detail_1/%E8%A1%9B%E9%83%A8%E8%97%A5%E8%A3%BD%E5%AD%97%E7%AC%AC059078%E8%99%9F</t>
        </is>
      </c>
      <c r="J1163" s="3" t="inlineStr">
        <is>
          <t>Open</t>
        </is>
      </c>
      <c r="K1163" s="3" t="inlineStr"/>
    </row>
    <row r="1164">
      <c r="A1164" s="3" t="n">
        <v>369</v>
      </c>
      <c r="B1164" s="3" t="inlineStr">
        <is>
          <t>Ertapenem (ERT01)</t>
        </is>
      </c>
      <c r="C1164" s="9" t="inlineStr">
        <is>
          <t>Low</t>
        </is>
      </c>
      <c r="D1164" s="3" t="inlineStr">
        <is>
          <t>Pharmacokinetics/other</t>
        </is>
      </c>
      <c r="E1164" s="3" t="inlineStr"/>
      <c r="F1164" s="3" t="inlineStr">
        <is>
          <t>Change pharmacologic class to carbapenem (ATC J01DH03)</t>
        </is>
      </c>
      <c r="G1164" s="3" t="inlineStr">
        <is>
          <t>Misc. beta-lactams</t>
        </is>
      </c>
      <c r="H1164" s="3" t="inlineStr">
        <is>
          <t>Carbapenem (ATC J01DH03, 'carbapenems').</t>
        </is>
      </c>
      <c r="I1164" s="3" t="inlineStr">
        <is>
          <t>UK SmPC 5.1; US label 11</t>
        </is>
      </c>
      <c r="J1164" s="3" t="inlineStr">
        <is>
          <t>Open</t>
        </is>
      </c>
      <c r="K1164" s="3" t="inlineStr"/>
    </row>
    <row r="1165">
      <c r="A1165" s="3" t="n">
        <v>374</v>
      </c>
      <c r="B1165" s="3" t="inlineStr">
        <is>
          <t>Ertapenem (ERT01)</t>
        </is>
      </c>
      <c r="C1165" s="9" t="inlineStr">
        <is>
          <t>Low</t>
        </is>
      </c>
      <c r="D1165" s="3" t="inlineStr">
        <is>
          <t>Pharmacokinetics/other</t>
        </is>
      </c>
      <c r="E1165" s="3" t="inlineStr"/>
      <c r="F1165" s="3" t="inlineStr">
        <is>
          <t>Link TFDA insert 衛部藥製字第059078號 (v2, 111/08/12)</t>
        </is>
      </c>
      <c r="G1165" s="3" t="inlineStr">
        <is>
          <t>(empty)</t>
        </is>
      </c>
      <c r="H1165" s="3" t="inlineStr">
        <is>
          <t>The TFDA insert for 衛部藥製字第059078號 (version 2, 111/08/12) is available and should be linked.</t>
        </is>
      </c>
      <c r="I1165" s="3" t="inlineStr">
        <is>
          <t>https://mcp.fda.gov.tw/im_detail_1/%E8%A1%9B%E9%83%A8%E8%97%A5%E8%A3%BD%E5%AD%97%E7%AC%AC059078%E8%99%9F</t>
        </is>
      </c>
      <c r="J1165" s="3" t="inlineStr">
        <is>
          <t>Open</t>
        </is>
      </c>
      <c r="K1165" s="3" t="inlineStr"/>
    </row>
    <row r="1166">
      <c r="A1166" s="3" t="n">
        <v>375</v>
      </c>
      <c r="B1166" s="3" t="inlineStr">
        <is>
          <t>Ertapenem (ERT01)</t>
        </is>
      </c>
      <c r="C1166" s="9" t="inlineStr">
        <is>
          <t>Low</t>
        </is>
      </c>
      <c r="D1166" s="3" t="inlineStr">
        <is>
          <t>Pharmacokinetics/other</t>
        </is>
      </c>
      <c r="E1166" s="3" t="inlineStr"/>
      <c r="F1166" s="3" t="inlineStr">
        <is>
          <t>Use stocked insert IM PK: bioavailability ~92%, Tmax ~2 h</t>
        </is>
      </c>
      <c r="G1166" s="3" t="inlineStr">
        <is>
          <t>Bioavailability ~90%, Tmax ~2.3 h (1% lidocaine)</t>
        </is>
      </c>
      <c r="H1166" s="3" t="inlineStr">
        <is>
          <t>The stocked SLC insert says bioavailability ~92% and Tmax ~2 h. The hospital uses the US INVANZ values instead of the stocked product's.</t>
        </is>
      </c>
      <c r="I1166" s="3" t="inlineStr">
        <is>
          <t>TW insert 11 藥物動力學特性 吸收; US label 12.3</t>
        </is>
      </c>
      <c r="J1166" s="3" t="inlineStr">
        <is>
          <t>Open</t>
        </is>
      </c>
      <c r="K1166" s="3" t="inlineStr"/>
    </row>
    <row r="1167">
      <c r="A1167" s="3" t="n">
        <v>746</v>
      </c>
      <c r="B1167" s="3" t="inlineStr">
        <is>
          <t>Erythromycin (ERY03)</t>
        </is>
      </c>
      <c r="C1167" s="9" t="inlineStr">
        <is>
          <t>Low</t>
        </is>
      </c>
      <c r="D1167" s="3" t="inlineStr">
        <is>
          <t>Adverse effects</t>
        </is>
      </c>
      <c r="E1167" s="3" t="inlineStr"/>
      <c r="F1167" s="3" t="inlineStr">
        <is>
          <t>Change to hepatocellular and/or cholestatic hepatitis ± jaundice; add hepatic failure</t>
        </is>
      </c>
      <c r="G1167" s="3" t="inlineStr">
        <is>
          <t>Cholestatic hepatitis</t>
        </is>
      </c>
      <c r="H1167" s="3" t="inlineStr">
        <is>
          <t>The labels describe "hepatocellular and/or cholestatic hepatitis, with or without jaundice" for all oral erythromycins (US WARNINGS; UK 4.4/4.8 also lists hepatic failure). I do not support the brief's issue #5 (a general estolate-specific cholestatic risk): Inman &amp; Rawson 1983 (12,208 patients) found no jaundice attributable to estolate. The estolate-specific concern that is supported is pregnancy (see the Pregnancy row).</t>
        </is>
      </c>
      <c r="I1167" s="3" t="inlineStr">
        <is>
          <t>US WARNINGS Hepatotoxicity https://dailymed.nlm.nih.gov/dailymed/drugInfo.cfm?setid=a2dcb48a-212c-1b0c-ec35-ee2ade85847f ; PMID 6407653 https://pubmed.ncbi.nlm.nih.gov/6407653/ ; PMID 21610 https://pubmed.ncbi.nlm.nih.gov/21610/</t>
        </is>
      </c>
      <c r="J1167" s="3" t="inlineStr">
        <is>
          <t>Open</t>
        </is>
      </c>
      <c r="K1167" s="3" t="inlineStr"/>
    </row>
    <row r="1168">
      <c r="A1168" s="3" t="n">
        <v>736</v>
      </c>
      <c r="B1168" s="3" t="inlineStr">
        <is>
          <t>Erythromycin (ERY03)</t>
        </is>
      </c>
      <c r="C1168" s="9" t="inlineStr">
        <is>
          <t>Low</t>
        </is>
      </c>
      <c r="D1168" s="3" t="inlineStr">
        <is>
          <t>Breastfeeding</t>
        </is>
      </c>
      <c r="E1168" s="3" t="inlineStr"/>
      <c r="F1168" s="3" t="inlineStr">
        <is>
          <t>Add rare IHPS risk in first 2 weeks postpartum; alternatives azithro/clarithro</t>
        </is>
      </c>
      <c r="G1168" s="3" t="inlineStr">
        <is>
          <t>Monitor breastfeeding infants for GI disturbances, such as thrush, dehydration, or diarrhea.</t>
        </is>
      </c>
      <c r="H1168" s="3" t="inlineStr">
        <is>
          <t>Consistent but incomplete. LactMed also notes possible IHPS with maternal use in the first two weeks postpartum (rare, disputed) and lists azithromycin and clarithromycin as alternatives. UK SmPC 4.6 advises caution because of IHPS reports.</t>
        </is>
      </c>
      <c r="I1168" s="3" t="inlineStr">
        <is>
          <t>LactMed NBK501217 Summary; UK SmPC 4.6</t>
        </is>
      </c>
      <c r="J1168" s="3" t="inlineStr">
        <is>
          <t>Open</t>
        </is>
      </c>
      <c r="K1168" s="3" t="inlineStr"/>
    </row>
    <row r="1169">
      <c r="A1169" s="3" t="n">
        <v>728</v>
      </c>
      <c r="B1169" s="3" t="inlineStr">
        <is>
          <t>Erythromycin (ERY03)</t>
        </is>
      </c>
      <c r="C1169" s="9" t="inlineStr">
        <is>
          <t>Low</t>
        </is>
      </c>
      <c r="D1169" s="3" t="inlineStr">
        <is>
          <t>Dosing – renal/dialysis</t>
        </is>
      </c>
      <c r="E1169" s="3" t="inlineStr"/>
      <c r="F1169" s="3" t="inlineStr">
        <is>
          <t>Change to: not removed by HD or PD (US label)</t>
        </is>
      </c>
      <c r="G1169" s="3" t="inlineStr">
        <is>
          <t>Slightly dialyzable (5% to 20%)</t>
        </is>
      </c>
      <c r="H1169" s="3" t="inlineStr">
        <is>
          <t>US label: 'Erythromycin is not removed by peritoneal dialysis or hemodialysis' (in CLINICAL PHARMACOLOGY and again in OVERDOSAGE).</t>
        </is>
      </c>
      <c r="I1169" s="3" t="inlineStr">
        <is>
          <t>US DailyMed setid a2dcb48a-212c-1b0c-ec35-ee2ade85847f, CLINICAL PHARMACOLOGY; OVERDOSAGE</t>
        </is>
      </c>
      <c r="J1169" s="3" t="inlineStr">
        <is>
          <t>Open</t>
        </is>
      </c>
      <c r="K1169" s="3" t="inlineStr"/>
    </row>
    <row r="1170">
      <c r="A1170" s="3" t="n">
        <v>738</v>
      </c>
      <c r="B1170" s="3" t="inlineStr">
        <is>
          <t>Erythromycin (ERY03)</t>
        </is>
      </c>
      <c r="C1170" s="9" t="inlineStr">
        <is>
          <t>Low</t>
        </is>
      </c>
      <c r="D1170" s="3" t="inlineStr">
        <is>
          <t>Dosing – renal/dialysis</t>
        </is>
      </c>
      <c r="E1170" s="3" t="inlineStr"/>
      <c r="F1170" s="3" t="inlineStr">
        <is>
          <t>Change to: not removed by HD or PD</t>
        </is>
      </c>
      <c r="G1170" s="3" t="inlineStr">
        <is>
          <t>Dialysis: Slightly dialyzable (5% to 20%)</t>
        </is>
      </c>
      <c r="H1170" s="3" t="inlineStr">
        <is>
          <t>US label CLINICAL PHARMACOLOGY and OVERDOSAGE: "Erythromycin is not removed by peritoneal dialysis or hemodialysis."</t>
        </is>
      </c>
      <c r="I1170" s="3" t="inlineStr">
        <is>
          <t>https://dailymed.nlm.nih.gov/dailymed/drugInfo.cfm?setid=a2dcb48a-212c-1b0c-ec35-ee2ade85847f ; https://pharmacy.fjuh.fju.edu.tw/Key_Search/P4?query=ERY03</t>
        </is>
      </c>
      <c r="J1170" s="3" t="inlineStr">
        <is>
          <t>Open</t>
        </is>
      </c>
      <c r="K1170" s="3" t="inlineStr"/>
    </row>
    <row r="1171">
      <c r="A1171" s="3" t="n">
        <v>732</v>
      </c>
      <c r="B1171" s="3" t="inlineStr">
        <is>
          <t>Erythromycin (ERY03)</t>
        </is>
      </c>
      <c r="C1171" s="9" t="inlineStr">
        <is>
          <t>Low</t>
        </is>
      </c>
      <c r="D1171" s="3" t="inlineStr">
        <is>
          <t>Indication/coverage</t>
        </is>
      </c>
      <c r="E1171" s="3" t="inlineStr"/>
      <c r="F1171" s="3" t="inlineStr">
        <is>
          <t>Fix typo: Legionella pneumophila</t>
        </is>
      </c>
      <c r="G1171" s="3" t="inlineStr">
        <is>
          <t>L. pneumophilai</t>
        </is>
      </c>
      <c r="H1171" s="3" t="inlineStr">
        <is>
          <t>Legionella pneumophila</t>
        </is>
      </c>
      <c r="I1171" s="3" t="inlineStr">
        <is>
          <t>US DailyMed INDICATIONS AND USAGE ('Legionnaires' Disease caused by Legionella pneumophila')</t>
        </is>
      </c>
      <c r="J1171" s="3" t="inlineStr">
        <is>
          <t>Open</t>
        </is>
      </c>
      <c r="K1171" s="3" t="inlineStr"/>
    </row>
    <row r="1172">
      <c r="A1172" s="3" t="n">
        <v>744</v>
      </c>
      <c r="B1172" s="3" t="inlineStr">
        <is>
          <t>Erythromycin (ERY03)</t>
        </is>
      </c>
      <c r="C1172" s="9" t="inlineStr">
        <is>
          <t>Low</t>
        </is>
      </c>
      <c r="D1172" s="3" t="inlineStr">
        <is>
          <t>Indication/coverage</t>
        </is>
      </c>
      <c r="E1172" s="3" t="inlineStr"/>
      <c r="F1172" s="3" t="inlineStr">
        <is>
          <t>Note colorectal regimen is guideline-based (base 1 g), not estolate label</t>
        </is>
      </c>
      <c r="G1172" s="3" t="inlineStr">
        <is>
          <t>Colorectal decontamination, in conjunction with other agents, prior to surgical intervention</t>
        </is>
      </c>
      <c r="H1172" s="3" t="inlineStr">
        <is>
          <t>This is a refinement of the brief's issue #2. UK SmPC 4.1(8) does list "Prophylaxis: pre- and post-operative", so surgical prophylaxis is not unapproved in general. The specific oral colorectal regimen is guideline-based (Bratzler 2013: neomycin 1 g + erythromycin BASE 1 g at 19, 18 and 9 h pre-op). It uses the base salt and 1 g doses, not the 250 mg estolate capsule, and neither the US label nor the TW insert lists it.</t>
        </is>
      </c>
      <c r="I1172" s="3" t="inlineStr">
        <is>
          <t>UK SmPC 4.1 https://www.medicines.org.uk/emc/product/10659/smpc ; Bratzler DW et al. 2013, PMID 23327981 https://pubmed.ncbi.nlm.nih.gov/23327981/</t>
        </is>
      </c>
      <c r="J1172" s="3" t="inlineStr">
        <is>
          <t>Open</t>
        </is>
      </c>
      <c r="K1172" s="3" t="inlineStr"/>
    </row>
    <row r="1173">
      <c r="A1173" s="3" t="n">
        <v>745</v>
      </c>
      <c r="B1173" s="3" t="inlineStr">
        <is>
          <t>Erythromycin (ERY03)</t>
        </is>
      </c>
      <c r="C1173" s="9" t="inlineStr">
        <is>
          <t>Low</t>
        </is>
      </c>
      <c r="D1173" s="3" t="inlineStr">
        <is>
          <t>Indication/coverage</t>
        </is>
      </c>
      <c r="E1173" s="3" t="inlineStr"/>
      <c r="F1173" s="3" t="inlineStr">
        <is>
          <t>Fix typo: Legionella pneumophila</t>
        </is>
      </c>
      <c r="G1173" s="3" t="inlineStr">
        <is>
          <t>L. pneumophilai</t>
        </is>
      </c>
      <c r="H1173" s="3" t="inlineStr">
        <is>
          <t>Legionella pneumophila (US label INDICATIONS; UK SmPC 5.1)</t>
        </is>
      </c>
      <c r="I1173" s="3" t="inlineStr">
        <is>
          <t>https://dailymed.nlm.nih.gov/dailymed/drugInfo.cfm?setid=a2dcb48a-212c-1b0c-ec35-ee2ade85847f</t>
        </is>
      </c>
      <c r="J1173" s="3" t="inlineStr">
        <is>
          <t>Open</t>
        </is>
      </c>
      <c r="K1173" s="3" t="inlineStr"/>
    </row>
    <row r="1174">
      <c r="A1174" s="3" t="n">
        <v>733</v>
      </c>
      <c r="B1174" s="3" t="inlineStr">
        <is>
          <t>Erythromycin (ERY03)</t>
        </is>
      </c>
      <c r="C1174" s="9" t="inlineStr">
        <is>
          <t>Low</t>
        </is>
      </c>
      <c r="D1174" s="3" t="inlineStr">
        <is>
          <t>Pharmacokinetics/other</t>
        </is>
      </c>
      <c r="E1174" s="3" t="inlineStr"/>
      <c r="F1174" s="3" t="inlineStr">
        <is>
          <t>Remove non-estolate time-to-peak/food data or attribute by salt</t>
        </is>
      </c>
      <c r="G1174" s="3" t="inlineStr">
        <is>
          <t>Time to peak given for base, ethylsuccinate and stearate only; 'Effects of food: Cmax reduced by 73% and AUC reduced by 72%' (salt not specified)</t>
        </is>
      </c>
      <c r="H1174" s="3" t="inlineStr">
        <is>
          <t>The estolate it stocks has no time to peak or food data, and the TW insert §11 PK says 目前尚無資訊. The US label (enteric-coated base) says it 'may be given without regard to meals', with optimum levels when fasting; its single-dose time to peak is about 3 h. The food figure is unattributed and may not apply to estolate.</t>
        </is>
      </c>
      <c r="I1174" s="3" t="inlineStr">
        <is>
          <t>US DailyMed CLINICAL PHARMACOLOGY; DOSAGE AND ADMINISTRATION; TW 仿單 §11</t>
        </is>
      </c>
      <c r="J1174" s="3" t="inlineStr">
        <is>
          <t>Open</t>
        </is>
      </c>
      <c r="K1174" s="3" t="inlineStr"/>
    </row>
    <row r="1175">
      <c r="A1175" s="3" t="n">
        <v>739</v>
      </c>
      <c r="B1175" s="3" t="inlineStr">
        <is>
          <t>Erythromycin (ERY03)</t>
        </is>
      </c>
      <c r="C1175" s="9" t="inlineStr">
        <is>
          <t>Low</t>
        </is>
      </c>
      <c r="D1175" s="3" t="inlineStr">
        <is>
          <t>Pharmacokinetics/other</t>
        </is>
      </c>
      <c r="E1175" s="3" t="inlineStr"/>
      <c r="F1175" s="3" t="inlineStr">
        <is>
          <t>Remove unsourced ESRD half-life 5–6 h</t>
        </is>
      </c>
      <c r="G1175" s="3" t="inlineStr">
        <is>
          <t>Half-life elimination (End-stage renal disease) 5-6 hours</t>
        </is>
      </c>
      <c r="H1175" s="3" t="inlineStr">
        <is>
          <t>No label gives an ESRD half-life (the UK SmPC gives about 2 h overall). In Kanfer 1987 (HD patients vs controls) "biological half-lifes were similar in patients and in controls"; only Cmax and AUC were higher. The hospital value is unsourced and contradicted by this study.</t>
        </is>
      </c>
      <c r="I1175" s="3" t="inlineStr">
        <is>
          <t>Kanfer A et al. Clin Nephrol 1987, PMID 3494560 https://pubmed.ncbi.nlm.nih.gov/3494560/ ; UK SmPC 5.2 https://www.medicines.org.uk/emc/product/10659/smpc</t>
        </is>
      </c>
      <c r="J1175" s="3" t="inlineStr">
        <is>
          <t>Open</t>
        </is>
      </c>
      <c r="K1175" s="3" t="inlineStr"/>
    </row>
    <row r="1176">
      <c r="A1176" s="3" t="n">
        <v>740</v>
      </c>
      <c r="B1176" s="3" t="inlineStr">
        <is>
          <t>Erythromycin (ERY03)</t>
        </is>
      </c>
      <c r="C1176" s="9" t="inlineStr">
        <is>
          <t>Low</t>
        </is>
      </c>
      <c r="D1176" s="3" t="inlineStr">
        <is>
          <t>Pharmacokinetics/other</t>
        </is>
      </c>
      <c r="E1176" s="3" t="inlineStr"/>
      <c r="F1176" s="3" t="inlineStr">
        <is>
          <t>Remove food-effect figure; estolate absorption increased with food</t>
        </is>
      </c>
      <c r="G1176" s="3" t="inlineStr">
        <is>
          <t>Effects of food: Cmax reduced by 73% and AUC reduced by 72%</t>
        </is>
      </c>
      <c r="H1176" s="3" t="inlineStr">
        <is>
          <t>The figure is not salt-specific and does not apply to the stocked estolate. Welling 1979: "Absorption of erythromycin estolate was increased in the presence of food". The US base label says it "may be given without regard to meals", with optimum levels when fasting.</t>
        </is>
      </c>
      <c r="I1176" s="3" t="inlineStr">
        <is>
          <t>Welling PG et al. 1979, PMID 423080 https://pubmed.ncbi.nlm.nih.gov/423080/ ; US label DOSAGE AND ADMINISTRATION https://dailymed.nlm.nih.gov/dailymed/drugInfo.cfm?setid=a2dcb48a-212c-1b0c-ec35-ee2ade85847f</t>
        </is>
      </c>
      <c r="J1176" s="3" t="inlineStr">
        <is>
          <t>Open</t>
        </is>
      </c>
      <c r="K1176" s="3" t="inlineStr"/>
    </row>
    <row r="1177">
      <c r="A1177" s="3" t="n">
        <v>741</v>
      </c>
      <c r="B1177" s="3" t="inlineStr">
        <is>
          <t>Erythromycin (ERY03)</t>
        </is>
      </c>
      <c r="C1177" s="9" t="inlineStr">
        <is>
          <t>Low</t>
        </is>
      </c>
      <c r="D1177" s="3" t="inlineStr">
        <is>
          <t>Pharmacokinetics/other</t>
        </is>
      </c>
      <c r="E1177" s="3" t="inlineStr"/>
      <c r="F1177" s="3" t="inlineStr">
        <is>
          <t>Remove non-estolate time-to-peak values; state no data for estolate</t>
        </is>
      </c>
      <c r="G1177" s="3" t="inlineStr">
        <is>
          <t>Time to peak, serum: (Base) 4 hours; (Ethylsuccinate) 0.5-2.5 hours; (Stearate) 3 hours</t>
        </is>
      </c>
      <c r="H1177" s="3" t="inlineStr">
        <is>
          <t>No value is given for estolate, the only salt stocked. The TW insert §11 PK says 目前尚無資訊. The US DR base capsule label gives a peak at about 3 h.</t>
        </is>
      </c>
      <c r="I1177" s="3" t="inlineStr">
        <is>
          <t>TW 仿單 §11 https://mcp.fda.gov.tw/im_detail_1/%E8%A1%9B%E7%BD%B2%E8%97%A5%E8%A3%BD%E5%AD%97%E7%AC%AC000106%E8%99%9F ; US CLINICAL PHARMACOLOGY https://dailymed.nlm.nih.gov/dailymed/drugInfo.cfm?setid=a2dcb48a-212c-1b0c-ec35-ee2ade85847f</t>
        </is>
      </c>
      <c r="J1177" s="3" t="inlineStr">
        <is>
          <t>Open</t>
        </is>
      </c>
      <c r="K1177" s="3" t="inlineStr"/>
    </row>
    <row r="1178">
      <c r="A1178" s="3" t="n">
        <v>1018</v>
      </c>
      <c r="B1178" s="3" t="inlineStr">
        <is>
          <t>Famvir (Famciclovir) (FAM01)</t>
        </is>
      </c>
      <c r="C1178" s="9" t="inlineStr">
        <is>
          <t>Low</t>
        </is>
      </c>
      <c r="D1178" s="3" t="inlineStr">
        <is>
          <t>Dosing – adult</t>
        </is>
      </c>
      <c r="E1178" s="3" t="inlineStr"/>
      <c r="F1178" s="3" t="inlineStr">
        <is>
          <t>Label 500 mg once then 250 mg BID ×2 d as CDC 2021 guideline/off-label</t>
        </is>
      </c>
      <c r="G1178" s="3" t="inlineStr">
        <is>
          <t>500 mg as a single dose, followed by 250 mg twice daily for 2 days</t>
        </is>
      </c>
      <c r="H1178" s="3" t="inlineStr">
        <is>
          <t>No label (TW/FDA/SmPC) contains this regimen, but CDC 2021 STI guidelines recommend it for episodic recurrent HSV-2. It should be marked as guideline/off-label rather than presented alongside labelled doses.</t>
        </is>
      </c>
      <c r="I1178" s="3" t="inlineStr">
        <is>
          <t>CDC STI Treatment Guidelines 2021, PMID 34292926 https://pubmed.ncbi.nlm.nih.gov/34292926/</t>
        </is>
      </c>
      <c r="J1178" s="3" t="inlineStr">
        <is>
          <t>Open</t>
        </is>
      </c>
      <c r="K1178" s="3" t="inlineStr"/>
    </row>
    <row r="1179">
      <c r="A1179" s="3" t="n">
        <v>1012</v>
      </c>
      <c r="B1179" s="3" t="inlineStr">
        <is>
          <t>Famvir (Famciclovir) (FAM01)</t>
        </is>
      </c>
      <c r="C1179" s="9" t="inlineStr">
        <is>
          <t>Low</t>
        </is>
      </c>
      <c r="D1179" s="3" t="inlineStr">
        <is>
          <t>Pharmacokinetics/other</t>
        </is>
      </c>
      <c r="E1179" s="3" t="inlineStr"/>
      <c r="F1179" s="3" t="inlineStr">
        <is>
          <t>Add licence 衛署藥輸字第022179號 and current 2022 insert link</t>
        </is>
      </c>
      <c r="G1179" s="3" t="inlineStr">
        <is>
          <t>仿單 link field empty; no licence number shown</t>
        </is>
      </c>
      <c r="H1179" s="3" t="inlineStr">
        <is>
          <t>Licence 衛署藥輸字第022179號 (applicant 台灣大昌華嘉, manufacturer COSMO SPA Italy, valid to 117-05-14). Current insert uploaded 2022-03-23.</t>
        </is>
      </c>
      <c r="I1179" s="3" t="inlineStr">
        <is>
          <t>TFDA — https://mcp.fda.gov.tw/im_detail_1/%E8%A1%9B%E7%BD%B2%E8%97%A5%E8%BC%B8%E5%AD%97%E7%AC%AC022179%E8%99%9F</t>
        </is>
      </c>
      <c r="J1179" s="3" t="inlineStr">
        <is>
          <t>Open</t>
        </is>
      </c>
      <c r="K1179" s="3" t="inlineStr"/>
    </row>
    <row r="1180">
      <c r="A1180" s="3" t="n">
        <v>1015</v>
      </c>
      <c r="B1180" s="3" t="inlineStr">
        <is>
          <t>Famvir (Famciclovir) (FAM01)</t>
        </is>
      </c>
      <c r="C1180" s="9" t="inlineStr">
        <is>
          <t>Low</t>
        </is>
      </c>
      <c r="D1180" s="3" t="inlineStr">
        <is>
          <t>Pharmacokinetics/other</t>
        </is>
      </c>
      <c r="E1180" s="3" t="inlineStr"/>
      <c r="F1180" s="3" t="inlineStr">
        <is>
          <t>Change storage to below 30℃, dry, original package</t>
        </is>
      </c>
      <c r="G1180" s="3" t="inlineStr">
        <is>
          <t>15–30℃ 乾燥處</t>
        </is>
      </c>
      <c r="H1180" s="3" t="inlineStr">
        <is>
          <t>TW insert: 貯存於 30℃以下之乾燥處，置於原包裝中</t>
        </is>
      </c>
      <c r="I1180" s="3" t="inlineStr">
        <is>
          <t>TW 仿單 2016 貯存注意事項 — https://mcp.fda.gov.tw/insert/pdfcasefile/i_319bc472-a765-4043-88be-559ce680e7e2</t>
        </is>
      </c>
      <c r="J1180" s="3" t="inlineStr">
        <is>
          <t>Open</t>
        </is>
      </c>
      <c r="K1180" s="3" t="inlineStr"/>
    </row>
    <row r="1181">
      <c r="A1181" s="3" t="n">
        <v>1021</v>
      </c>
      <c r="B1181" s="3" t="inlineStr">
        <is>
          <t>Famvir (Famciclovir) (FAM01)</t>
        </is>
      </c>
      <c r="C1181" s="9" t="inlineStr">
        <is>
          <t>Low</t>
        </is>
      </c>
      <c r="D1181" s="3" t="inlineStr">
        <is>
          <t>Pharmacokinetics/other</t>
        </is>
      </c>
      <c r="E1181" s="3" t="inlineStr"/>
      <c r="F1181" s="3" t="inlineStr">
        <is>
          <t>Add licence 衛署藥輸字第022179號 and 2022 insert link</t>
        </is>
      </c>
      <c r="G1181" s="3" t="inlineStr">
        <is>
          <t>仿單 field empty; no licence number shown</t>
        </is>
      </c>
      <c r="H1181" s="3" t="inlineStr">
        <is>
          <t>衛署藥輸字第022179號. Current insert uploaded 2022-03-23 (TW-DKSH-Version-2020v01). Licence holder 台灣大昌華嘉 (DKSH); manufacturer COSMO SpA (Italy); secondary manufacturer Atnahs Pharma UK.</t>
        </is>
      </c>
      <c r="I1181" s="3" t="inlineStr">
        <is>
          <t>TFDA 仿單查詢 https://mcp.fda.gov.tw/im_detail_1/%E8%A1%9B%E7%BD%B2%E8%97%A5%E8%BC%B8%E5%AD%97%E7%AC%AC022179%E8%99%9F</t>
        </is>
      </c>
      <c r="J1181" s="3" t="inlineStr">
        <is>
          <t>Open</t>
        </is>
      </c>
      <c r="K1181" s="3" t="inlineStr"/>
    </row>
    <row r="1182">
      <c r="A1182" s="3" t="n">
        <v>1010</v>
      </c>
      <c r="B1182" s="3" t="inlineStr">
        <is>
          <t>Famvir (Famciclovir) (FAM01)</t>
        </is>
      </c>
      <c r="C1182" s="9" t="inlineStr">
        <is>
          <t>Low</t>
        </is>
      </c>
      <c r="D1182" s="3" t="inlineStr">
        <is>
          <t>Pregnancy</t>
        </is>
      </c>
      <c r="E1182" s="3" t="inlineStr">
        <is>
          <t>FDA letter category</t>
        </is>
      </c>
      <c r="F1182" s="3" t="inlineStr">
        <is>
          <t>Replace letter B with FDA 8.1 narrative and TW/UK benefit-risk wording</t>
        </is>
      </c>
      <c r="G1182" s="3" t="inlineStr">
        <is>
          <t>B [FDA.AUS]</t>
        </is>
      </c>
      <c r="H1182" s="3" t="inlineStr">
        <is>
          <t>The FDA letter categories are retired. The current US label §8.1 is narrative (no drug-associated risk identified in pharmacovigilance data). The TW and UK labels say use only if benefit outweighs risk.</t>
        </is>
      </c>
      <c r="I1182" s="3" t="inlineStr">
        <is>
          <t>FDA §8.1 — https://dailymed.nlm.nih.gov/dailymed/drugInfo.cfm?setid=2c44b8d2-3b70-4e8b-af03-2e917178f761; UK SmPC §4.6 — https://www.medicines.org.uk/emc/product/11710/smpc</t>
        </is>
      </c>
      <c r="J1182" s="3" t="inlineStr">
        <is>
          <t>Open</t>
        </is>
      </c>
      <c r="K1182" s="3" t="inlineStr"/>
    </row>
    <row r="1183">
      <c r="A1183" s="3" t="n">
        <v>1019</v>
      </c>
      <c r="B1183" s="3" t="inlineStr">
        <is>
          <t>Famvir (Famciclovir) (FAM01)</t>
        </is>
      </c>
      <c r="C1183" s="9" t="inlineStr">
        <is>
          <t>Low</t>
        </is>
      </c>
      <c r="D1183" s="3" t="inlineStr">
        <is>
          <t>Pregnancy</t>
        </is>
      </c>
      <c r="E1183" s="3" t="inlineStr">
        <is>
          <t>FDA letter category</t>
        </is>
      </c>
      <c r="F1183" s="3" t="inlineStr">
        <is>
          <t>Replace letter B with FDA narrative and SmPC/TW benefit-risk wording</t>
        </is>
      </c>
      <c r="G1183" s="3" t="inlineStr">
        <is>
          <t>B [FDA.AUS]</t>
        </is>
      </c>
      <c r="H1183" s="3" t="inlineStr">
        <is>
          <t>The FDA retired letter categories; the current FDA 8.1 is narrative (no identified drug-associated risk from pharmacovigilance). SmPC and TW: use only if benefit outweighs risk.</t>
        </is>
      </c>
      <c r="I1183" s="3" t="inlineStr">
        <is>
          <t>FDA 8.1; SmPC 4.6; TW仿單 懷孕</t>
        </is>
      </c>
      <c r="J1183" s="3" t="inlineStr">
        <is>
          <t>Open</t>
        </is>
      </c>
      <c r="K1183" s="3" t="inlineStr"/>
    </row>
    <row r="1184">
      <c r="A1184" s="3" t="n">
        <v>537</v>
      </c>
      <c r="B1184" s="3" t="inlineStr">
        <is>
          <t>Fetroja (Cefiderocol) (FET01)</t>
        </is>
      </c>
      <c r="C1184" s="9" t="inlineStr">
        <is>
          <t>Low</t>
        </is>
      </c>
      <c r="D1184" s="3" t="inlineStr">
        <is>
          <t>Contraindication/warning</t>
        </is>
      </c>
      <c r="E1184" s="3" t="inlineStr"/>
      <c r="F1184" s="3" t="inlineStr">
        <is>
          <t>Align contraindication with TW insert (cefiderocol/excipient); move beta-lactam allergy to warnings</t>
        </is>
      </c>
      <c r="G1184" s="3" t="inlineStr">
        <is>
          <t>'Severe hypersensitivity to cefiderocol, other beta-lactam antibacterial drugs, or any other component of the formulation' (US label wording)</t>
        </is>
      </c>
      <c r="H1184" s="3" t="inlineStr">
        <is>
          <t>The insert for the stocked Taiwan product contraindicates only severe hypersensitivity to cefiderocol or its excipients. Other beta-lactam allergy is a warning (5.1.2), not a contraindication. UK is broader: any cephalosporin, or severe reactions to other beta-lactams.</t>
        </is>
      </c>
      <c r="I1184" s="3" t="inlineStr">
        <is>
          <t>TW 仿單 §4 '本藥品禁用於已知對Cefiderocol及本品中任何賦形劑產生嚴重過敏反應的病人' https://mcp.fda.gov.tw/im_detail_1/%E8%A1%9B%E9%83%A8%E8%97%A5%E8%BC%B8%E5%AD%97%E7%AC%AC028637%E8%99%9F; US FDA label §4; UK SmPC §4.3</t>
        </is>
      </c>
      <c r="J1184" s="3" t="inlineStr">
        <is>
          <t>Open</t>
        </is>
      </c>
      <c r="K1184" s="3" t="inlineStr"/>
    </row>
    <row r="1185">
      <c r="A1185" s="3" t="n">
        <v>539</v>
      </c>
      <c r="B1185" s="3" t="inlineStr">
        <is>
          <t>Fetroja (Cefiderocol) (FET01)</t>
        </is>
      </c>
      <c r="C1185" s="9" t="inlineStr">
        <is>
          <t>Low</t>
        </is>
      </c>
      <c r="D1185" s="3" t="inlineStr">
        <is>
          <t>Contraindication/warning</t>
        </is>
      </c>
      <c r="E1185" s="3" t="inlineStr"/>
      <c r="F1185" s="3" t="inlineStr">
        <is>
          <t>Use TW insert contraindication wording; note US/UK differences</t>
        </is>
      </c>
      <c r="G1185" s="3" t="inlineStr">
        <is>
          <t>Severe hypersensitivity to cefiderocol, other beta-lactam antibacterial drugs, or any other component of the formulation.</t>
        </is>
      </c>
      <c r="H1185" s="3" t="inlineStr">
        <is>
          <t>TW insert §4, the stocked product's label: contraindicated only in severe hypersensitivity to cefiderocol or any excipient. The hospital text matches the US label §4, not the Taiwan label. The UK §4.3 is broader again.</t>
        </is>
      </c>
      <c r="I1185" s="3" t="inlineStr">
        <is>
          <t>Taiwan insert §4 — https://mcp.fda.gov.tw/im_detail_1/%E8%A1%9B%E9%83%A8%E8%97%A5%E8%BC%B8%E5%AD%97%E7%AC%AC028637%E8%99%9F</t>
        </is>
      </c>
      <c r="J1185" s="3" t="inlineStr">
        <is>
          <t>Open</t>
        </is>
      </c>
      <c r="K1185" s="3" t="inlineStr"/>
    </row>
    <row r="1186">
      <c r="A1186" s="3" t="n">
        <v>534</v>
      </c>
      <c r="B1186" s="3" t="inlineStr">
        <is>
          <t>Fetroja (Cefiderocol) (FET01)</t>
        </is>
      </c>
      <c r="C1186" s="9" t="inlineStr">
        <is>
          <t>Low</t>
        </is>
      </c>
      <c r="D1186" s="3" t="inlineStr">
        <is>
          <t>Dosing – renal/dialysis</t>
        </is>
      </c>
      <c r="E1186" s="3" t="inlineStr"/>
      <c r="F1186" s="3" t="inlineStr">
        <is>
          <t>Fix encoding: CrCl ≥120 mL/min (not '?')</t>
        </is>
      </c>
      <c r="G1186" s="3" t="inlineStr">
        <is>
          <t>'CrCl ?120 mL/minute' (the '≥' sign shows as '?')</t>
        </is>
      </c>
      <c r="H1186" s="3" t="inlineStr">
        <is>
          <t>CrCl ≥120 mL/min: 2 g q6h</t>
        </is>
      </c>
      <c r="I1186" s="3" t="inlineStr">
        <is>
          <t>US FDA label §2.2; TW 仿單 表3-1</t>
        </is>
      </c>
      <c r="J1186" s="3" t="inlineStr">
        <is>
          <t>Open</t>
        </is>
      </c>
      <c r="K1186" s="3" t="inlineStr"/>
    </row>
    <row r="1187">
      <c r="A1187" s="3" t="n">
        <v>542</v>
      </c>
      <c r="B1187" s="3" t="inlineStr">
        <is>
          <t>Fetroja (Cefiderocol) (FET01)</t>
        </is>
      </c>
      <c r="C1187" s="9" t="inlineStr">
        <is>
          <t>Low</t>
        </is>
      </c>
      <c r="D1187" s="3" t="inlineStr">
        <is>
          <t>Dosing – renal/dialysis</t>
        </is>
      </c>
      <c r="E1187" s="3" t="inlineStr"/>
      <c r="F1187" s="3" t="inlineStr">
        <is>
          <t>Fix '?' to '≥': CrCl ≥120 mL/min 2 g q6h over 3 h</t>
        </is>
      </c>
      <c r="G1187" s="3" t="inlineStr">
        <is>
          <t>'For patients with CrCl ?120 mL/minute' and 'CrCl ?120 mL/minute: 2 g every 6 hours'</t>
        </is>
      </c>
      <c r="H1187" s="3" t="inlineStr">
        <is>
          <t>Should read CrCl ≥120 mL/min: 2 g q6h over 3 h. The '≥' sign is shown as '?'.</t>
        </is>
      </c>
      <c r="I1187" s="3" t="inlineStr">
        <is>
          <t>US FDA label §2.2; Taiwan insert 表3-1</t>
        </is>
      </c>
      <c r="J1187" s="3" t="inlineStr">
        <is>
          <t>Open</t>
        </is>
      </c>
      <c r="K1187" s="3" t="inlineStr"/>
    </row>
    <row r="1188">
      <c r="A1188" s="3" t="n">
        <v>382</v>
      </c>
      <c r="B1188" s="3" t="inlineStr">
        <is>
          <t>Flumarin (Flomoxef) (FLU05)</t>
        </is>
      </c>
      <c r="C1188" s="9" t="inlineStr">
        <is>
          <t>Low</t>
        </is>
      </c>
      <c r="D1188" s="3" t="inlineStr">
        <is>
          <t>Dosing – adult</t>
        </is>
      </c>
      <c r="E1188" s="3" t="inlineStr"/>
      <c r="F1188" s="3" t="inlineStr">
        <is>
          <t>Add max 4 g/day in 2–4 doses for refractory/severe infection</t>
        </is>
      </c>
      <c r="G1188" s="3" t="inlineStr">
        <is>
          <t>1-2 g/day IV in 2 doses</t>
        </is>
      </c>
      <c r="H1188" s="3" t="inlineStr">
        <is>
          <t>Matches the label (1-2 g/day in 2 doses). The hospital entry omits the label's maximum of 4 g/day in 2-4 doses for refractory/severe infection.</t>
        </is>
      </c>
      <c r="I1188" s="3" t="inlineStr">
        <is>
          <t>Taiwan insert, 【用法・用量】, https://mcp.fda.gov.tw/insert/pdfcasefile/f00601dd-69fd-4c6e-a282-74a0922a818d</t>
        </is>
      </c>
      <c r="J1188" s="3" t="inlineStr">
        <is>
          <t>Open</t>
        </is>
      </c>
      <c r="K1188" s="3" t="inlineStr"/>
    </row>
    <row r="1189">
      <c r="A1189" s="3" t="n">
        <v>389</v>
      </c>
      <c r="B1189" s="3" t="inlineStr">
        <is>
          <t>Flumarin (Flomoxef) (FLU05)</t>
        </is>
      </c>
      <c r="C1189" s="9" t="inlineStr">
        <is>
          <t>Low</t>
        </is>
      </c>
      <c r="D1189" s="3" t="inlineStr">
        <is>
          <t>Pharmacokinetics/other</t>
        </is>
      </c>
      <c r="E1189" s="3" t="inlineStr"/>
      <c r="F1189" s="3" t="inlineStr">
        <is>
          <t>No change; verification note—Notion renal table appears copied from hospital site</t>
        </is>
      </c>
      <c r="G1189" s="3" t="inlineStr">
        <is>
          <t>(FLU05 contents as given in the source brief; the site's drug search is JavaScript-driven, so I did not re-open the FLU05 page myself)</t>
        </is>
      </c>
      <c r="H1189" s="3" t="inlineStr">
        <is>
          <t>The hospital renal table matches the unsourced CrCl table in the Notion column and body, which suggests the Notion content came from the hospital site or a shared secondary source rather than the label.</t>
        </is>
      </c>
      <c r="I1189" s="3" t="inlineStr">
        <is>
          <t>https://pharmacy.fjuh.fju.edu.tw/ (homepage reachable, HTTP 200); Notion page https://app.notion.com/p/23ec496dfff180a7b633d3805cc6d755</t>
        </is>
      </c>
      <c r="J1189" s="3" t="inlineStr">
        <is>
          <t>Open</t>
        </is>
      </c>
      <c r="K1189" s="3" t="inlineStr"/>
    </row>
    <row r="1190">
      <c r="A1190" s="3" t="n">
        <v>378</v>
      </c>
      <c r="B1190" s="3" t="inlineStr">
        <is>
          <t>Flumarin (Flomoxef) (FLU05)</t>
        </is>
      </c>
      <c r="C1190" s="9" t="inlineStr">
        <is>
          <t>Low</t>
        </is>
      </c>
      <c r="D1190" s="3" t="inlineStr">
        <is>
          <t>Pregnancy</t>
        </is>
      </c>
      <c r="E1190" s="3" t="inlineStr">
        <is>
          <t>FDA letter category</t>
        </is>
      </c>
      <c r="F1190" s="3" t="inlineStr">
        <is>
          <t>Remove category B; state safety not established, use if benefit outweighs risk</t>
        </is>
      </c>
      <c r="G1190" s="3" t="inlineStr">
        <is>
          <t>B</t>
        </is>
      </c>
      <c r="H1190" s="3" t="inlineStr">
        <is>
          <t>Safety in pregnancy not established; use only if benefit outweighs risk. No letter category. FDA letter categories are retired, and flomoxef has no FDA label.</t>
        </is>
      </c>
      <c r="I1190" s="3" t="inlineStr">
        <is>
          <t>Taiwan insert, 【使用注意事項】八, https://mcp.fda.gov.tw/insert/pdfcasefile/f00601dd-69fd-4c6e-a282-74a0922a818d</t>
        </is>
      </c>
      <c r="J1190" s="3" t="inlineStr">
        <is>
          <t>Open</t>
        </is>
      </c>
      <c r="K1190" s="3" t="inlineStr"/>
    </row>
    <row r="1191">
      <c r="A1191" s="3" t="n">
        <v>385</v>
      </c>
      <c r="B1191" s="3" t="inlineStr">
        <is>
          <t>Flumarin (Flomoxef) (FLU05)</t>
        </is>
      </c>
      <c r="C1191" s="9" t="inlineStr">
        <is>
          <t>Low</t>
        </is>
      </c>
      <c r="D1191" s="3" t="inlineStr">
        <is>
          <t>Pregnancy</t>
        </is>
      </c>
      <c r="E1191" s="3" t="inlineStr">
        <is>
          <t>FDA letter category</t>
        </is>
      </c>
      <c r="F1191" s="3" t="inlineStr">
        <is>
          <t>Remove letter B; use TW insert wording (safety not established)</t>
        </is>
      </c>
      <c r="G1191" s="3" t="inlineStr">
        <is>
          <t>B</t>
        </is>
      </c>
      <c r="H1191" s="3" t="inlineStr">
        <is>
          <t>No letter category (FDA letter categories are retired, and the drug has no FDA label). The insert says safety in pregnancy is not established; use only if benefit outweighs risk.</t>
        </is>
      </c>
      <c r="I1191" s="3" t="inlineStr">
        <is>
          <t>Taiwan insert Flumarin 1g, 使用注意事項 八 — https://mcp.fda.gov.tw/insert/pdfcasefile/f00601dd-69fd-4c6e-a282-74a0922a818d</t>
        </is>
      </c>
      <c r="J1191" s="3" t="inlineStr">
        <is>
          <t>Open</t>
        </is>
      </c>
      <c r="K1191" s="3" t="inlineStr"/>
    </row>
    <row r="1192">
      <c r="A1192" s="3" t="n">
        <v>943</v>
      </c>
      <c r="B1192" s="3" t="inlineStr">
        <is>
          <t>Flusine (Flucytosine) (FLU07)</t>
        </is>
      </c>
      <c r="C1192" s="9" t="inlineStr">
        <is>
          <t>Low</t>
        </is>
      </c>
      <c r="D1192" s="3" t="inlineStr">
        <is>
          <t>Breastfeeding</t>
        </is>
      </c>
      <c r="E1192" s="3" t="inlineStr"/>
      <c r="F1192" s="3" t="inlineStr">
        <is>
          <t>Change to label wording: decide to stop nursing or drug; no LactMed record</t>
        </is>
      </c>
      <c r="G1192" s="3" t="inlineStr">
        <is>
          <t>Excretion in breast milk unknown/ not recommended.</t>
        </is>
      </c>
      <c r="H1192" s="3" t="inlineStr">
        <is>
          <t>The US label does not say 'not recommended'. It says to decide whether to stop nursing or stop the drug, taking into account how important the drug is to the mother. The TW insert has no information, and LactMed has no record. This is a minor wording difference.</t>
        </is>
      </c>
      <c r="I1192" s="3" t="inlineStr">
        <is>
          <t>US label Nursing Mothers; TW 仿單 §6.2</t>
        </is>
      </c>
      <c r="J1192" s="3" t="inlineStr">
        <is>
          <t>Open</t>
        </is>
      </c>
      <c r="K1192" s="3" t="inlineStr"/>
    </row>
    <row r="1193">
      <c r="A1193" s="3" t="n">
        <v>953</v>
      </c>
      <c r="B1193" s="3" t="inlineStr">
        <is>
          <t>Flusine (Flucytosine) (FLU07)</t>
        </is>
      </c>
      <c r="C1193" s="9" t="inlineStr">
        <is>
          <t>Low</t>
        </is>
      </c>
      <c r="D1193" s="3" t="inlineStr">
        <is>
          <t>Breastfeeding</t>
        </is>
      </c>
      <c r="E1193" s="3" t="inlineStr"/>
      <c r="F1193" s="3" t="inlineStr">
        <is>
          <t>Change to label wording: decide to discontinue nursing or drug</t>
        </is>
      </c>
      <c r="G1193" s="3" t="inlineStr">
        <is>
          <t>Excretion in breast milk unknown/ not recommended</t>
        </is>
      </c>
      <c r="H1193" s="3" t="inlineStr">
        <is>
          <t>The US label says to decide whether to discontinue nursing or the drug, weighing its importance to the mother; it does not say 'not recommended'. TW insert: 目前尚無資訊. There is no LactMed record.</t>
        </is>
      </c>
      <c r="I1193" s="3" t="inlineStr">
        <is>
          <t>US label Nursing Mothers</t>
        </is>
      </c>
      <c r="J1193" s="3" t="inlineStr">
        <is>
          <t>Open</t>
        </is>
      </c>
      <c r="K1193" s="3" t="inlineStr"/>
    </row>
    <row r="1194">
      <c r="A1194" s="3" t="n">
        <v>944</v>
      </c>
      <c r="B1194" s="3" t="inlineStr">
        <is>
          <t>Flusine (Flucytosine) (FLU07)</t>
        </is>
      </c>
      <c r="C1194" s="9" t="inlineStr">
        <is>
          <t>Low</t>
        </is>
      </c>
      <c r="D1194" s="3" t="inlineStr">
        <is>
          <t>Pharmacokinetics/other</t>
        </is>
      </c>
      <c r="E1194" s="3" t="inlineStr"/>
      <c r="F1194" s="3" t="inlineStr">
        <is>
          <t>Update storage to below 25°C per TW insert (report only)</t>
        </is>
      </c>
      <c r="G1194" s="3" t="inlineStr">
        <is>
          <t>請置於 15-30℃ 乾燥處儲存</t>
        </is>
      </c>
      <c r="H1194" s="3" t="inlineStr">
        <is>
          <t>The TW insert for Flusine tablets says 請儲存於 25℃ 以下. Per the owner's rule this is reported here only and is not added to Notion.</t>
        </is>
      </c>
      <c r="I1194" s="3" t="inlineStr">
        <is>
          <t>TW 仿單 §13.3 https://mcp.fda.gov.tw/im_detail_1/%E8%A1%9B%E7%BD%B2%E8%97%A5%E8%A3%BD%E5%AD%97%E7%AC%AC048355%E8%99%9F</t>
        </is>
      </c>
      <c r="J1194" s="3" t="inlineStr">
        <is>
          <t>Open</t>
        </is>
      </c>
      <c r="K1194" s="3" t="inlineStr"/>
    </row>
    <row r="1195">
      <c r="A1195" s="3" t="n">
        <v>954</v>
      </c>
      <c r="B1195" s="3" t="inlineStr">
        <is>
          <t>Flusine (Flucytosine) (FLU07)</t>
        </is>
      </c>
      <c r="C1195" s="9" t="inlineStr">
        <is>
          <t>Low</t>
        </is>
      </c>
      <c r="D1195" s="3" t="inlineStr">
        <is>
          <t>Pharmacokinetics/other</t>
        </is>
      </c>
      <c r="E1195" s="3" t="inlineStr"/>
      <c r="F1195" s="3" t="inlineStr">
        <is>
          <t>Use label ESRD t½: average 85 h, range 29.9–250 h; remove unsourced 75–200 h</t>
        </is>
      </c>
      <c r="G1195" s="3" t="inlineStr">
        <is>
          <t>(Anuria) 85 hours; (ESRD) 75-200 hours</t>
        </is>
      </c>
      <c r="H1195" s="3" t="inlineStr">
        <is>
          <t>US label: average 85 h in nephrectomized or anuric patients, range 29.9–250 h. The site's ESRD range 75–200 h has no label source.</t>
        </is>
      </c>
      <c r="I1195" s="3" t="inlineStr">
        <is>
          <t>US label CLINICAL PHARMACOLOGY</t>
        </is>
      </c>
      <c r="J1195" s="3" t="inlineStr">
        <is>
          <t>Open</t>
        </is>
      </c>
      <c r="K1195" s="3" t="inlineStr"/>
    </row>
    <row r="1196">
      <c r="A1196" s="3" t="n">
        <v>955</v>
      </c>
      <c r="B1196" s="3" t="inlineStr">
        <is>
          <t>Flusine (Flucytosine) (FLU07)</t>
        </is>
      </c>
      <c r="C1196" s="9" t="inlineStr">
        <is>
          <t>Low</t>
        </is>
      </c>
      <c r="D1196" s="3" t="inlineStr">
        <is>
          <t>Pharmacokinetics/other</t>
        </is>
      </c>
      <c r="E1196" s="3" t="inlineStr"/>
      <c r="F1196" s="3" t="inlineStr">
        <is>
          <t>Update storage to below 25°C (report only)</t>
        </is>
      </c>
      <c r="G1196" s="3" t="inlineStr">
        <is>
          <t>請置於 15-30℃ 乾燥處儲存</t>
        </is>
      </c>
      <c r="H1196" s="3" t="inlineStr">
        <is>
          <t>The TW insert for the stocked product says 請儲存於 25℃ 以下.</t>
        </is>
      </c>
      <c r="I1196" s="3" t="inlineStr">
        <is>
          <t>TW 仿單 §13.3 https://mcp.fda.gov.tw/im_detail_1/%E8%A1%9B%E7%BD%B2%E8%97%A5%E8%A3%BD%E5%AD%97%E7%AC%AC048355%E8%99%9F</t>
        </is>
      </c>
      <c r="J1196" s="3" t="inlineStr">
        <is>
          <t>Open</t>
        </is>
      </c>
      <c r="K1196" s="3" t="inlineStr"/>
    </row>
    <row r="1197">
      <c r="A1197" s="3" t="n">
        <v>934</v>
      </c>
      <c r="B1197" s="3" t="inlineStr">
        <is>
          <t>Flusine (Flucytosine) (FLU07)</t>
        </is>
      </c>
      <c r="C1197" s="9" t="inlineStr">
        <is>
          <t>Low</t>
        </is>
      </c>
      <c r="D1197" s="3" t="inlineStr">
        <is>
          <t>Pregnancy</t>
        </is>
      </c>
      <c r="E1197" s="3" t="inlineStr">
        <is>
          <t>FDA letter category</t>
        </is>
      </c>
      <c r="F1197" s="3" t="inlineStr">
        <is>
          <t>Remove letter C; teratogenic in rats, avoid especially 1st trimester (ECMM 2024)</t>
        </is>
      </c>
      <c r="G1197" s="3" t="inlineStr">
        <is>
          <t>C [FDA]</t>
        </is>
      </c>
      <c r="H1197" s="3" t="inlineStr">
        <is>
          <t>The FDA letter categories are retired, and the current US label is narrative only: teratogenic in rats, crosses the placenta in rats, use only if benefit justifies risk. The TW insert has no information. ECMM 2024: avoid 5-FC in pregnancy, especially in the first trimester (DII).</t>
        </is>
      </c>
      <c r="I1197" s="3" t="inlineStr">
        <is>
          <t>US label Pregnancy https://dailymed.nlm.nih.gov/dailymed/drugInfo.cfm?setid=01d874f9-e073-4092-94ad-da361551d4bf; TW 仿單 §6.1; ECMM 2024 PMID 38346436</t>
        </is>
      </c>
      <c r="J1197" s="3" t="inlineStr">
        <is>
          <t>Open</t>
        </is>
      </c>
      <c r="K1197" s="3" t="inlineStr"/>
    </row>
    <row r="1198">
      <c r="A1198" s="3" t="n">
        <v>945</v>
      </c>
      <c r="B1198" s="3" t="inlineStr">
        <is>
          <t>Flusine (Flucytosine) (FLU07)</t>
        </is>
      </c>
      <c r="C1198" s="9" t="inlineStr">
        <is>
          <t>Low</t>
        </is>
      </c>
      <c r="D1198" s="3" t="inlineStr">
        <is>
          <t>Pregnancy</t>
        </is>
      </c>
      <c r="E1198" s="3" t="inlineStr">
        <is>
          <t>FDA letter category</t>
        </is>
      </c>
      <c r="F1198" s="3" t="inlineStr">
        <is>
          <t>Remove letter C; narrative: teratogenic in rats, avoid in 1st trimester</t>
        </is>
      </c>
      <c r="G1198" s="3" t="inlineStr">
        <is>
          <t>C [FDA]</t>
        </is>
      </c>
      <c r="H1198" s="3" t="inlineStr">
        <is>
          <t>The current US label uses a narrative only: teratogenic in rats; use only if benefit justifies risk. FDA letter categories are retired. ECMM/ISHAM 2024: avoid, especially in the 1st trimester. TW insert: 目前尚無資訊.</t>
        </is>
      </c>
      <c r="I1198" s="3" t="inlineStr">
        <is>
          <t>US label Pregnancy https://dailymed.nlm.nih.gov/dailymed/drugInfo.cfm?setid=01d874f9-e073-4092-94ad-da361551d4bf; PMID 38346436</t>
        </is>
      </c>
      <c r="J1198" s="3" t="inlineStr">
        <is>
          <t>Open</t>
        </is>
      </c>
      <c r="K1198" s="3" t="inlineStr"/>
    </row>
    <row r="1199">
      <c r="A1199" s="3" t="n">
        <v>908</v>
      </c>
      <c r="B1199" s="3" t="inlineStr">
        <is>
          <t>Fungizone (Amphotericin B deoxycholate) (FUN01)</t>
        </is>
      </c>
      <c r="C1199" s="9" t="inlineStr">
        <is>
          <t>Low</t>
        </is>
      </c>
      <c r="D1199" s="3" t="inlineStr">
        <is>
          <t>Contraindication/warning</t>
        </is>
      </c>
      <c r="E1199" s="3" t="inlineStr"/>
      <c r="F1199" s="3" t="inlineStr">
        <is>
          <t>Add label exception: unless life-threatening and amenable only to amphotericin B</t>
        </is>
      </c>
      <c r="G1199" s="3" t="inlineStr">
        <is>
          <t>Hypersensitivity to amphotericin or any component of the formulation</t>
        </is>
      </c>
      <c r="H1199" s="3" t="inlineStr">
        <is>
          <t>Hypersensitivity, unless in the physician's opinion the condition is life-threatening and amenable only to amphotericin B therapy (a relative, not absolute, contraindication).</t>
        </is>
      </c>
      <c r="I1199" s="3" t="inlineStr">
        <is>
          <t>US label CONTRAINDICATIONS; UK SmPC 4.3; TW 仿單 4</t>
        </is>
      </c>
      <c r="J1199" s="3" t="inlineStr">
        <is>
          <t>Open</t>
        </is>
      </c>
      <c r="K1199" s="3" t="inlineStr"/>
    </row>
    <row r="1200">
      <c r="A1200" s="3" t="n">
        <v>916</v>
      </c>
      <c r="B1200" s="3" t="inlineStr">
        <is>
          <t>Fungizone (Amphotericin B deoxycholate) (FUN01)</t>
        </is>
      </c>
      <c r="C1200" s="9" t="inlineStr">
        <is>
          <t>Low</t>
        </is>
      </c>
      <c r="D1200" s="3" t="inlineStr">
        <is>
          <t>Contraindication/warning</t>
        </is>
      </c>
      <c r="E1200" s="3" t="inlineStr"/>
      <c r="F1200" s="3" t="inlineStr">
        <is>
          <t>Add exception clause: unless life-threatening and amenable only to amphotericin B</t>
        </is>
      </c>
      <c r="G1200" s="3" t="inlineStr">
        <is>
          <t>Hypersensitivity to amphotericin or any component of the formulation</t>
        </is>
      </c>
      <c r="H1200" s="3" t="inlineStr">
        <is>
          <t>All three labels add an exception: '…unless, in the opinion of the physician, the condition requiring treatment is life-threatening and amenable only to amphotericin B therapy.'</t>
        </is>
      </c>
      <c r="I1200" s="3" t="inlineStr">
        <is>
          <t>US label CONTRAINDICATIONS https://dailymed.nlm.nih.gov/dailymed/drugInfo.cfm?setid=a0a54943-9ce4-4f3e-b681-a1a9144c16ce; Taiwan insert 4 禁忌 https://mcp.fda.gov.tw/insert/pdfcasefile/i_fc98beb7-e474-4ca5-a89f-8df7b30688a5</t>
        </is>
      </c>
      <c r="J1200" s="3" t="inlineStr">
        <is>
          <t>Open</t>
        </is>
      </c>
      <c r="K1200" s="3" t="inlineStr"/>
    </row>
    <row r="1201">
      <c r="A1201" s="3" t="n">
        <v>903</v>
      </c>
      <c r="B1201" s="3" t="inlineStr">
        <is>
          <t>Fungizone (Amphotericin B deoxycholate) (FUN01)</t>
        </is>
      </c>
      <c r="C1201" s="9" t="inlineStr">
        <is>
          <t>Low</t>
        </is>
      </c>
      <c r="D1201" s="3" t="inlineStr">
        <is>
          <t>Indication/coverage</t>
        </is>
      </c>
      <c r="E1201" s="3" t="inlineStr"/>
      <c r="F1201" s="3" t="inlineStr">
        <is>
          <t>Change bag-label use from 抗生素 to 抗黴菌藥 / 治療黴菌感染</t>
        </is>
      </c>
      <c r="G1201" s="3" t="inlineStr">
        <is>
          <t>抗生素 (antibiotic)</t>
        </is>
      </c>
      <c r="H1201" s="3" t="inlineStr">
        <is>
          <t>An antifungal for progressive, potentially life-threatening fungal infections. The label calls it a 'polyene antibiotic' chemically, but it has no effect on bacteria ('without effect on bacteria, rickettsiae, and viruses'), so '抗生素' misleads patients. It should read 抗黴菌藥 / 治療黴菌感染.</t>
        </is>
      </c>
      <c r="I1201" s="3" t="inlineStr">
        <is>
          <t>US label Microbiology &amp; Indications https://dailymed.nlm.nih.gov/dailymed/drugInfo.cfm?setid=a0a54943-9ce4-4f3e-b681-a1a9144c16ce ; TW 仿單 2 https://mcp.fda.gov.tw/insert/pdfcasefile/i_fc98beb7-e474-4ca5-a89f-8df7b30688a5</t>
        </is>
      </c>
      <c r="J1201" s="3" t="inlineStr">
        <is>
          <t>Open</t>
        </is>
      </c>
      <c r="K1201" s="3" t="inlineStr"/>
    </row>
    <row r="1202">
      <c r="A1202" s="3" t="n">
        <v>912</v>
      </c>
      <c r="B1202" s="3" t="inlineStr">
        <is>
          <t>Fungizone (Amphotericin B deoxycholate) (FUN01)</t>
        </is>
      </c>
      <c r="C1202" s="9" t="inlineStr">
        <is>
          <t>Low</t>
        </is>
      </c>
      <c r="D1202" s="3" t="inlineStr">
        <is>
          <t>Indication/coverage</t>
        </is>
      </c>
      <c r="E1202" s="3" t="inlineStr"/>
      <c r="F1202" s="3" t="inlineStr">
        <is>
          <t>Change bag-label use from 抗生素 to 抗黴菌藥</t>
        </is>
      </c>
      <c r="G1202" s="3" t="inlineStr">
        <is>
          <t>抗生素</t>
        </is>
      </c>
      <c r="H1202" s="3" t="inlineStr">
        <is>
          <t>An antifungal (Taiwan insert: 抗真菌多烯抗生素; ATC J02AA01, antimycotics for systemic use). The labels do use the word 'antibiotic', but on a patient bag label '抗生素' suggests an antibacterial; 抗黴菌藥 would be accurate.</t>
        </is>
      </c>
      <c r="I1202" s="3" t="inlineStr">
        <is>
          <t>Taiwan insert 1 成分 https://mcp.fda.gov.tw/insert/pdfcasefile/i_fc98beb7-e474-4ca5-a89f-8df7b30688a5; UK SmPC 5.1 https://www.medicines.org.uk/emc/product/10716/smpc</t>
        </is>
      </c>
      <c r="J1202" s="3" t="inlineStr">
        <is>
          <t>Open</t>
        </is>
      </c>
      <c r="K1202" s="3" t="inlineStr"/>
    </row>
    <row r="1203">
      <c r="A1203" s="3" t="n">
        <v>909</v>
      </c>
      <c r="B1203" s="3" t="inlineStr">
        <is>
          <t>Fungizone (Amphotericin B deoxycholate) (FUN01)</t>
        </is>
      </c>
      <c r="C1203" s="9" t="inlineStr">
        <is>
          <t>Low</t>
        </is>
      </c>
      <c r="D1203" s="3" t="inlineStr">
        <is>
          <t>Pharmacokinetics/other</t>
        </is>
      </c>
      <c r="E1203" s="3" t="inlineStr"/>
      <c r="F1203" s="3" t="inlineStr">
        <is>
          <t>Remove unsourced macrophage-stimulation mechanism claim</t>
        </is>
      </c>
      <c r="G1203" s="3" t="inlineStr">
        <is>
          <t>…Proposed mechanism suggests that amphotericin causes an oxidation-dependent stimulation of macrophages</t>
        </is>
      </c>
      <c r="H1203" s="3" t="inlineStr">
        <is>
          <t>The labels describe only sterol binding causing increased membrane permeability and leakage of intracellular components (fungistatic or fungicidal). The macrophage-stimulation claim is not in any label (unsourced).</t>
        </is>
      </c>
      <c r="I1203" s="3" t="inlineStr">
        <is>
          <t>US label Pharmacokinetics; UK SmPC 5.1; TW 仿單 9.1</t>
        </is>
      </c>
      <c r="J1203" s="3" t="inlineStr">
        <is>
          <t>Open</t>
        </is>
      </c>
      <c r="K1203" s="3" t="inlineStr"/>
    </row>
    <row r="1204">
      <c r="A1204" s="3" t="n">
        <v>918</v>
      </c>
      <c r="B1204" s="3" t="inlineStr">
        <is>
          <t>Fungizone (Amphotericin B deoxycholate) (FUN01)</t>
        </is>
      </c>
      <c r="C1204" s="9" t="inlineStr">
        <is>
          <t>Low</t>
        </is>
      </c>
      <c r="D1204" s="3" t="inlineStr">
        <is>
          <t>Pharmacokinetics/other</t>
        </is>
      </c>
      <c r="E1204" s="3" t="inlineStr"/>
      <c r="F1204" s="3" t="inlineStr">
        <is>
          <t>Remove unsourced macrophage-stimulation mechanism statement</t>
        </is>
      </c>
      <c r="G1204" s="3" t="inlineStr">
        <is>
          <t>Includes 'Proposed mechanism suggests that amphotericin causes an oxidation-dependent stimulation of macrophages'</t>
        </is>
      </c>
      <c r="H1204" s="3" t="inlineStr">
        <is>
          <t>Not in any official label. The labels describe only binding to membrane sterols with leakage of cell contents. The extra claim is unsourced.</t>
        </is>
      </c>
      <c r="I1204" s="3" t="inlineStr">
        <is>
          <t>US label Pharmacokinetics https://dailymed.nlm.nih.gov/dailymed/drugInfo.cfm?setid=a0a54943-9ce4-4f3e-b681-a1a9144c16ce; UK SmPC 5.1 https://www.medicines.org.uk/emc/product/10716/smpc</t>
        </is>
      </c>
      <c r="J1204" s="3" t="inlineStr">
        <is>
          <t>Open</t>
        </is>
      </c>
      <c r="K1204" s="3" t="inlineStr"/>
    </row>
    <row r="1205">
      <c r="A1205" s="3" t="n">
        <v>902</v>
      </c>
      <c r="B1205" s="3" t="inlineStr">
        <is>
          <t>Fungizone (Amphotericin B deoxycholate) (FUN01)</t>
        </is>
      </c>
      <c r="C1205" s="9" t="inlineStr">
        <is>
          <t>Low</t>
        </is>
      </c>
      <c r="D1205" s="3" t="inlineStr">
        <is>
          <t>Pregnancy</t>
        </is>
      </c>
      <c r="E1205" s="3" t="inlineStr">
        <is>
          <t>FDA letter category</t>
        </is>
      </c>
      <c r="F1205" s="3" t="inlineStr">
        <is>
          <t>Remove retired letter B; use narrative: use only if clearly indicated/benefit outweighs risk</t>
        </is>
      </c>
      <c r="G1205" s="3" t="inlineStr">
        <is>
          <t>B</t>
        </is>
      </c>
      <c r="H1205" s="3" t="inlineStr">
        <is>
          <t>The FDA retired letter categories under PLLR. Labels give only a narrative: no harm in animal studies, a few successful human cases, use only if clearly indicated (US), or if benefit outweighs risk (UK 4.6 / TW 5.2). The TW insert of the stocked product has no letter category.</t>
        </is>
      </c>
      <c r="I1205" s="3" t="inlineStr">
        <is>
          <t>US label Teratogenic Effects https://dailymed.nlm.nih.gov/dailymed/drugInfo.cfm?setid=a0a54943-9ce4-4f3e-b681-a1a9144c16ce ; TW 仿單 5.2 https://mcp.fda.gov.tw/insert/pdfcasefile/i_fc98beb7-e474-4ca5-a89f-8df7b30688a5</t>
        </is>
      </c>
      <c r="J1205" s="3" t="inlineStr">
        <is>
          <t>Open</t>
        </is>
      </c>
      <c r="K1205" s="3" t="inlineStr"/>
    </row>
    <row r="1206">
      <c r="A1206" s="3" t="n">
        <v>911</v>
      </c>
      <c r="B1206" s="3" t="inlineStr">
        <is>
          <t>Fungizone (Amphotericin B deoxycholate) (FUN01)</t>
        </is>
      </c>
      <c r="C1206" s="9" t="inlineStr">
        <is>
          <t>Low</t>
        </is>
      </c>
      <c r="D1206" s="3" t="inlineStr">
        <is>
          <t>Pregnancy</t>
        </is>
      </c>
      <c r="E1206" s="3" t="inlineStr">
        <is>
          <t>FDA letter category</t>
        </is>
      </c>
      <c r="F1206" s="3" t="inlineStr">
        <is>
          <t>Remove retired letter B; use benefit-outweighs-risk narrative</t>
        </is>
      </c>
      <c r="G1206" s="3" t="inlineStr">
        <is>
          <t>B</t>
        </is>
      </c>
      <c r="H1206" s="3" t="inlineStr">
        <is>
          <t>The FDA retired letter categories. The UK SmPC 4.6 and Taiwan insert 5.2 give no letter, only 'use only if benefit outweighs risk'. The US X-Gen label still prints the outdated 'Category B'.</t>
        </is>
      </c>
      <c r="I1206" s="3" t="inlineStr">
        <is>
          <t>UK SmPC 4.6 https://www.medicines.org.uk/emc/product/10716/smpc; Taiwan insert 5.2 https://mcp.fda.gov.tw/insert/pdfcasefile/i_fc98beb7-e474-4ca5-a89f-8df7b30688a5</t>
        </is>
      </c>
      <c r="J1206" s="3" t="inlineStr">
        <is>
          <t>Open</t>
        </is>
      </c>
      <c r="K1206" s="3" t="inlineStr"/>
    </row>
    <row r="1207">
      <c r="A1207" s="3" t="n">
        <v>1033</v>
      </c>
      <c r="B1207" s="3" t="inlineStr">
        <is>
          <t>Ganciclovir (GAN03)</t>
        </is>
      </c>
      <c r="C1207" s="9" t="inlineStr">
        <is>
          <t>Low</t>
        </is>
      </c>
      <c r="D1207" s="3" t="inlineStr">
        <is>
          <t>Pharmacokinetics/other</t>
        </is>
      </c>
      <c r="E1207" s="3" t="inlineStr"/>
      <c r="F1207" s="3" t="inlineStr">
        <is>
          <t>Remove oral half-life; excretion &gt;90% unchanged; t½ ~10× longer in severe renal impairment</t>
        </is>
      </c>
      <c r="G1207" s="3" t="inlineStr">
        <is>
          <t>Half-life lists 'Oral: 4.8 ± 0.9 hours' and a truncated 'CrCl' entry; excretion 'Urine (80% to 99% as unchanged drug)'</t>
        </is>
      </c>
      <c r="H1207" s="3" t="inlineStr">
        <is>
          <t>Oral ganciclovir is no longer available. Labels give &gt;90% (91.3 ± 5%) excreted unchanged in urine, and t½ is prolonged ~10-fold in severe renal impairment.</t>
        </is>
      </c>
      <c r="I1207" s="3" t="inlineStr">
        <is>
          <t>US FDA §12.3; UK SmPC §4.8/§5.2</t>
        </is>
      </c>
      <c r="J1207" s="3" t="inlineStr">
        <is>
          <t>Open</t>
        </is>
      </c>
      <c r="K1207" s="3" t="inlineStr"/>
    </row>
    <row r="1208">
      <c r="A1208" s="3" t="n">
        <v>1035</v>
      </c>
      <c r="B1208" s="3" t="inlineStr">
        <is>
          <t>Ganciclovir (GAN03)</t>
        </is>
      </c>
      <c r="C1208" s="9" t="inlineStr">
        <is>
          <t>Low</t>
        </is>
      </c>
      <c r="D1208" s="3" t="inlineStr">
        <is>
          <t>Pharmacokinetics/other</t>
        </is>
      </c>
      <c r="E1208" s="3" t="inlineStr"/>
      <c r="F1208" s="3" t="inlineStr">
        <is>
          <t>Fill strength 500 mg/10 mL (50 mg/mL); fix 'Necleoside' typo</t>
        </is>
      </c>
      <c r="G1208" s="3" t="inlineStr">
        <is>
          <t>規格 empty; 藥理分類 'Necleoside &amp; Nucleotide Antivirals'</t>
        </is>
      </c>
      <c r="H1208" s="3" t="inlineStr">
        <is>
          <t>Strength is 500 mg/10 mL (50 mg/mL) injection solution. 'Necleoside' is a typo for 'Nucleoside'.</t>
        </is>
      </c>
      <c r="I1208" s="3" t="inlineStr">
        <is>
          <t>Taiwan 仿單 §1.1–1.4</t>
        </is>
      </c>
      <c r="J1208" s="3" t="inlineStr">
        <is>
          <t>Open</t>
        </is>
      </c>
      <c r="K1208" s="3" t="inlineStr"/>
    </row>
    <row r="1209">
      <c r="A1209" s="3" t="n">
        <v>1044</v>
      </c>
      <c r="B1209" s="3" t="inlineStr">
        <is>
          <t>Ganciclovir (GAN03)</t>
        </is>
      </c>
      <c r="C1209" s="9" t="inlineStr">
        <is>
          <t>Low</t>
        </is>
      </c>
      <c r="D1209" s="3" t="inlineStr">
        <is>
          <t>Pharmacokinetics/other</t>
        </is>
      </c>
      <c r="E1209" s="3" t="inlineStr"/>
      <c r="F1209" s="3" t="inlineStr">
        <is>
          <t>Remove oral half-life; add IV t½ 3.5 h and ~10× prolongation in severe renal impairment</t>
        </is>
      </c>
      <c r="G1209" s="3" t="inlineStr">
        <is>
          <t>'Oral: 4.8 ± 0.9 hours'; text truncated at 'CrCl '</t>
        </is>
      </c>
      <c r="H1209" s="3" t="inlineStr">
        <is>
          <t>Oral ganciclovir is no longer available (SmPC 4.8), so the oral value does not apply to the stocked IV product. The renal half-life sentence is cut off. Label IV half-life is 3.5 ± 0.9 h (FDA 12.3) and about 10-fold longer in severe renal impairment (SmPC 5.2).</t>
        </is>
      </c>
      <c r="I1209" s="3" t="inlineStr">
        <is>
          <t>UK SmPC 4.8 and 5.2 https://www.medicines.org.uk/emc/product/10242/smpc; US FDA label 12.3</t>
        </is>
      </c>
      <c r="J1209" s="3" t="inlineStr">
        <is>
          <t>Open</t>
        </is>
      </c>
      <c r="K1209" s="3" t="inlineStr"/>
    </row>
    <row r="1210">
      <c r="A1210" s="3" t="n">
        <v>1025</v>
      </c>
      <c r="B1210" s="3" t="inlineStr">
        <is>
          <t>Ganciclovir (GAN03)</t>
        </is>
      </c>
      <c r="C1210" s="9" t="inlineStr">
        <is>
          <t>Low</t>
        </is>
      </c>
      <c r="D1210" s="3" t="inlineStr">
        <is>
          <t>Pregnancy</t>
        </is>
      </c>
      <c r="E1210" s="3" t="inlineStr">
        <is>
          <t>FDA letter category</t>
        </is>
      </c>
      <c r="F1210" s="3" t="inlineStr">
        <is>
          <t>Remove letter C; use FDA/TW narrative risk summary</t>
        </is>
      </c>
      <c r="G1210" s="3" t="inlineStr">
        <is>
          <t>C; Ganciclovir crosses the placenta…</t>
        </is>
      </c>
      <c r="H1210" s="3" t="inlineStr">
        <is>
          <t>No letter category. The FDA uses the narrative risk summary (letter categories were retired), and the UK SmPC and Taiwan insert use narrative text too.</t>
        </is>
      </c>
      <c r="I1210" s="3" t="inlineStr">
        <is>
          <t>US FDA label §8.1 https://dailymed.nlm.nih.gov/dailymed/drugInfo.cfm?setid=87afd103-6e64-444f-971d-0e732e9ae995; Taiwan 仿單 §6.1</t>
        </is>
      </c>
      <c r="J1210" s="3" t="inlineStr">
        <is>
          <t>Open</t>
        </is>
      </c>
      <c r="K1210" s="3" t="inlineStr"/>
    </row>
    <row r="1211">
      <c r="A1211" s="3" t="n">
        <v>1036</v>
      </c>
      <c r="B1211" s="3" t="inlineStr">
        <is>
          <t>Ganciclovir (GAN03)</t>
        </is>
      </c>
      <c r="C1211" s="9" t="inlineStr">
        <is>
          <t>Low</t>
        </is>
      </c>
      <c r="D1211" s="3" t="inlineStr">
        <is>
          <t>Pregnancy</t>
        </is>
      </c>
      <c r="E1211" s="3" t="inlineStr">
        <is>
          <t>FDA letter category</t>
        </is>
      </c>
      <c r="F1211" s="3" t="inlineStr">
        <is>
          <t>Remove letter C; use FDA/TW narrative and SmPC 4.6 wording</t>
        </is>
      </c>
      <c r="G1211" s="3" t="inlineStr">
        <is>
          <t>C; Ganciclovir crosses the placenta...</t>
        </is>
      </c>
      <c r="H1211" s="3" t="inlineStr">
        <is>
          <t>FDA 8.1 and TW 仿單 6.1 use narrative risk summaries with no letter category (the letter categories were retired). SmPC 4.6: do not use in pregnancy unless the clinical need outweighs the teratogenic risk.</t>
        </is>
      </c>
      <c r="I1211" s="3" t="inlineStr">
        <is>
          <t>US FDA label 8.1 https://dailymed.nlm.nih.gov/dailymed/drugInfo.cfm?setid=87afd103-6e64-444f-971d-0e732e9ae995; TW 仿單 6.1 https://mcp.fda.gov.tw/im_detail_1/%E8%A1%9B%E9%83%A8%E8%97%A5%E8%BC%B8%E5%AD%97%E7%AC%AC028514%E8%99%9F</t>
        </is>
      </c>
      <c r="J1211" s="3" t="inlineStr">
        <is>
          <t>Open</t>
        </is>
      </c>
      <c r="K1211" s="3" t="inlineStr"/>
    </row>
    <row r="1212">
      <c r="A1212" s="3" t="n">
        <v>655</v>
      </c>
      <c r="B1212" s="3" t="inlineStr">
        <is>
          <t>Gentamicin (GEN04)</t>
        </is>
      </c>
      <c r="C1212" s="9" t="inlineStr">
        <is>
          <t>Low</t>
        </is>
      </c>
      <c r="D1212" s="3" t="inlineStr">
        <is>
          <t>Indication/coverage</t>
        </is>
      </c>
      <c r="E1212" s="3" t="inlineStr"/>
      <c r="F1212" s="3" t="inlineStr">
        <is>
          <t>Note outdated TW licence indication; consider flagging to TFDA</t>
        </is>
      </c>
      <c r="G1212" s="3" t="inlineStr">
        <is>
          <t>US-style indication list plus 'Infective endocarditis caused by enterococci, in combination'</t>
        </is>
      </c>
      <c r="H1212" s="3" t="inlineStr">
        <is>
          <t>The TW licence's approved indication for the stocked product is outdated and clinically wrong: '革蘭氏陽性、陰性菌、立克次氏體及巨型濾過性病毒感染症' (it includes rickettsia and 'large virus' infections). The hospital may want to flag this to the licence holder or TFDA. The US label lists endocarditis caused by group D streptococci with a penicillin; enterococcal endocarditis is guideline-based.</t>
        </is>
      </c>
      <c r="I1212" s="3" t="inlineStr">
        <is>
          <t>TW insert 2 – https://mcp.fda.gov.tw/im_detail_1/%E8%A1%9B%E7%BD%B2%E8%97%A5%E8%A3%BD%E5%AD%97%E7%AC%AC008956%E8%99%9F; US FDA label INDICATIONS – https://dailymed.nlm.nih.gov/dailymed/drugInfo.cfm?setid=977180b3-a222-4282-d485-4a3217674305</t>
        </is>
      </c>
      <c r="J1212" s="3" t="inlineStr">
        <is>
          <t>Open</t>
        </is>
      </c>
      <c r="K1212" s="3" t="inlineStr"/>
    </row>
    <row r="1213">
      <c r="A1213" s="3" t="n">
        <v>643</v>
      </c>
      <c r="B1213" s="3" t="inlineStr">
        <is>
          <t>Gentamicin (GEN04)</t>
        </is>
      </c>
      <c r="C1213" s="9" t="inlineStr">
        <is>
          <t>Low</t>
        </is>
      </c>
      <c r="D1213" s="3" t="inlineStr">
        <is>
          <t>Pharmacokinetics/other</t>
        </is>
      </c>
      <c r="E1213" s="3" t="inlineStr"/>
      <c r="F1213" s="3" t="inlineStr">
        <is>
          <t>Add licence 衛署藥製字第008956號 and TFDA insert link</t>
        </is>
      </c>
      <c r="G1213" s="3" t="inlineStr">
        <is>
          <t>仿單 field empty; no licence number shown</t>
        </is>
      </c>
      <c r="H1213" s="3" t="inlineStr">
        <is>
          <t>Stocked product insert: 衛署藥製字第008956號 (生達 僅大黴素注射液), available on TFDA</t>
        </is>
      </c>
      <c r="I1213" s="3" t="inlineStr">
        <is>
          <t>https://mcp.fda.gov.tw/im_detail_1/%E8%A1%9B%E7%BD%B2%E8%97%A5%E8%A3%BD%E5%AD%97%E7%AC%AC008956%E8%99%9F</t>
        </is>
      </c>
      <c r="J1213" s="3" t="inlineStr">
        <is>
          <t>Open</t>
        </is>
      </c>
      <c r="K1213" s="3" t="inlineStr"/>
    </row>
    <row r="1214">
      <c r="A1214" s="3" t="n">
        <v>644</v>
      </c>
      <c r="B1214" s="3" t="inlineStr">
        <is>
          <t>Gentamicin (GEN04)</t>
        </is>
      </c>
      <c r="C1214" s="9" t="inlineStr">
        <is>
          <t>Low</t>
        </is>
      </c>
      <c r="D1214" s="3" t="inlineStr">
        <is>
          <t>Pharmacokinetics/other</t>
        </is>
      </c>
      <c r="E1214" s="3" t="inlineStr"/>
      <c r="F1214" s="3" t="inlineStr">
        <is>
          <t>Reconcile storage to below 25°C per TW insert (hospital only)</t>
        </is>
      </c>
      <c r="G1214" s="3" t="inlineStr">
        <is>
          <t>藥袋: 15–30 ℃; 安定性 (twice): 20–25 °C controlled room temperature (internally inconsistent)</t>
        </is>
      </c>
      <c r="H1214" s="3" t="inlineStr">
        <is>
          <t>TW insert 13.3: 25℃以下儲存 (the 20–25 °C value is the US Hospira label's)</t>
        </is>
      </c>
      <c r="I1214" s="3" t="inlineStr">
        <is>
          <t>https://mcp.fda.gov.tw/im_detail_1/%E8%A1%9B%E7%BD%B2%E8%97%A5%E8%A3%BD%E5%AD%97%E7%AC%AC008956%E8%99%9F (13.3)</t>
        </is>
      </c>
      <c r="J1214" s="3" t="inlineStr">
        <is>
          <t>Open</t>
        </is>
      </c>
      <c r="K1214" s="3" t="inlineStr"/>
    </row>
    <row r="1215">
      <c r="A1215" s="3" t="n">
        <v>652</v>
      </c>
      <c r="B1215" s="3" t="inlineStr">
        <is>
          <t>Gentamicin (GEN04)</t>
        </is>
      </c>
      <c r="C1215" s="9" t="inlineStr">
        <is>
          <t>Low</t>
        </is>
      </c>
      <c r="D1215" s="3" t="inlineStr">
        <is>
          <t>Pharmacokinetics/other</t>
        </is>
      </c>
      <c r="E1215" s="3" t="inlineStr"/>
      <c r="F1215" s="3" t="inlineStr">
        <is>
          <t>Link TFDA insert 衛署藥製字第008956號</t>
        </is>
      </c>
      <c r="G1215" s="3" t="inlineStr">
        <is>
          <t>Empty; the page gives no licence number</t>
        </is>
      </c>
      <c r="H1215" s="3" t="inlineStr">
        <is>
          <t>TFDA insert for 衛署藥製字第008956號 exists (paper insert 010008956001.pdf uploaded 2022-11-21; licence valid to 119-02-13).</t>
        </is>
      </c>
      <c r="I1215" s="3" t="inlineStr">
        <is>
          <t>https://mcp.fda.gov.tw/im_detail_1/%E8%A1%9B%E7%BD%B2%E8%97%A5%E8%A3%BD%E5%AD%97%E7%AC%AC008956%E8%99%9F</t>
        </is>
      </c>
      <c r="J1215" s="3" t="inlineStr">
        <is>
          <t>Open</t>
        </is>
      </c>
      <c r="K1215" s="3" t="inlineStr"/>
    </row>
    <row r="1216">
      <c r="A1216" s="3" t="n">
        <v>653</v>
      </c>
      <c r="B1216" s="3" t="inlineStr">
        <is>
          <t>Gentamicin (GEN04)</t>
        </is>
      </c>
      <c r="C1216" s="9" t="inlineStr">
        <is>
          <t>Low</t>
        </is>
      </c>
      <c r="D1216" s="3" t="inlineStr">
        <is>
          <t>Pharmacokinetics/other</t>
        </is>
      </c>
      <c r="E1216" s="3" t="inlineStr"/>
      <c r="F1216" s="3" t="inlineStr">
        <is>
          <t>Reconcile storage to below 25°C (hospital only)</t>
        </is>
      </c>
      <c r="G1216" s="3" t="inlineStr">
        <is>
          <t>藥袋: 請置於 15–30℃ 乾燥處儲存; 安定性: 'Store at controlled room temperature, between 20 and 25 degrees C' (the two fields on the same page disagree)</t>
        </is>
      </c>
      <c r="H1216" s="3" t="inlineStr">
        <is>
          <t>Stocked product TW insert 13.3: 25℃以下儲存. The 20–25 °C wording comes from the US Hospira label, not the stocked product.</t>
        </is>
      </c>
      <c r="I1216" s="3" t="inlineStr">
        <is>
          <t>TW insert 13.3 – https://mcp.fda.gov.tw/im_detail_1/%E8%A1%9B%E7%BD%B2%E8%97%A5%E8%A3%BD%E5%AD%97%E7%AC%AC008956%E8%99%9F</t>
        </is>
      </c>
      <c r="J1216" s="3" t="inlineStr">
        <is>
          <t>Open</t>
        </is>
      </c>
      <c r="K1216" s="3" t="inlineStr"/>
    </row>
    <row r="1217">
      <c r="A1217" s="3" t="n">
        <v>639</v>
      </c>
      <c r="B1217" s="3" t="inlineStr">
        <is>
          <t>Gentamicin (GEN04)</t>
        </is>
      </c>
      <c r="C1217" s="9" t="inlineStr">
        <is>
          <t>Low</t>
        </is>
      </c>
      <c r="D1217" s="3" t="inlineStr">
        <is>
          <t>Pregnancy</t>
        </is>
      </c>
      <c r="E1217" s="3" t="inlineStr">
        <is>
          <t>FDA letter category</t>
        </is>
      </c>
      <c r="F1217" s="3" t="inlineStr">
        <is>
          <t>Replace FDA letter D with label fetal-harm narrative</t>
        </is>
      </c>
      <c r="G1217" s="3" t="inlineStr">
        <is>
          <t>D [FDA]; D [AUS]</t>
        </is>
      </c>
      <c r="H1217" s="3" t="inlineStr">
        <is>
          <t>FDA letter categories are retired. US label: 'Aminoglycosides can cause fetal harm when administered to a pregnant woman'. UK SmPC 4.6: do not use except in life-threatening situations. TW insert 6.1: 尚未有孕婦使用安全資料.</t>
        </is>
      </c>
      <c r="I1217" s="3" t="inlineStr">
        <is>
          <t>https://dailymed.nlm.nih.gov/dailymed/drugInfo.cfm?setid=977180b3-a222-4282-d485-4a3217674305 (WARNINGS); https://www.medicines.org.uk/emc/product/14742/smpc (4.6)</t>
        </is>
      </c>
      <c r="J1217" s="3" t="inlineStr">
        <is>
          <t>Open</t>
        </is>
      </c>
      <c r="K1217" s="3" t="inlineStr"/>
    </row>
    <row r="1218">
      <c r="A1218" s="3" t="n">
        <v>647</v>
      </c>
      <c r="B1218" s="3" t="inlineStr">
        <is>
          <t>Gentamicin (GEN04)</t>
        </is>
      </c>
      <c r="C1218" s="9" t="inlineStr">
        <is>
          <t>Low</t>
        </is>
      </c>
      <c r="D1218" s="3" t="inlineStr">
        <is>
          <t>Pregnancy</t>
        </is>
      </c>
      <c r="E1218" s="3" t="inlineStr">
        <is>
          <t>FDA letter category</t>
        </is>
      </c>
      <c r="F1218" s="3" t="inlineStr">
        <is>
          <t>Replace FDA letter D with fetal-harm narrative</t>
        </is>
      </c>
      <c r="G1218" s="3" t="inlineStr">
        <is>
          <t>D [FDA]; D [AUS]</t>
        </is>
      </c>
      <c r="H1218" s="3" t="inlineStr">
        <is>
          <t>FDA pregnancy letter categories are retired. The current US label says 'Aminoglycosides can cause fetal harm when administered to a pregnant woman'. UK SmPC 4.6 says do not use except in life-threatening situations. The TW insert says 尚未有孕婦使用安全資料.</t>
        </is>
      </c>
      <c r="I1218" s="3" t="inlineStr">
        <is>
          <t>US FDA label WARNINGS – https://dailymed.nlm.nih.gov/dailymed/drugInfo.cfm?setid=977180b3-a222-4282-d485-4a3217674305; UK SmPC 4.6 – https://www.medicines.org.uk/emc/product/14742/smpc</t>
        </is>
      </c>
      <c r="J1218" s="3" t="inlineStr">
        <is>
          <t>Open</t>
        </is>
      </c>
      <c r="K1218" s="3" t="inlineStr"/>
    </row>
    <row r="1219">
      <c r="A1219" s="3" t="n">
        <v>895</v>
      </c>
      <c r="B1219" s="3" t="inlineStr">
        <is>
          <t>Icomein (Itraconazole) (ICO01)</t>
        </is>
      </c>
      <c r="C1219" s="9" t="inlineStr">
        <is>
          <t>Low</t>
        </is>
      </c>
      <c r="D1219" s="3" t="inlineStr">
        <is>
          <t>Breastfeeding</t>
        </is>
      </c>
      <c r="E1219" s="3" t="inlineStr"/>
      <c r="F1219" s="3" t="inlineStr">
        <is>
          <t>Add TW/LactMed detail: small milk amounts; prefer fluconazole in neonates/preterm; monitor infant LFTs</t>
        </is>
      </c>
      <c r="G1219" s="3" t="inlineStr">
        <is>
          <t>Infant risk cannot be ruled out. [MDX]</t>
        </is>
      </c>
      <c r="H1219" s="3" t="inlineStr">
        <is>
          <t>TW 6.2: only a very small amount in milk; weigh benefit vs risk; do not breastfeed if in doubt. LactMed: milk levels below the infant dose; an alternative (fluconazole) is preferred for newborn/preterm infants; monitor infant LFTs on long courses. UK (oral solution): must not be used during lactation.</t>
        </is>
      </c>
      <c r="I1219" s="3" t="inlineStr">
        <is>
          <t>TW §6.2; LactMed NBK500573 https://www.ncbi.nlm.nih.gov/books/NBK500573/</t>
        </is>
      </c>
      <c r="J1219" s="3" t="inlineStr">
        <is>
          <t>Open</t>
        </is>
      </c>
      <c r="K1219" s="3" t="inlineStr"/>
    </row>
    <row r="1220">
      <c r="A1220" s="3" t="n">
        <v>889</v>
      </c>
      <c r="B1220" s="3" t="inlineStr">
        <is>
          <t>Icomein (Itraconazole) (ICO01)</t>
        </is>
      </c>
      <c r="C1220" s="9" t="inlineStr">
        <is>
          <t>Low</t>
        </is>
      </c>
      <c r="D1220" s="3" t="inlineStr">
        <is>
          <t>Indication/coverage</t>
        </is>
      </c>
      <c r="E1220" s="3" t="inlineStr"/>
      <c r="F1220" s="3" t="inlineStr">
        <is>
          <t>Mark aspergillosis prophylaxis 200 mg q12h as off-label/guideline (IDSA 2016)</t>
        </is>
      </c>
      <c r="G1220" s="3" t="inlineStr">
        <is>
          <t>Aspergillosis prophylaxis 200 mg q12h listed among the doses</t>
        </is>
      </c>
      <c r="H1220" s="3" t="inlineStr">
        <is>
          <t>Prophylaxis is not a labelled indication on the US or Taiwan label. IDSA 2016 notes itraconazole prophylaxis is effective but limited by absorption and tolerability. The entry should be marked off-label/guideline-based.</t>
        </is>
      </c>
      <c r="I1220" s="3" t="inlineStr">
        <is>
          <t>US label INDICATIONS; Taiwan insert §2; IDSA Aspergillosis 2016 https://www.idsociety.org/practice-guideline/aspergillosis/ (hospital wording per source brief)</t>
        </is>
      </c>
      <c r="J1220" s="3" t="inlineStr">
        <is>
          <t>Open</t>
        </is>
      </c>
      <c r="K1220" s="3" t="inlineStr"/>
    </row>
    <row r="1221">
      <c r="A1221" s="3" t="n">
        <v>897</v>
      </c>
      <c r="B1221" s="3" t="inlineStr">
        <is>
          <t>Icomein (Itraconazole) (ICO01)</t>
        </is>
      </c>
      <c r="C1221" s="9" t="inlineStr">
        <is>
          <t>Low</t>
        </is>
      </c>
      <c r="D1221" s="3" t="inlineStr">
        <is>
          <t>Indication/coverage</t>
        </is>
      </c>
      <c r="E1221" s="3" t="inlineStr"/>
      <c r="F1221" s="3" t="inlineStr">
        <is>
          <t>Label aspergillosis prophylaxis regimen as off-label/guideline use</t>
        </is>
      </c>
      <c r="G1221" s="3" t="inlineStr">
        <is>
          <t>200 mg PO Q12H; allo-SCT ≥75 days; GVHD 16 wk</t>
        </is>
      </c>
      <c r="H1221" s="3" t="inlineStr">
        <is>
          <t>No capsule label (FDA or TW) includes prophylaxis. UK prophylaxis is for the oral solution only (5 mg/kg/day), and the UK SmPC states there are insufficient efficacy data for preventing aspergillosis. This is guideline/off-label use and should be labelled as such.</t>
        </is>
      </c>
      <c r="I1221" s="3" t="inlineStr">
        <is>
          <t>FDA INDICATIONS AND USAGE; TW §2; UK SmPC oral solution §4.1/4.2</t>
        </is>
      </c>
      <c r="J1221" s="3" t="inlineStr">
        <is>
          <t>Open</t>
        </is>
      </c>
      <c r="K1221" s="3" t="inlineStr"/>
    </row>
    <row r="1222">
      <c r="A1222" s="3" t="n">
        <v>898</v>
      </c>
      <c r="B1222" s="3" t="inlineStr">
        <is>
          <t>Icomein (Itraconazole) (ICO01)</t>
        </is>
      </c>
      <c r="C1222" s="9" t="inlineStr">
        <is>
          <t>Low</t>
        </is>
      </c>
      <c r="D1222" s="3" t="inlineStr">
        <is>
          <t>Pharmacokinetics/other</t>
        </is>
      </c>
      <c r="E1222" s="3" t="inlineStr"/>
      <c r="F1222" s="3" t="inlineStr">
        <is>
          <t>Correct t½ to 16–28 h single / 34–42 h repeated; urine 35% inactive metabolites</t>
        </is>
      </c>
      <c r="G1222" s="3" t="inlineStr">
        <is>
          <t>Elimination half-life 64 ± 32 h; Renal about 40%, less than 0.03% unchanged</t>
        </is>
      </c>
      <c r="H1222" s="3" t="inlineStr">
        <is>
          <t>t½ 16–28 h after a single dose and 34–42 h with repeated dosing. 35% excreted in urine as inactive metabolites; renal excretion of itraconazole plus OH-itraconazole is &lt;1% of an IV dose.</t>
        </is>
      </c>
      <c r="I1222" s="3" t="inlineStr">
        <is>
          <t>FDA General Pharmacokinetic Characteristics, Excretion; TW §11.1, §11.1.3</t>
        </is>
      </c>
      <c r="J1222" s="3" t="inlineStr">
        <is>
          <t>Open</t>
        </is>
      </c>
      <c r="K1222" s="3" t="inlineStr"/>
    </row>
    <row r="1223">
      <c r="A1223" s="3" t="n">
        <v>1110</v>
      </c>
      <c r="B1223" s="3" t="inlineStr">
        <is>
          <t>Isoniazid (INAH) (ISO06, ISO07)</t>
        </is>
      </c>
      <c r="C1223" s="9" t="inlineStr">
        <is>
          <t>Low</t>
        </is>
      </c>
      <c r="D1223" s="3" t="inlineStr">
        <is>
          <t>Adverse effects</t>
        </is>
      </c>
      <c r="E1223" s="3" t="inlineStr"/>
      <c r="F1223" s="3" t="inlineStr">
        <is>
          <t>Fix broken '≥' character and cite up to 2.3% hepatitis risk over age 50.</t>
        </is>
      </c>
      <c r="G1223" s="3" t="inlineStr">
        <is>
          <t>'Hepatitis (risk increases with age; 2% in patients ?50 years)'</t>
        </is>
      </c>
      <c r="H1223" s="3" t="inlineStr">
        <is>
          <t>US label: progressive liver damage in up to 2.3% of those over 50. The '?' is a broken ≥ character. Minor.</t>
        </is>
      </c>
      <c r="I1223" s="3" t="inlineStr">
        <is>
          <t>DailyMed ADVERSE REACTIONS, Hepatic Reactions</t>
        </is>
      </c>
      <c r="J1223" s="3" t="inlineStr">
        <is>
          <t>Open</t>
        </is>
      </c>
      <c r="K1223" s="3" t="inlineStr"/>
    </row>
    <row r="1224">
      <c r="A1224" s="3" t="n">
        <v>1097</v>
      </c>
      <c r="B1224" s="3" t="inlineStr">
        <is>
          <t>Isoniazid (INAH) (ISO06, ISO07)</t>
        </is>
      </c>
      <c r="C1224" s="9" t="inlineStr">
        <is>
          <t>Low</t>
        </is>
      </c>
      <c r="D1224" s="3" t="inlineStr">
        <is>
          <t>Pharmacokinetics/other</t>
        </is>
      </c>
      <c r="E1224" s="3" t="inlineStr"/>
      <c r="F1224" s="3" t="inlineStr">
        <is>
          <t>Correct protein binding: UK SmPC says isoniazid is essentially not protein bound.</t>
        </is>
      </c>
      <c r="G1224" s="3" t="inlineStr">
        <is>
          <t>Protein binding: 10% to 15%</t>
        </is>
      </c>
      <c r="H1224" s="3" t="inlineStr">
        <is>
          <t>UK SmPC 5.2: 'Isoniazid does not appear to be bound in the blood.' (minor)</t>
        </is>
      </c>
      <c r="I1224" s="3" t="inlineStr">
        <is>
          <t>UK SmPC 5.2 — https://www.medicines.org.uk/emc/product/14798/smpc</t>
        </is>
      </c>
      <c r="J1224" s="3" t="inlineStr">
        <is>
          <t>Open</t>
        </is>
      </c>
      <c r="K1224" s="3" t="inlineStr"/>
    </row>
    <row r="1225">
      <c r="A1225" s="3" t="n">
        <v>1098</v>
      </c>
      <c r="B1225" s="3" t="inlineStr">
        <is>
          <t>Isoniazid (INAH) (ISO06, ISO07)</t>
        </is>
      </c>
      <c r="C1225" s="9" t="inlineStr">
        <is>
          <t>Low</t>
        </is>
      </c>
      <c r="D1225" s="3" t="inlineStr">
        <is>
          <t>Pharmacokinetics/other</t>
        </is>
      </c>
      <c r="E1225" s="3" t="inlineStr"/>
      <c r="F1225" s="3" t="inlineStr">
        <is>
          <t>Add TFDA licence numbers and Taiwan insert links for ISO06 and ISO07.</t>
        </is>
      </c>
      <c r="G1225" s="3" t="inlineStr">
        <is>
          <t>The 仿單 field is empty and no 許可證字號 is listed on either P4 page (https://pharmacy.fjuh.fju.edu.tw/Key_Search/P4?query=ISO06, ?query=ISO07).</t>
        </is>
      </c>
      <c r="H1225" s="3" t="inlineStr">
        <is>
          <t>Each Taiwan-marketed product has a TFDA licence and an insert at https://mcp.fda.gov.tw/im_detail_1/&lt;licence&gt;. Without the licence string the Taiwan 仿單 cannot be retrieved, and the TFDA name search needs a CAPTCHA. The pharmacist should add the licence numbers.</t>
        </is>
      </c>
      <c r="I1225" s="3" t="inlineStr">
        <is>
          <t>TFDA 藥品仿單查詢平台 https://mcp.fda.gov.tw/im (CAPTCHA-protected search)</t>
        </is>
      </c>
      <c r="J1225" s="3" t="inlineStr">
        <is>
          <t>Open</t>
        </is>
      </c>
      <c r="K1225" s="3" t="inlineStr"/>
    </row>
    <row r="1226">
      <c r="A1226" s="3" t="n">
        <v>1109</v>
      </c>
      <c r="B1226" s="3" t="inlineStr">
        <is>
          <t>Isoniazid (INAH) (ISO06, ISO07)</t>
        </is>
      </c>
      <c r="C1226" s="9" t="inlineStr">
        <is>
          <t>Low</t>
        </is>
      </c>
      <c r="D1226" s="3" t="inlineStr">
        <is>
          <t>Pharmacokinetics/other</t>
        </is>
      </c>
      <c r="E1226" s="3" t="inlineStr"/>
      <c r="F1226" s="3" t="inlineStr">
        <is>
          <t>Fix citation typo to ATS/CDC/IDSA 2016 and correct protein binding statement.</t>
        </is>
      </c>
      <c r="G1226" s="3" t="inlineStr">
        <is>
          <t>'ATC/CDC/IDSA 2003'; 'Protein binding: 10% to 15%'</t>
        </is>
      </c>
      <c r="H1226" s="3" t="inlineStr">
        <is>
          <t>Typo for ATS/CDC/IDSA (current version 2016). UK SmPC 5.2: 'Isoniazid does not appear to be bound in the blood'. Minor.</t>
        </is>
      </c>
      <c r="I1226" s="3" t="inlineStr">
        <is>
          <t>Nahid 2016 PMID 27516382; UK SmPC 5.2</t>
        </is>
      </c>
      <c r="J1226" s="3" t="inlineStr">
        <is>
          <t>Open</t>
        </is>
      </c>
      <c r="K1226" s="3" t="inlineStr"/>
    </row>
    <row r="1227">
      <c r="A1227" s="3" t="n">
        <v>1111</v>
      </c>
      <c r="B1227" s="3" t="inlineStr">
        <is>
          <t>Isoniazid (INAH) (ISO06, ISO07)</t>
        </is>
      </c>
      <c r="C1227" s="9" t="inlineStr">
        <is>
          <t>Low</t>
        </is>
      </c>
      <c r="D1227" s="3" t="inlineStr">
        <is>
          <t>Pharmacokinetics/other</t>
        </is>
      </c>
      <c r="E1227" s="3" t="inlineStr"/>
      <c r="F1227" s="3" t="inlineStr">
        <is>
          <t>Add 許可證字號 so Taiwan insert can be linked.</t>
        </is>
      </c>
      <c r="G1227" s="3" t="inlineStr">
        <is>
          <t>仿單 field empty; no licence number on either P4 page</t>
        </is>
      </c>
      <c r="H1227" s="3" t="inlineStr">
        <is>
          <t>The Taiwan insert cannot be retrieved without a licence number. The pharmacist should add the 許可證字號 so the insert can be fetched from https://mcp.fda.gov.tw/im_detail_1/&lt;licence&gt;.</t>
        </is>
      </c>
      <c r="I1227" s="3" t="inlineStr">
        <is>
          <t>https://pharmacy.fjuh.fju.edu.tw/Key_Search/P4?query=ISO06 and ?query=ISO07 (checked 2026-10-06)</t>
        </is>
      </c>
      <c r="J1227" s="3" t="inlineStr">
        <is>
          <t>Open</t>
        </is>
      </c>
      <c r="K1227" s="3" t="inlineStr"/>
    </row>
    <row r="1228">
      <c r="A1228" s="3" t="n">
        <v>1091</v>
      </c>
      <c r="B1228" s="3" t="inlineStr">
        <is>
          <t>Isoniazid (INAH) (ISO06, ISO07)</t>
        </is>
      </c>
      <c r="C1228" s="9" t="inlineStr">
        <is>
          <t>Low</t>
        </is>
      </c>
      <c r="D1228" s="3" t="inlineStr">
        <is>
          <t>Pregnancy</t>
        </is>
      </c>
      <c r="E1228" s="3" t="inlineStr">
        <is>
          <t>FDA letter category</t>
        </is>
      </c>
      <c r="F1228" s="3" t="inlineStr">
        <is>
          <t>Replace retired FDA category C with narrative: crosses placenta, benefit outweighs risk for active TB, give pyridoxine.</t>
        </is>
      </c>
      <c r="G1228" s="3" t="inlineStr">
        <is>
          <t>C</t>
        </is>
      </c>
      <c r="H1228" s="3" t="inlineStr">
        <is>
          <t>FDA letter categories are retired. The US label's 'Pregnancy Category C' heading is outdated. The label narrative and UK SmPC 4.6 say: crosses the placenta; use to treat active TB in pregnancy because untreated TB is the greater hazard; pyridoxine supplementation recommended.</t>
        </is>
      </c>
      <c r="I1228" s="3" t="inlineStr">
        <is>
          <t>US label PRECAUTIONS Pregnancy — https://dailymed.nlm.nih.gov/dailymed/drugInfo.cfm?setid=6dab7b7b-a3a9-47ef-b423-134bc6970d8b; UK SmPC 4.6 — https://www.medicines.org.uk/emc/product/14798/smpc</t>
        </is>
      </c>
      <c r="J1228" s="3" t="inlineStr">
        <is>
          <t>Open</t>
        </is>
      </c>
      <c r="K1228" s="3" t="inlineStr"/>
    </row>
    <row r="1229">
      <c r="A1229" s="3" t="n">
        <v>1099</v>
      </c>
      <c r="B1229" s="3" t="inlineStr">
        <is>
          <t>Isoniazid (INAH) (ISO06, ISO07)</t>
        </is>
      </c>
      <c r="C1229" s="9" t="inlineStr">
        <is>
          <t>Low</t>
        </is>
      </c>
      <c r="D1229" s="3" t="inlineStr">
        <is>
          <t>Pregnancy</t>
        </is>
      </c>
      <c r="E1229" s="3" t="inlineStr">
        <is>
          <t>FDA letter category</t>
        </is>
      </c>
      <c r="F1229" s="3" t="inlineStr">
        <is>
          <t>Replace retired category C with narrative pregnancy guidance (benefit for active TB, pyridoxine).</t>
        </is>
      </c>
      <c r="G1229" s="3" t="inlineStr">
        <is>
          <t>C</t>
        </is>
      </c>
      <c r="H1229" s="3" t="inlineStr">
        <is>
          <t>The FDA retired letter categories (PLLR). ATS 2016 calls category C the 'previous FDA letter-based classification'. Use narrative text instead: benefit justifies use for active TB; crosses placenta; pyridoxine supplementation.</t>
        </is>
      </c>
      <c r="I1229" s="3" t="inlineStr">
        <is>
          <t>DailyMed isoniazid Pregnancy section; Nahid 2016 PMID 27516382 (Pregnancy and Breastfeeding)</t>
        </is>
      </c>
      <c r="J1229" s="3" t="inlineStr">
        <is>
          <t>Open</t>
        </is>
      </c>
      <c r="K1229" s="3" t="inlineStr"/>
    </row>
    <row r="1230">
      <c r="A1230" s="3" t="n">
        <v>1263</v>
      </c>
      <c r="B1230" s="3" t="inlineStr">
        <is>
          <t>Juluca (Dolutegravir/Rilpivirine) (JUL01)</t>
        </is>
      </c>
      <c r="C1230" s="9" t="inlineStr">
        <is>
          <t>Low</t>
        </is>
      </c>
      <c r="D1230" s="3" t="inlineStr">
        <is>
          <t>Adverse effects</t>
        </is>
      </c>
      <c r="E1230" s="3" t="inlineStr"/>
      <c r="F1230" s="3" t="inlineStr">
        <is>
          <t>Remove decreased BMD as common adverse effect; BMD increased after TDF switch.</t>
        </is>
      </c>
      <c r="G1230" s="3" t="inlineStr">
        <is>
          <t>Common: … decreased bone mineral density</t>
        </is>
      </c>
      <c r="H1230" s="3" t="inlineStr">
        <is>
          <t>In SWORD, mean BMD INCREASED after switching from TDF to DTG+RPV (+1.34% hip, +1.46% spine). A ≥5% lumbar decline occurred in 2% on Juluca vs 5% on continued TDF. Decreased BMD is not a listed adverse reaction.</t>
        </is>
      </c>
      <c r="I1230" s="3" t="inlineStr">
        <is>
          <t>US §6.1 (Bone Mineral Density Effects)</t>
        </is>
      </c>
      <c r="J1230" s="3" t="inlineStr">
        <is>
          <t>Open</t>
        </is>
      </c>
      <c r="K1230" s="3" t="inlineStr"/>
    </row>
    <row r="1231">
      <c r="A1231" s="3" t="n">
        <v>1264</v>
      </c>
      <c r="B1231" s="3" t="inlineStr">
        <is>
          <t>Juluca (Dolutegravir/Rilpivirine) (JUL01)</t>
        </is>
      </c>
      <c r="C1231" s="9" t="inlineStr">
        <is>
          <t>Low</t>
        </is>
      </c>
      <c r="D1231" s="3" t="inlineStr">
        <is>
          <t>Adverse effects</t>
        </is>
      </c>
      <c r="E1231" s="3" t="inlineStr"/>
      <c r="F1231" s="3" t="inlineStr">
        <is>
          <t>Move serum creatinine rise to clinical trial findings; explain tubular secretion inhibition.</t>
        </is>
      </c>
      <c r="G1231" s="3" t="inlineStr">
        <is>
          <t>Post-marketing: Increased serum creatinine</t>
        </is>
      </c>
      <c r="H1231" s="3" t="inlineStr">
        <is>
          <t>The creatinine rise was seen in the clinical trials (mean +0.093 mg/dL at wk 48), not postmarketing. It comes from inhibition of tubular creatinine secretion and is not clinically relevant (US §6.1; 仿單 §8.2).</t>
        </is>
      </c>
      <c r="I1231" s="3" t="inlineStr">
        <is>
          <t>US §6.1 (Changes in Serum Creatinine); 仿單 §8.2</t>
        </is>
      </c>
      <c r="J1231" s="3" t="inlineStr">
        <is>
          <t>Open</t>
        </is>
      </c>
      <c r="K1231" s="3" t="inlineStr"/>
    </row>
    <row r="1232">
      <c r="A1232" s="3" t="n">
        <v>1265</v>
      </c>
      <c r="B1232" s="3" t="inlineStr">
        <is>
          <t>Juluca (Dolutegravir/Rilpivirine) (JUL01)</t>
        </is>
      </c>
      <c r="C1232" s="9" t="inlineStr">
        <is>
          <t>Low</t>
        </is>
      </c>
      <c r="D1232" s="3" t="inlineStr">
        <is>
          <t>Adverse effects</t>
        </is>
      </c>
      <c r="E1232" s="3" t="inlineStr"/>
      <c r="F1232" s="3" t="inlineStr">
        <is>
          <t>Clarify lab abnormalities as Grade ≥2 similar to comparator; list diarrhoea, headache, nausea.</t>
        </is>
      </c>
      <c r="G1232" s="3" t="inlineStr">
        <is>
          <t>Common: hyperglycemia, increased serum lipase, increased ALT or bilirubin, increased CPK</t>
        </is>
      </c>
      <c r="H1232" s="3" t="inlineStr">
        <is>
          <t>These are selected Grade ≥2 lab abnormalities, and most occurred at similar rates in the comparator arm (hyperglycaemia G2 4% vs 5%; lipase G2 5% vs 5%; bilirubin G2 2% vs 4%). The only adverse reactions ≥2% are diarrhoea, headache and nausea. Minor.</t>
        </is>
      </c>
      <c r="I1232" s="3" t="inlineStr">
        <is>
          <t>US §6.1 Tables 2–3</t>
        </is>
      </c>
      <c r="J1232" s="3" t="inlineStr">
        <is>
          <t>Open</t>
        </is>
      </c>
      <c r="K1232" s="3" t="inlineStr"/>
    </row>
    <row r="1233">
      <c r="A1233" s="3" t="n">
        <v>1270</v>
      </c>
      <c r="B1233" s="3" t="inlineStr">
        <is>
          <t>Juluca (Dolutegravir/Rilpivirine) (JUL01)</t>
        </is>
      </c>
      <c r="C1233" s="9" t="inlineStr">
        <is>
          <t>Low</t>
        </is>
      </c>
      <c r="D1233" s="3" t="inlineStr">
        <is>
          <t>Adverse effects</t>
        </is>
      </c>
      <c r="E1233" s="3" t="inlineStr"/>
      <c r="F1233" s="3" t="inlineStr">
        <is>
          <t>Remove decreased BMD from common adverse effects; SWORD showed BMD increase.</t>
        </is>
      </c>
      <c r="G1233" s="3" t="inlineStr">
        <is>
          <t>'Decreased bone mineral density' listed as a common adverse effect</t>
        </is>
      </c>
      <c r="H1233" s="3" t="inlineStr">
        <is>
          <t>In SWORD, mean BMD increased after switching from TDF (+1.34% hip, +1.46% spine). BMD declines ≥5% were 2% on Juluca vs 5% on continued TDF.</t>
        </is>
      </c>
      <c r="I1233" s="3" t="inlineStr">
        <is>
          <t>US label 6.1 Bone Mineral Density Effects https://dailymed.nlm.nih.gov/dailymed/drugInfo.cfm?setid=806653d1-bf35-4924-b999-ad5d21821cc1</t>
        </is>
      </c>
      <c r="J1233" s="3" t="inlineStr">
        <is>
          <t>Open</t>
        </is>
      </c>
      <c r="K1233" s="3" t="inlineStr"/>
    </row>
    <row r="1234">
      <c r="A1234" s="3" t="n">
        <v>1271</v>
      </c>
      <c r="B1234" s="3" t="inlineStr">
        <is>
          <t>Juluca (Dolutegravir/Rilpivirine) (JUL01)</t>
        </is>
      </c>
      <c r="C1234" s="9" t="inlineStr">
        <is>
          <t>Low</t>
        </is>
      </c>
      <c r="D1234" s="3" t="inlineStr">
        <is>
          <t>Adverse effects</t>
        </is>
      </c>
      <c r="E1234" s="3" t="inlineStr"/>
      <c r="F1234" s="3" t="inlineStr">
        <is>
          <t>Reclassify creatinine rise as clinical trial finding from tubular secretion inhibition.</t>
        </is>
      </c>
      <c r="G1234" s="3" t="inlineStr">
        <is>
          <t>'Increased serum creatinine' listed under Post-marketing</t>
        </is>
      </c>
      <c r="H1234" s="3" t="inlineStr">
        <is>
          <t>The serum creatinine rise was seen in the clinical trials (mean +0.093 mg/dL at wk 48). It reflects inhibition of tubular secretion, not a change in GFR, and is not a postmarketing finding.</t>
        </is>
      </c>
      <c r="I1234" s="3" t="inlineStr">
        <is>
          <t>US label 6.1 Changes in Serum Creatinine; UK SmPC 4.8</t>
        </is>
      </c>
      <c r="J1234" s="3" t="inlineStr">
        <is>
          <t>Open</t>
        </is>
      </c>
      <c r="K1234" s="3" t="inlineStr"/>
    </row>
    <row r="1235">
      <c r="A1235" s="3" t="n">
        <v>1275</v>
      </c>
      <c r="B1235" s="3" t="inlineStr">
        <is>
          <t>Juluca (Dolutegravir/Rilpivirine) (JUL01)</t>
        </is>
      </c>
      <c r="C1235" s="9" t="inlineStr">
        <is>
          <t>Low</t>
        </is>
      </c>
      <c r="D1235" s="3" t="inlineStr">
        <is>
          <t>Contraindication/warning</t>
        </is>
      </c>
      <c r="E1235" s="3" t="inlineStr"/>
      <c r="F1235" s="3" t="inlineStr">
        <is>
          <t>Optionally note UK fampridine contraindication.</t>
        </is>
      </c>
      <c r="G1235" s="3" t="inlineStr">
        <is>
          <t>US list only</t>
        </is>
      </c>
      <c r="H1235" s="3" t="inlineStr">
        <is>
          <t>The UK SmPC also contraindicates fampridine (dalfampridine). The US label only advises weighing the seizure risk. This is a minor/regional difference, not an error.</t>
        </is>
      </c>
      <c r="I1235" s="3" t="inlineStr">
        <is>
          <t>UK SmPC 4.3</t>
        </is>
      </c>
      <c r="J1235" s="3" t="inlineStr">
        <is>
          <t>Open</t>
        </is>
      </c>
      <c r="K1235" s="3" t="inlineStr"/>
    </row>
    <row r="1236">
      <c r="A1236" s="3" t="n">
        <v>1261</v>
      </c>
      <c r="B1236" s="3" t="inlineStr">
        <is>
          <t>Juluca (Dolutegravir/Rilpivirine) (JUL01)</t>
        </is>
      </c>
      <c r="C1236" s="9" t="inlineStr">
        <is>
          <t>Low</t>
        </is>
      </c>
      <c r="D1236" s="3" t="inlineStr">
        <is>
          <t>Dosing – renal/dialysis</t>
        </is>
      </c>
      <c r="E1236" s="3" t="inlineStr"/>
      <c r="F1236" s="3" t="inlineStr">
        <is>
          <t>Replace unsourced loss-of-effect text with label: DTG AUC ↓40% in severe RI, monitor AEs.</t>
        </is>
      </c>
      <c r="G1236" s="3" t="inlineStr">
        <is>
          <t>Dolutegravir concentrations may be decreased, resulting in loss of therapeutic effect and development of resistance</t>
        </is>
      </c>
      <c r="H1236" s="3" t="inlineStr">
        <is>
          <t>No Juluca label says this. Juluca labels state DTG AUC ↓40% in severe RI (n=8) and recommend increased AE monitoring; the UK adds a CYP3A-inhibitor caution. The hospital wording appears to come from another source, not the Juluca label.</t>
        </is>
      </c>
      <c r="I1236" s="3" t="inlineStr">
        <is>
          <t>US §8.6, §12.3; UK SmPC 4.2 https://www.medicines.org.uk/emc/product/9246/smpc</t>
        </is>
      </c>
      <c r="J1236" s="3" t="inlineStr">
        <is>
          <t>Open</t>
        </is>
      </c>
      <c r="K1236" s="3" t="inlineStr"/>
    </row>
    <row r="1237">
      <c r="A1237" s="3" t="n">
        <v>1267</v>
      </c>
      <c r="B1237" s="3" t="inlineStr">
        <is>
          <t>Juluca (Dolutegravir/Rilpivirine) (JUL01)</t>
        </is>
      </c>
      <c r="C1237" s="9" t="inlineStr">
        <is>
          <t>Low</t>
        </is>
      </c>
      <c r="D1237" s="3" t="inlineStr">
        <is>
          <t>Pharmacokinetics/other</t>
        </is>
      </c>
      <c r="E1237" s="3" t="inlineStr"/>
      <c r="F1237" s="3" t="inlineStr">
        <is>
          <t>Update food effect to AUC 1.57x RPV, 1.87x DTG; fix truncated excretion text.</t>
        </is>
      </c>
      <c r="G1237" s="3" t="inlineStr">
        <is>
          <t>Rilpivirine absorption increased 40% with a meal; DTG excretion 'urine (31% as metabolites,' and RPV 'urine (~6%;' (truncated)</t>
        </is>
      </c>
      <c r="H1237" s="3" t="inlineStr">
        <is>
          <t>For Juluca, a moderate-fat meal raised AUC 1.57-fold for RPV and 1.87-fold for DTG (US §12.3 Table 5). The excretion text is cut off, likely by the same '&lt;' stripping. Minor.</t>
        </is>
      </c>
      <c r="I1237" s="3" t="inlineStr">
        <is>
          <t>US §12.3 Table 5</t>
        </is>
      </c>
      <c r="J1237" s="3" t="inlineStr">
        <is>
          <t>Open</t>
        </is>
      </c>
      <c r="K1237" s="3" t="inlineStr"/>
    </row>
    <row r="1238">
      <c r="A1238" s="3" t="n">
        <v>1273</v>
      </c>
      <c r="B1238" s="3" t="inlineStr">
        <is>
          <t>Juluca (Dolutegravir/Rilpivirine) (JUL01)</t>
        </is>
      </c>
      <c r="C1238" s="9" t="inlineStr">
        <is>
          <t>Low</t>
        </is>
      </c>
      <c r="D1238" s="3" t="inlineStr">
        <is>
          <t>Pharmacokinetics/other</t>
        </is>
      </c>
      <c r="E1238" s="3" t="inlineStr"/>
      <c r="F1238" s="3" t="inlineStr">
        <is>
          <t>Update RPV fed/fasted AUC ratio to 1.57–1.72; note protein drink alone lowers exposure 50%.</t>
        </is>
      </c>
      <c r="G1238" s="3" t="inlineStr">
        <is>
          <t>Absorption increased 40% with a meal</t>
        </is>
      </c>
      <c r="H1238" s="3" t="inlineStr">
        <is>
          <t>Juluca: RPV AUC ratio fed/fasted 1.57 (moderate-fat) and 1.72 (high-fat). With a protein drink alone, exposure is 50% lower.</t>
        </is>
      </c>
      <c r="I1238" s="3" t="inlineStr">
        <is>
          <t>US label 12.3 Table 5; UK SmPC 5.2</t>
        </is>
      </c>
      <c r="J1238" s="3" t="inlineStr">
        <is>
          <t>Open</t>
        </is>
      </c>
      <c r="K1238" s="3" t="inlineStr"/>
    </row>
    <row r="1239">
      <c r="A1239" s="3" t="n">
        <v>1274</v>
      </c>
      <c r="B1239" s="3" t="inlineStr">
        <is>
          <t>Juluca (Dolutegravir/Rilpivirine) (JUL01)</t>
        </is>
      </c>
      <c r="C1239" s="9" t="inlineStr">
        <is>
          <t>Low</t>
        </is>
      </c>
      <c r="D1239" s="3" t="inlineStr">
        <is>
          <t>Pharmacokinetics/other</t>
        </is>
      </c>
      <c r="E1239" s="3" t="inlineStr"/>
      <c r="F1239" s="3" t="inlineStr">
        <is>
          <t>Correct rilpivirine half-life to ~45 hours.</t>
        </is>
      </c>
      <c r="G1239" s="3" t="inlineStr">
        <is>
          <t>~50 hours</t>
        </is>
      </c>
      <c r="H1239" s="3" t="inlineStr">
        <is>
          <t>~45 hours (minor)</t>
        </is>
      </c>
      <c r="I1239" s="3" t="inlineStr">
        <is>
          <t>UK SmPC 5.2 https://www.medicines.org.uk/emc/product/9246/smpc</t>
        </is>
      </c>
      <c r="J1239" s="3" t="inlineStr">
        <is>
          <t>Open</t>
        </is>
      </c>
      <c r="K1239" s="3" t="inlineStr"/>
    </row>
    <row r="1240">
      <c r="A1240" s="3" t="n">
        <v>1266</v>
      </c>
      <c r="B1240" s="3" t="inlineStr">
        <is>
          <t>Juluca (Dolutegravir/Rilpivirine) (JUL01)</t>
        </is>
      </c>
      <c r="C1240" s="9" t="inlineStr">
        <is>
          <t>Low</t>
        </is>
      </c>
      <c r="D1240" s="3" t="inlineStr">
        <is>
          <t>Pregnancy</t>
        </is>
      </c>
      <c r="E1240" s="3" t="inlineStr"/>
      <c r="F1240" s="3" t="inlineStr">
        <is>
          <t>Cite source for pregnancy wording; note UK 'not recommended' and US risk data.</t>
        </is>
      </c>
      <c r="G1240" s="3" t="inlineStr">
        <is>
          <t>Do not recommend the 2-drug combination in pregnancy; change regimen if pregnancy occurs (DHHS-style wording)</t>
        </is>
      </c>
      <c r="H1240" s="3" t="inlineStr">
        <is>
          <t>US §8.1 / 仿單 §6.1 give risk data with no 'not recommended' statement; the UK SmPC 4.6 says use in pregnancy is not recommended. The hospital text is guideline-based rather than label-based. Its direction matches the UK label, but the field is labelled as a pregnancy category and cites no source.</t>
        </is>
      </c>
      <c r="I1240" s="3" t="inlineStr">
        <is>
          <t>US §8.1; 仿單 §6.1; UK SmPC 4.6</t>
        </is>
      </c>
      <c r="J1240" s="3" t="inlineStr">
        <is>
          <t>Open</t>
        </is>
      </c>
      <c r="K1240" s="3" t="inlineStr"/>
    </row>
    <row r="1241">
      <c r="A1241" s="3" t="n">
        <v>726</v>
      </c>
      <c r="B1241" s="3" t="inlineStr">
        <is>
          <t>Klaricid (Clarithromycin) (KLA02, KLA03)</t>
        </is>
      </c>
      <c r="C1241" s="9" t="inlineStr">
        <is>
          <t>Low</t>
        </is>
      </c>
      <c r="D1241" s="3" t="inlineStr">
        <is>
          <t>Dosing – adult</t>
        </is>
      </c>
      <c r="E1241" s="3" t="inlineStr"/>
      <c r="F1241" s="3" t="inlineStr">
        <is>
          <t>Remove outdated TID dual H. pylori regimen; add resistance caveat (Maastricht VI)</t>
        </is>
      </c>
      <c r="G1241" s="3" t="inlineStr">
        <is>
          <t>500 mg two to three times daily, combined with other drugs</t>
        </is>
      </c>
      <c r="H1241" s="3" t="inlineStr">
        <is>
          <t>Matches label regimens: triple therapy is 500 mg BID ×10–14 days; the old dual therapy is 500 mg TID + omeprazole 40 mg ×14 days (仿單 §3.1; US §2.3). Current guidelines advise against empiric clarithromycin-based therapy where resistance is &gt;15% or unknown (Maastricht VI PMID 35944925; ACG 2024 PMID 39626064). Informational: not a label conflict, but the TID dual regimen is outdated.</t>
        </is>
      </c>
      <c r="I1241" s="3" t="inlineStr">
        <is>
          <t>仿單 tab §3.1 https://mcp.fda.gov.tw/im_detail_1/%E8%A1%9B%E7%BD%B2%E8%97%A5%E8%BC%B8%E5%AD%97%E7%AC%AC022420%E8%99%9F ; https://pubmed.ncbi.nlm.nih.gov/35944925/ ; https://pubmed.ncbi.nlm.nih.gov/39626064/</t>
        </is>
      </c>
      <c r="J1241" s="3" t="inlineStr">
        <is>
          <t>Open</t>
        </is>
      </c>
      <c r="K1241" s="3" t="inlineStr"/>
    </row>
    <row r="1242">
      <c r="A1242" s="3" t="n">
        <v>719</v>
      </c>
      <c r="B1242" s="3" t="inlineStr">
        <is>
          <t>Klaricid (Clarithromycin) (KLA02, KLA03)</t>
        </is>
      </c>
      <c r="C1242" s="9" t="inlineStr">
        <is>
          <t>Low</t>
        </is>
      </c>
      <c r="D1242" s="3" t="inlineStr">
        <is>
          <t>Dosing – pediatric</t>
        </is>
      </c>
      <c r="E1242" s="3" t="inlineStr"/>
      <c r="F1242" s="3" t="inlineStr">
        <is>
          <t>Optional note: children &lt;12 y need oral suspension</t>
        </is>
      </c>
      <c r="G1242" s="3" t="inlineStr">
        <is>
          <t>Use only in children over 12 years of age</t>
        </is>
      </c>
      <c r="H1242" s="3" t="inlineStr">
        <is>
          <t>This matches the TW tablet insert (成人及12歲以上兒童; not studied &lt;12 y) and the UK oral SmPC. The US FDA tablet label, however, gives 7.5 mg/kg q12h from 6 months. Not an error; at most add a note that children under 12 should use the oral suspension (not stocked).</t>
        </is>
      </c>
      <c r="I1242" s="3" t="inlineStr">
        <is>
          <t>TW 仿單 Klaricid tab 3.1; US FDA label 2.4/8.4: https://dailymed.nlm.nih.gov/dailymed/drugInfo.cfm?setid=d836ae7e-fdbf-4dcb-a90d-ede1dcbc3e67</t>
        </is>
      </c>
      <c r="J1242" s="3" t="inlineStr">
        <is>
          <t>Open</t>
        </is>
      </c>
      <c r="K1242" s="3" t="inlineStr"/>
    </row>
    <row r="1243">
      <c r="A1243" s="3" t="n">
        <v>715</v>
      </c>
      <c r="B1243" s="3" t="inlineStr">
        <is>
          <t>Klaricid (Clarithromycin) (KLA02, KLA03)</t>
        </is>
      </c>
      <c r="C1243" s="9" t="inlineStr">
        <is>
          <t>Low</t>
        </is>
      </c>
      <c r="D1243" s="3" t="inlineStr">
        <is>
          <t>Dosing – renal/dialysis</t>
        </is>
      </c>
      <c r="E1243" s="3" t="inlineStr"/>
      <c r="F1243" s="3" t="inlineStr">
        <is>
          <t>Note HD timing is not label-based; dose as CrCl &lt;30</t>
        </is>
      </c>
      <c r="G1243" s="3" t="inlineStr">
        <is>
          <t>Hemodialysis: Administer after HD session is completed</t>
        </is>
      </c>
      <c r="H1243" s="3" t="inlineStr">
        <is>
          <t>No label gives HD timing. The labels say serum clarithromycin is not appreciably affected by HD/PD, so dose as for CrCl &lt;30 (half dose). The hospital instruction has no source; it is harmless but should not be presented as label-based.</t>
        </is>
      </c>
      <c r="I1243" s="3" t="inlineStr">
        <is>
          <t>US FDA label 10 Overdosage: https://dailymed.nlm.nih.gov/dailymed/drugInfo.cfm?setid=d836ae7e-fdbf-4dcb-a90d-ede1dcbc3e67; TW 仿單 Klaricid tab 過量 section</t>
        </is>
      </c>
      <c r="J1243" s="3" t="inlineStr">
        <is>
          <t>Open</t>
        </is>
      </c>
      <c r="K1243" s="3" t="inlineStr"/>
    </row>
    <row r="1244">
      <c r="A1244" s="3" t="n">
        <v>724</v>
      </c>
      <c r="B1244" s="3" t="inlineStr">
        <is>
          <t>Klaricid (Clarithromycin) (KLA02, KLA03)</t>
        </is>
      </c>
      <c r="C1244" s="9" t="inlineStr">
        <is>
          <t>Low</t>
        </is>
      </c>
      <c r="D1244" s="3" t="inlineStr">
        <is>
          <t>Dosing – renal/dialysis</t>
        </is>
      </c>
      <c r="E1244" s="3" t="inlineStr"/>
      <c r="F1244" s="3" t="inlineStr">
        <is>
          <t>Reword HD: not dialysed; dose as CrCl &lt;30; post-HD timing is convenience only</t>
        </is>
      </c>
      <c r="G1244" s="3" t="inlineStr">
        <is>
          <t>Hemodialysis: Administer after HD session is completed (presented as a dosing requirement)</t>
        </is>
      </c>
      <c r="H1244" s="3" t="inlineStr">
        <is>
          <t>US §10 says clarithromycin serum concentrations are not expected to be appreciably affected by hemodialysis or peritoneal dialysis. No label requires post-HD timing or a supplemental dose; dose as CrCl &lt;30 (仿單: 250 mg QD, or BID if severe, ≤14 days). Minor: post-HD timing is a convenience, not a label requirement.</t>
        </is>
      </c>
      <c r="I1244" s="3" t="inlineStr">
        <is>
          <t>US FDA label §10 https://dailymed.nlm.nih.gov/dailymed/drugInfo.cfm?setid=d836ae7e-fdbf-4dcb-a90d-ede1dcbc3e67 ; 仿單 tab §3.1 https://mcp.fda.gov.tw/im_detail_1/%E8%A1%9B%E7%BD%B2%E8%97%A5%E8%BC%B8%E5%AD%97%E7%AC%AC022420%E8%99%9F</t>
        </is>
      </c>
      <c r="J1244" s="3" t="inlineStr">
        <is>
          <t>Open</t>
        </is>
      </c>
      <c r="K1244" s="3" t="inlineStr"/>
    </row>
    <row r="1245">
      <c r="A1245" s="3" t="n">
        <v>778</v>
      </c>
      <c r="B1245" s="3" t="inlineStr">
        <is>
          <t>LinDACIN (Clindamycin) (LIN01, BB901)</t>
        </is>
      </c>
      <c r="C1245" s="9" t="inlineStr">
        <is>
          <t>Low</t>
        </is>
      </c>
      <c r="D1245" s="3" t="inlineStr">
        <is>
          <t>Dosing – renal/dialysis</t>
        </is>
      </c>
      <c r="E1245" s="3" t="inlineStr"/>
      <c r="F1245" s="3" t="inlineStr">
        <is>
          <t>Fill renal/hepatic fields: no dose adjustment needed (TW/US/UK labels)</t>
        </is>
      </c>
      <c r="G1245" s="3" t="inlineStr">
        <is>
          <t>Blank</t>
        </is>
      </c>
      <c r="H1245" s="3" t="inlineStr">
        <is>
          <t>The TW LinDACIN 仿單 states 有腎疾之患者不必調整劑量 and that hepatic disease needs no dose reduction. The US and UK labels say the same.</t>
        </is>
      </c>
      <c r="I1245" s="3" t="inlineStr">
        <is>
          <t>TW LinDACIN 仿單【注意事項】 - https://mcp.fda.gov.tw/insert/pdfcasefile/i_24ea12f5-ce70-461c-bcc6-3d1a2172829b</t>
        </is>
      </c>
      <c r="J1245" s="3" t="inlineStr">
        <is>
          <t>Open</t>
        </is>
      </c>
      <c r="K1245" s="3" t="inlineStr"/>
    </row>
    <row r="1246">
      <c r="A1246" s="3" t="n">
        <v>783</v>
      </c>
      <c r="B1246" s="3" t="inlineStr">
        <is>
          <t>LinDACIN (Clindamycin) (LIN01, BB901)</t>
        </is>
      </c>
      <c r="C1246" s="9" t="inlineStr">
        <is>
          <t>Low</t>
        </is>
      </c>
      <c r="D1246" s="3" t="inlineStr">
        <is>
          <t>Dosing – renal/dialysis</t>
        </is>
      </c>
      <c r="E1246" s="3" t="inlineStr"/>
      <c r="F1246" s="3" t="inlineStr">
        <is>
          <t>No change: no renal/hepatic adjustment is consistent with labels</t>
        </is>
      </c>
      <c r="G1246" s="3" t="inlineStr">
        <is>
          <t>No dosage adjustment necessary (renal and hepatic)</t>
        </is>
      </c>
      <c r="H1246" s="3" t="inlineStr">
        <is>
          <t>Consistent with the US and UK labels and the TW LinDACIN 仿單. The TW B.B. 仿單 itself says nothing on renal or hepatic dosing.</t>
        </is>
      </c>
      <c r="I1246" s="3" t="inlineStr">
        <is>
          <t>US injection, Patients with Renal/Hepatic Impairment - https://dailymed.nlm.nih.gov/dailymed/drugInfo.cfm?setid=7a6967b3-5563-4bed-9eee-d400f800e799</t>
        </is>
      </c>
      <c r="J1246" s="3" t="inlineStr">
        <is>
          <t>Open</t>
        </is>
      </c>
      <c r="K1246" s="3" t="inlineStr"/>
    </row>
    <row r="1247">
      <c r="A1247" s="3" t="n">
        <v>791</v>
      </c>
      <c r="B1247" s="3" t="inlineStr">
        <is>
          <t>LinDACIN (Clindamycin) (LIN01, BB901)</t>
        </is>
      </c>
      <c r="C1247" s="9" t="inlineStr">
        <is>
          <t>Low</t>
        </is>
      </c>
      <c r="D1247" s="3" t="inlineStr">
        <is>
          <t>Dosing – renal/dialysis</t>
        </is>
      </c>
      <c r="E1247" s="3" t="inlineStr"/>
      <c r="F1247" s="3" t="inlineStr">
        <is>
          <t>Fill LIN01 renal/hepatic fields: no adjustment needed</t>
        </is>
      </c>
      <c r="G1247" s="3" t="inlineStr">
        <is>
          <t>Blank</t>
        </is>
      </c>
      <c r="H1247" s="3" t="inlineStr">
        <is>
          <t>No adjustment for renal or hepatic impairment (TW LinDACIN insert, US, UK). BB901 correctly says 'No dosage adjustment necessary' for both, which matches the labels.</t>
        </is>
      </c>
      <c r="I1247" s="3" t="inlineStr">
        <is>
          <t>TW 仿單 LinDACIN 注意事項 – https://mcp.fda.gov.tw/insert/pdfcasefile/i_24ea12f5-ce70-461c-bcc6-3d1a2172829b</t>
        </is>
      </c>
      <c r="J1247" s="3" t="inlineStr">
        <is>
          <t>Open</t>
        </is>
      </c>
      <c r="K1247" s="3" t="inlineStr"/>
    </row>
    <row r="1248">
      <c r="A1248" s="3" t="n">
        <v>776</v>
      </c>
      <c r="B1248" s="3" t="inlineStr">
        <is>
          <t>LinDACIN (Clindamycin) (LIN01, BB901)</t>
        </is>
      </c>
      <c r="C1248" s="9" t="inlineStr">
        <is>
          <t>Low</t>
        </is>
      </c>
      <c r="D1248" s="3" t="inlineStr">
        <is>
          <t>Pregnancy</t>
        </is>
      </c>
      <c r="E1248" s="3" t="inlineStr">
        <is>
          <t>FDA letter category</t>
        </is>
      </c>
      <c r="F1248" s="3" t="inlineStr">
        <is>
          <t>Replace category B with label narrative: avoid 1st trimester unless clearly needed; TW safety not established</t>
        </is>
      </c>
      <c r="G1248" s="3" t="inlineStr">
        <is>
          <t>懷孕分類 B</t>
        </is>
      </c>
      <c r="H1248" s="3" t="inlineStr">
        <is>
          <t>The FDA has retired letter categories. The current US label describes no association with congenital anomalies in the 2nd and 3rd trimesters and use in the 1st trimester only if clearly needed. The TW 仿單 says 孕婦使用之安全性尚未確立/確定. Neither label gives a letter.</t>
        </is>
      </c>
      <c r="I1248" s="3" t="inlineStr">
        <is>
          <t>US Sagent injection label, Pregnancy - https://dailymed.nlm.nih.gov/dailymed/drugInfo.cfm?setid=7a6967b3-5563-4bed-9eee-d400f800e799; TW B.B. 仿單 - https://mcp.fda.gov.tw/insert/pdfcasefile/i_a1c8370b-3c6f-4d31-b8c1-9f12610c3e9e</t>
        </is>
      </c>
      <c r="J1248" s="3" t="inlineStr">
        <is>
          <t>Open</t>
        </is>
      </c>
      <c r="K1248" s="3" t="inlineStr"/>
    </row>
    <row r="1249">
      <c r="A1249" s="3" t="n">
        <v>784</v>
      </c>
      <c r="B1249" s="3" t="inlineStr">
        <is>
          <t>LinDACIN (Clindamycin) (LIN01, BB901)</t>
        </is>
      </c>
      <c r="C1249" s="9" t="inlineStr">
        <is>
          <t>Low</t>
        </is>
      </c>
      <c r="D1249" s="3" t="inlineStr">
        <is>
          <t>Pregnancy</t>
        </is>
      </c>
      <c r="E1249" s="3" t="inlineStr">
        <is>
          <t>FDA letter category</t>
        </is>
      </c>
      <c r="F1249" s="3" t="inlineStr">
        <is>
          <t>Replace category B with label pregnancy narrative</t>
        </is>
      </c>
      <c r="G1249" s="3" t="inlineStr">
        <is>
          <t>B</t>
        </is>
      </c>
      <c r="H1249" s="3" t="inlineStr">
        <is>
          <t>FDA letter categories are retired. The labels say: use in pregnancy only if clearly needed; no increase in anomalies with 2nd/3rd-trimester use; no adequate 1st-trimester studies. The TW inserts say safety in pregnancy is not established.</t>
        </is>
      </c>
      <c r="I1249" s="3" t="inlineStr">
        <is>
          <t>US CLEOCIN HCl label Pregnancy – https://dailymed.nlm.nih.gov/dailymed/drugInfo.cfm?setid=df9a2a41-b132-4f43-8940-b2d773b1369a; UK SmPC §4.6 – https://www.medicines.org.uk/emc/product/100601/smpc</t>
        </is>
      </c>
      <c r="J1249" s="3" t="inlineStr">
        <is>
          <t>Open</t>
        </is>
      </c>
      <c r="K1249" s="3" t="inlineStr"/>
    </row>
    <row r="1250">
      <c r="A1250" s="3" t="n">
        <v>925</v>
      </c>
      <c r="B1250" s="3" t="inlineStr">
        <is>
          <t>Liposomal Amphotericin B (AmBisome / Ampholipad) (AMB02, AMB10)</t>
        </is>
      </c>
      <c r="C1250" s="9" t="inlineStr">
        <is>
          <t>Low</t>
        </is>
      </c>
      <c r="D1250" s="3" t="inlineStr">
        <is>
          <t>Dosing – renal/dialysis</t>
        </is>
      </c>
      <c r="E1250" s="3" t="inlineStr"/>
      <c r="F1250" s="3" t="inlineStr">
        <is>
          <t>Add UK note: do not infuse during haemodialysis/filtration</t>
        </is>
      </c>
      <c r="G1250" s="3" t="inlineStr">
        <is>
          <t>Poorly removed by intermittent HD; no adjustment needed</t>
        </is>
      </c>
      <c r="H1250" s="3" t="inlineStr">
        <is>
          <t>This agrees with the labels (US Overdosage: HD/PD do not significantly affect elimination). It leaves out UK SmPC 5.2: do not give L-AmB during haemodialysis or filtration. Not a contradiction, only incomplete.</t>
        </is>
      </c>
      <c r="I1250" s="3" t="inlineStr">
        <is>
          <t>UK SmPC 5.2: https://www.medicines.org.uk/emc/product/1022/smpc</t>
        </is>
      </c>
      <c r="J1250" s="3" t="inlineStr">
        <is>
          <t>Open</t>
        </is>
      </c>
      <c r="K1250" s="3" t="inlineStr"/>
    </row>
    <row r="1251">
      <c r="A1251" s="3" t="n">
        <v>924</v>
      </c>
      <c r="B1251" s="3" t="inlineStr">
        <is>
          <t>Liposomal Amphotericin B (AmBisome / Ampholipad) (AMB02, AMB10)</t>
        </is>
      </c>
      <c r="C1251" s="9" t="inlineStr">
        <is>
          <t>Low</t>
        </is>
      </c>
      <c r="D1251" s="3" t="inlineStr">
        <is>
          <t>Pharmacokinetics/other</t>
        </is>
      </c>
      <c r="E1251" s="3" t="inlineStr"/>
      <c r="F1251" s="3" t="inlineStr">
        <is>
          <t>Update Vss 0.10–0.44 L/kg; add terminal t½ 100–153 h; nonlinear PK</t>
        </is>
      </c>
      <c r="G1251" s="3" t="inlineStr">
        <is>
          <t>Vd 0.1–0.16 L/kg; t½ 7–10 h</t>
        </is>
      </c>
      <c r="H1251" s="3" t="inlineStr">
        <is>
          <t>These figures are only part of the label data. US Vss ranges from 0.10 to 0.44 L/kg depending on dose and day. The 7–10 h half-life applies within a dosing interval; the terminal half-life is 100–153 h, from slow tissue redistribution. PK is nonlinear.</t>
        </is>
      </c>
      <c r="I1251" s="3" t="inlineStr">
        <is>
          <t>US label Pharmacokinetics: https://dailymed.nlm.nih.gov/dailymed/drugInfo.cfm?setid=f7be6506-4d20-401e-a0ff-02ad7c33158a ; UK SmPC 5.2</t>
        </is>
      </c>
      <c r="J1251" s="3" t="inlineStr">
        <is>
          <t>Open</t>
        </is>
      </c>
      <c r="K1251" s="3" t="inlineStr"/>
    </row>
    <row r="1252">
      <c r="A1252" s="3" t="n">
        <v>932</v>
      </c>
      <c r="B1252" s="3" t="inlineStr">
        <is>
          <t>Liposomal Amphotericin B (AmBisome / Ampholipad) (AMB02, AMB10)</t>
        </is>
      </c>
      <c r="C1252" s="9" t="inlineStr">
        <is>
          <t>Low</t>
        </is>
      </c>
      <c r="D1252" s="3" t="inlineStr">
        <is>
          <t>Pharmacokinetics/other</t>
        </is>
      </c>
      <c r="E1252" s="3" t="inlineStr"/>
      <c r="F1252" s="3" t="inlineStr">
        <is>
          <t>Clarify Vss range 0.10–0.44 L/kg (day 1 vs steady state)</t>
        </is>
      </c>
      <c r="G1252" s="3" t="inlineStr">
        <is>
          <t>Vd 0.1–0.16 L/kg; half-life 7–10 h; terminal 100–153 h</t>
        </is>
      </c>
      <c r="H1252" s="3" t="inlineStr">
        <is>
          <t>The half-life values match the US label: 7–10 h within a dosing interval and 100–153 h measured up to 49 days. Vd 0.10–0.16 L/kg is only the steady-state (last-day) Vss. The day-1 Vss was 0.16–0.44 L/kg, and UK §5.2 gives a range of 0.10–0.44 L/kg. This is minor and incomplete rather than wrong.</t>
        </is>
      </c>
      <c r="I1252" s="3" t="inlineStr">
        <is>
          <t>US label, Pharmacokinetics table; UK SmPC §5.2</t>
        </is>
      </c>
      <c r="J1252" s="3" t="inlineStr">
        <is>
          <t>Open</t>
        </is>
      </c>
      <c r="K1252" s="3" t="inlineStr"/>
    </row>
    <row r="1253">
      <c r="A1253" s="3" t="n">
        <v>920</v>
      </c>
      <c r="B1253" s="3" t="inlineStr">
        <is>
          <t>Liposomal Amphotericin B (AmBisome / Ampholipad) (AMB02, AMB10)</t>
        </is>
      </c>
      <c r="C1253" s="9" t="inlineStr">
        <is>
          <t>Low</t>
        </is>
      </c>
      <c r="D1253" s="3" t="inlineStr">
        <is>
          <t>Pregnancy</t>
        </is>
      </c>
      <c r="E1253" s="3" t="inlineStr">
        <is>
          <t>FDA letter category</t>
        </is>
      </c>
      <c r="F1253" s="3" t="inlineStr">
        <is>
          <t>Remove letter B; use narrative: no adequate human data, benefit outweighs risk</t>
        </is>
      </c>
      <c r="G1253" s="3" t="inlineStr">
        <is>
          <t>Pregnancy category 'B' (per source brief, both the AMB02 and AMB10 pages)</t>
        </is>
      </c>
      <c r="H1253" s="3" t="inlineStr">
        <is>
          <t>The FDA has retired letter categories. The US AmBisome label (older format) and UK SmPC 4.6 say only: no adequate human data; use only if the benefit outweighs the risk. The B letter survives only in the outdated TW insert wording.</t>
        </is>
      </c>
      <c r="I1253" s="3" t="inlineStr">
        <is>
          <t>US label Pregnancy: https://dailymed.nlm.nih.gov/dailymed/drugInfo.cfm?setid=f7be6506-4d20-401e-a0ff-02ad7c33158a ; UK SmPC 4.6: https://www.medicines.org.uk/emc/product/1022/smpc</t>
        </is>
      </c>
      <c r="J1253" s="3" t="inlineStr">
        <is>
          <t>Open</t>
        </is>
      </c>
      <c r="K1253" s="3" t="inlineStr"/>
    </row>
    <row r="1254">
      <c r="A1254" s="3" t="n">
        <v>927</v>
      </c>
      <c r="B1254" s="3" t="inlineStr">
        <is>
          <t>Liposomal Amphotericin B (AmBisome / Ampholipad) (AMB02, AMB10)</t>
        </is>
      </c>
      <c r="C1254" s="9" t="inlineStr">
        <is>
          <t>Low</t>
        </is>
      </c>
      <c r="D1254" s="3" t="inlineStr">
        <is>
          <t>Pregnancy</t>
        </is>
      </c>
      <c r="E1254" s="3" t="inlineStr">
        <is>
          <t>FDA letter category</t>
        </is>
      </c>
      <c r="F1254" s="3" t="inlineStr">
        <is>
          <t>Remove letter B; use US/UK narrative benefit-outweighs-risk</t>
        </is>
      </c>
      <c r="G1254" s="3" t="inlineStr">
        <is>
          <t>懷孕分類 B; Amphotericin B is recommended for the treatment of serious systemic fungal diseases in pregnant women</t>
        </is>
      </c>
      <c r="H1254" s="3" t="inlineStr">
        <is>
          <t>The FDA retired letter categories under PLLR. The US label narrative says 'use during pregnancy only if the possible benefits... outweigh the potential risks'; UK §4.6 says the same. The TW inserts still print 'B', but that is an outdated format, not a current classification.</t>
        </is>
      </c>
      <c r="I1254" s="3" t="inlineStr">
        <is>
          <t>US FDA label, Pregnancy https://dailymed.nlm.nih.gov/dailymed/drugInfo.cfm?setid=f7be6506-4d20-401e-a0ff-02ad7c33158a; UK SmPC §4.6 https://www.medicines.org.uk/emc/product/1022/smpc</t>
        </is>
      </c>
      <c r="J1254" s="3" t="inlineStr">
        <is>
          <t>Open</t>
        </is>
      </c>
      <c r="K1254" s="3" t="inlineStr"/>
    </row>
    <row r="1255">
      <c r="A1255" s="3" t="n">
        <v>1432</v>
      </c>
      <c r="B1255" s="3" t="inlineStr">
        <is>
          <t>Maviret (Glecaprevir/Pibrentasvir) (MAV01)</t>
        </is>
      </c>
      <c r="C1255" s="9" t="inlineStr">
        <is>
          <t>Low</t>
        </is>
      </c>
      <c r="D1255" s="3" t="inlineStr">
        <is>
          <t>Pharmacokinetics/other</t>
        </is>
      </c>
      <c r="E1255" s="3" t="inlineStr"/>
      <c r="F1255" s="3" t="inlineStr">
        <is>
          <t>Update insert version tag to v3 (2025-12-12).</t>
        </is>
      </c>
      <c r="G1255" s="3" t="inlineStr">
        <is>
          <t>#仿單變更2020</t>
        </is>
      </c>
      <c r="H1255" s="3" t="inlineStr">
        <is>
          <t>The current TFDA insert is version 3, updated 114/12/12 (2025-12-12). The previous version was 113/05/22. The tag is out of date.</t>
        </is>
      </c>
      <c r="I1255" s="3" t="inlineStr">
        <is>
          <t>TFDA insert page, 歷史仿單 list — https://mcp.fda.gov.tw/im_detail_1/%E8%A1%9B%E9%83%A8%E8%97%A5%E8%BC%B8%E5%AD%97%E7%AC%AC027323%E8%99%9F</t>
        </is>
      </c>
      <c r="J1255" s="3" t="inlineStr">
        <is>
          <t>Open</t>
        </is>
      </c>
      <c r="K1255" s="3" t="inlineStr"/>
    </row>
    <row r="1256">
      <c r="A1256" s="3" t="n">
        <v>1441</v>
      </c>
      <c r="B1256" s="3" t="inlineStr">
        <is>
          <t>Maviret (Glecaprevir/Pibrentasvir) (MAV01)</t>
        </is>
      </c>
      <c r="C1256" s="9" t="inlineStr">
        <is>
          <t>Low</t>
        </is>
      </c>
      <c r="D1256" s="3" t="inlineStr">
        <is>
          <t>Pharmacokinetics/other</t>
        </is>
      </c>
      <c r="E1256" s="3" t="inlineStr"/>
      <c r="F1256" s="3" t="inlineStr">
        <is>
          <t>Update insert version tag to v3 (2025-12-12).</t>
        </is>
      </c>
      <c r="G1256" s="3" t="inlineStr">
        <is>
          <t>#仿單變更2020</t>
        </is>
      </c>
      <c r="H1256" s="3" t="inlineStr">
        <is>
          <t>Current TFDA insert is version 3, updated 114/12/12 (2025-12-12). The previous version was v2 of 113/05/22. The hospital tag is out of date and the acute-HCV indication is missing from the page.</t>
        </is>
      </c>
      <c r="I1256" s="3" t="inlineStr">
        <is>
          <t>TFDA 歷史仿單 listing for 衛部藥輸字第027323號</t>
        </is>
      </c>
      <c r="J1256" s="3" t="inlineStr">
        <is>
          <t>Open</t>
        </is>
      </c>
      <c r="K1256" s="3" t="inlineStr"/>
    </row>
    <row r="1257">
      <c r="A1257" s="3" t="n">
        <v>392</v>
      </c>
      <c r="B1257" s="3" t="inlineStr">
        <is>
          <t>Menocik (minocycline) (MEN04, MER01)</t>
        </is>
      </c>
      <c r="C1257" s="9" t="inlineStr">
        <is>
          <t>Low</t>
        </is>
      </c>
      <c r="D1257" s="3" t="inlineStr">
        <is>
          <t>Dosing – renal/dialysis</t>
        </is>
      </c>
      <c r="E1257" s="3" t="inlineStr"/>
      <c r="F1257" s="3" t="inlineStr">
        <is>
          <t>Cite US label source; note TW insert: lower dose/extend interval, keep levels ≤15 mcg/mL</t>
        </is>
      </c>
      <c r="G1257" s="3" t="inlineStr">
        <is>
          <t>CrCl &gt;80: no adjustment; CrCl &lt;80: do not exceed 200 mg/day (US-label values)</t>
        </is>
      </c>
      <c r="H1257" s="3" t="inlineStr">
        <is>
          <t>Consistent with the US FDA label. However, the product actually stocked (Menocik, Taiwan insert §3.1/§5.1) says 總劑量應比一般推薦劑量低或延長用藥間隔, with no numeric cut-off, and serum levels ≤15 mcg/mL in prolonged therapy. The hospital entry does not mention the product's own insert.</t>
        </is>
      </c>
      <c r="I1257" s="3" t="inlineStr">
        <is>
          <t>https://mcp.fda.gov.tw/im_detail_1/%E8%A1%9B%E9%83%A8%E8%97%A5%E8%A3%BD%E5%AD%97%E7%AC%AC060447%E8%99%9F</t>
        </is>
      </c>
      <c r="J1257" s="3" t="inlineStr">
        <is>
          <t>Open</t>
        </is>
      </c>
      <c r="K1257" s="3" t="inlineStr"/>
    </row>
    <row r="1258">
      <c r="A1258" s="3" t="n">
        <v>400</v>
      </c>
      <c r="B1258" s="3" t="inlineStr">
        <is>
          <t>Menocik (minocycline) (MEN04, MER01)</t>
        </is>
      </c>
      <c r="C1258" s="9" t="inlineStr">
        <is>
          <t>Low</t>
        </is>
      </c>
      <c r="D1258" s="3" t="inlineStr">
        <is>
          <t>Dosing – renal/dialysis</t>
        </is>
      </c>
      <c r="E1258" s="3" t="inlineStr"/>
      <c r="F1258" s="3" t="inlineStr">
        <is>
          <t>State renal values come from US label; add TW insert wording</t>
        </is>
      </c>
      <c r="G1258" s="3" t="inlineStr">
        <is>
          <t>CrCl &gt;80 no adjustment; CrCl &lt;80 do not exceed 200 mg/day</t>
        </is>
      </c>
      <c r="H1258" s="3" t="inlineStr">
        <is>
          <t>The values match the US FDA label. The hospital's own product insert (TW Menocik) has no CrCl cut-off; it says 總劑量應比一般推薦劑量低或延長用藥間隔 and, for prolonged therapy, to keep serum levels ≤15 mcg/mL. The page does not say the value comes from the US label.</t>
        </is>
      </c>
      <c r="I1258" s="3" t="inlineStr">
        <is>
          <t>TW Menocik 仿單 §3.1/§5.1 https://mcp.fda.gov.tw/im_detail_1/%E8%A1%9B%E9%83%A8%E8%97%A5%E8%A3%BD%E5%AD%97%E7%AC%AC060447%E8%99%9F</t>
        </is>
      </c>
      <c r="J1258" s="3" t="inlineStr">
        <is>
          <t>Open</t>
        </is>
      </c>
      <c r="K1258" s="3" t="inlineStr"/>
    </row>
    <row r="1259">
      <c r="A1259" s="3" t="n">
        <v>403</v>
      </c>
      <c r="B1259" s="3" t="inlineStr">
        <is>
          <t>Menocik (minocycline) (MEN04, MER01)</t>
        </is>
      </c>
      <c r="C1259" s="9" t="inlineStr">
        <is>
          <t>Low</t>
        </is>
      </c>
      <c r="D1259" s="3" t="inlineStr">
        <is>
          <t>Dosing – renal/dialysis</t>
        </is>
      </c>
      <c r="E1259" s="3" t="inlineStr"/>
      <c r="F1259" s="3" t="inlineStr">
        <is>
          <t>Cite FDA oral label instead of UpToDate for CrCl &lt;80 max 200 mg/day</t>
        </is>
      </c>
      <c r="G1259" s="3" t="inlineStr">
        <is>
          <t>CrCl ≥80 no adjustment; CrCl &lt;80 max 200 mg/day (UTD)</t>
        </is>
      </c>
      <c r="H1259" s="3" t="inlineStr">
        <is>
          <t>The TW Mero insert has no renal dosing. The value matches the FDA oral label ('total daily dosage should not exceed 200 mg in 24 hours'), but it is cited to UpToDate rather than the label.</t>
        </is>
      </c>
      <c r="I1259" s="3" t="inlineStr">
        <is>
          <t>FDA oral capsule label D&amp;A https://dailymed.nlm.nih.gov/dailymed/drugInfo.cfm?setid=a5fc4d50-50b2-46e0-b722-4c6b2ec47d06 ; TW Mero 仿單 §3 https://mcp.fda.gov.tw/im_detail_1/%E8%A1%9B%E7%BD%B2%E8%97%A5%E8%A3%BD%E5%AD%97%E7%AC%AC036940%E8%99%9F</t>
        </is>
      </c>
      <c r="J1259" s="3" t="inlineStr">
        <is>
          <t>Open</t>
        </is>
      </c>
      <c r="K1259" s="3" t="inlineStr"/>
    </row>
    <row r="1260">
      <c r="A1260" s="3" t="n">
        <v>393</v>
      </c>
      <c r="B1260" s="3" t="inlineStr">
        <is>
          <t>Menocik (minocycline) (MEN04, MER01)</t>
        </is>
      </c>
      <c r="C1260" s="9" t="inlineStr">
        <is>
          <t>Low</t>
        </is>
      </c>
      <c r="D1260" s="3" t="inlineStr">
        <is>
          <t>Pharmacokinetics/other</t>
        </is>
      </c>
      <c r="E1260" s="3" t="inlineStr"/>
      <c r="F1260" s="3" t="inlineStr">
        <is>
          <t>Replace excretion %s with label: urine/fecal recovery 1/2–1/3 of other tetracyclines</t>
        </is>
      </c>
      <c r="G1260" s="3" t="inlineStr">
        <is>
          <t>Urine 5% to 12% excreted unchanged; feces 20% to 34%</t>
        </is>
      </c>
      <c r="H1260" s="3" t="inlineStr">
        <is>
          <t>Neither the US FDA label nor the Menocik insert gives these figures. They state that urinary and fecal recovery is one-half to one-third that of other tetracyclines (Menocik insert §11: 在尿液及糞便中之回收率為其他四環素回收率之1/2至1/3).</t>
        </is>
      </c>
      <c r="I1260" s="3" t="inlineStr">
        <is>
          <t>https://mcp.fda.gov.tw/im_detail_1/%E8%A1%9B%E9%83%A8%E8%97%A5%E8%A3%BD%E5%AD%97%E7%AC%AC060447%E8%99%9F ; https://dailymed.nlm.nih.gov/dailymed/drugInfo.cfm?setid=a5fc4d50-50b2-46e0-b722-4c6b2ec47d06</t>
        </is>
      </c>
      <c r="J1260" s="3" t="inlineStr">
        <is>
          <t>Open</t>
        </is>
      </c>
      <c r="K1260" s="3" t="inlineStr"/>
    </row>
    <row r="1261">
      <c r="A1261" s="3" t="n">
        <v>394</v>
      </c>
      <c r="B1261" s="3" t="inlineStr">
        <is>
          <t>Menocik (minocycline) (MEN04, MER01)</t>
        </is>
      </c>
      <c r="C1261" s="9" t="inlineStr">
        <is>
          <t>Low</t>
        </is>
      </c>
      <c r="D1261" s="3" t="inlineStr">
        <is>
          <t>Pharmacokinetics/other</t>
        </is>
      </c>
      <c r="E1261" s="3" t="inlineStr"/>
      <c r="F1261" s="3" t="inlineStr">
        <is>
          <t>Correct strength to 100 mg/cap (capsule)</t>
        </is>
      </c>
      <c r="G1261" s="3" t="inlineStr">
        <is>
          <t>規格: Minocycline (HCl) 100mg/tab (劑型 Cap)</t>
        </is>
      </c>
      <c r="H1261" s="3" t="inlineStr">
        <is>
          <t>Mero is a capsule: '劑型 膠囊劑', '#2之藍頭、橙身硬膠囊'. The strength should read 100 mg/cap.</t>
        </is>
      </c>
      <c r="I1261" s="3" t="inlineStr">
        <is>
          <t>https://mcp.fda.gov.tw/im_detail_1/%E8%A1%9B%E7%BD%B2%E8%97%A5%E8%A3%BD%E5%AD%97%E7%AC%AC036940%E8%99%9F</t>
        </is>
      </c>
      <c r="J1261" s="3" t="inlineStr">
        <is>
          <t>Open</t>
        </is>
      </c>
      <c r="K1261" s="3" t="inlineStr"/>
    </row>
    <row r="1262">
      <c r="A1262" s="3" t="n">
        <v>401</v>
      </c>
      <c r="B1262" s="3" t="inlineStr">
        <is>
          <t>Menocik (minocycline) (MEN04, MER01)</t>
        </is>
      </c>
      <c r="C1262" s="9" t="inlineStr">
        <is>
          <t>Low</t>
        </is>
      </c>
      <c r="D1262" s="3" t="inlineStr">
        <is>
          <t>Pharmacokinetics/other</t>
        </is>
      </c>
      <c r="E1262" s="3" t="inlineStr"/>
      <c r="F1262" s="3" t="inlineStr">
        <is>
          <t>Correct strength to 100 mg/cap</t>
        </is>
      </c>
      <c r="G1262" s="3" t="inlineStr">
        <is>
          <t>Minocycline (HCl) 100mg/tab (劑型 Cap)</t>
        </is>
      </c>
      <c r="H1262" s="3" t="inlineStr">
        <is>
          <t>The product is a hard capsule: 膠囊劑, #2 blue/orange capsule printed 'G-3852'. The strength should read 100 mg/cap.</t>
        </is>
      </c>
      <c r="I1262" s="3" t="inlineStr">
        <is>
          <t>TW Mero 仿單 §1.3/§1.4 https://mcp.fda.gov.tw/im_detail_1/%E8%A1%9B%E7%BD%B2%E8%97%A5%E8%A3%BD%E5%AD%97%E7%AC%AC036940%E8%99%9F</t>
        </is>
      </c>
      <c r="J1262" s="3" t="inlineStr">
        <is>
          <t>Open</t>
        </is>
      </c>
      <c r="K1262" s="3" t="inlineStr"/>
    </row>
    <row r="1263">
      <c r="A1263" s="3" t="n">
        <v>404</v>
      </c>
      <c r="B1263" s="3" t="inlineStr">
        <is>
          <t>Menocik (minocycline) (MEN04, MER01)</t>
        </is>
      </c>
      <c r="C1263" s="9" t="inlineStr">
        <is>
          <t>Low</t>
        </is>
      </c>
      <c r="D1263" s="3" t="inlineStr">
        <is>
          <t>Pharmacokinetics/other</t>
        </is>
      </c>
      <c r="E1263" s="3" t="inlineStr"/>
      <c r="F1263" s="3" t="inlineStr">
        <is>
          <t>Replace 5–12% urine/20–34% feces with label 1/2–1/3 recovery statement</t>
        </is>
      </c>
      <c r="G1263" s="3" t="inlineStr">
        <is>
          <t>Excretion: Urine (5% to 12% excreted unchanged); feces (20% to 34%)</t>
        </is>
      </c>
      <c r="H1263" s="3" t="inlineStr">
        <is>
          <t>Neither the FDA nor the TW label gives these percentages. Both say only that urinary and fecal recovery is 1/2–1/3 that of other tetracyclines. The Notion body repeats '5-12%', which suggests it was copied from the hospital site or Lexicomp.</t>
        </is>
      </c>
      <c r="I1263" s="3" t="inlineStr">
        <is>
          <t>FDA oral capsule label CLINICAL PHARMACOLOGY https://dailymed.nlm.nih.gov/dailymed/drugInfo.cfm?setid=a5fc4d50-50b2-46e0-b722-4c6b2ec47d06 ; TW Menocik 仿單 §11 https://mcp.fda.gov.tw/im_detail_1/%E8%A1%9B%E9%83%A8%E8%97%A5%E8%A3%BD%E5%AD%97%E7%AC%AC060447%E8%99%9F</t>
        </is>
      </c>
      <c r="J1263" s="3" t="inlineStr">
        <is>
          <t>Open</t>
        </is>
      </c>
      <c r="K1263" s="3" t="inlineStr"/>
    </row>
    <row r="1264">
      <c r="A1264" s="3" t="n">
        <v>1</v>
      </c>
      <c r="B1264" s="3" t="inlineStr">
        <is>
          <t>Meropenem (MER02)</t>
        </is>
      </c>
      <c r="C1264" s="9" t="inlineStr">
        <is>
          <t>Low</t>
        </is>
      </c>
      <c r="D1264" s="3" t="inlineStr">
        <is>
          <t>Pregnancy</t>
        </is>
      </c>
      <c r="E1264" s="3" t="inlineStr">
        <is>
          <t>FDA letter category</t>
        </is>
      </c>
      <c r="F1264" s="3" t="inlineStr">
        <is>
          <t>Replace category B with PLLR narrative: insufficient human data, no fetal toxicity in animals</t>
        </is>
      </c>
      <c r="G1264" s="3" t="inlineStr">
        <is>
          <t>B</t>
        </is>
      </c>
      <c r="H1264" s="3" t="inlineStr">
        <is>
          <t>The FDA retired letter categories (PLLR). Current label: insufficient human data; no fetal toxicity in animal studies</t>
        </is>
      </c>
      <c r="I1264" s="3" t="inlineStr">
        <is>
          <t>US label §8.1</t>
        </is>
      </c>
      <c r="J1264" s="3" t="inlineStr">
        <is>
          <t>Open</t>
        </is>
      </c>
      <c r="K1264" s="3" t="inlineStr"/>
    </row>
    <row r="1265">
      <c r="A1265" s="3" t="n">
        <v>682</v>
      </c>
      <c r="B1265" s="3" t="inlineStr">
        <is>
          <t>Mosflow (Moxifloxacin) (MOS04, FLO02)</t>
        </is>
      </c>
      <c r="C1265" s="9" t="inlineStr">
        <is>
          <t>Low</t>
        </is>
      </c>
      <c r="D1265" s="3" t="inlineStr">
        <is>
          <t>Adverse effects</t>
        </is>
      </c>
      <c r="E1265" s="3" t="inlineStr"/>
      <c r="F1265" s="3" t="inlineStr">
        <is>
          <t>Lead ADR list with nausea, diarrhoea, headache, dizziness; mark hypertension rare</t>
        </is>
      </c>
      <c r="G1265" s="3" t="inlineStr">
        <is>
          <t>Nausea, diarrhea, hypertension, palpitation, QT interval prolongation, skin rash.</t>
        </is>
      </c>
      <c r="H1265" s="3" t="inlineStr">
        <is>
          <t>The most common reactions are nausea, diarrhoea, headache and dizziness (US 6; TW 8: nausea and diarrhoea ≥3%). The TW insert classes hypertension as rare (少見) and palpitations as uncommon, so leading with them over headache and dizziness misrepresents the profile. Minor.</t>
        </is>
      </c>
      <c r="I1265" s="3" t="inlineStr">
        <is>
          <t>Floxsafe 仿單 8 副作用; US label 6 https://dailymed.nlm.nih.gov/dailymed/drugInfo.cfm?setid=656f582c-ecba-4ec8-9420-9562114d889b</t>
        </is>
      </c>
      <c r="J1265" s="3" t="inlineStr">
        <is>
          <t>Open</t>
        </is>
      </c>
      <c r="K1265" s="3" t="inlineStr"/>
    </row>
    <row r="1266">
      <c r="A1266" s="3" t="n">
        <v>683</v>
      </c>
      <c r="B1266" s="3" t="inlineStr">
        <is>
          <t>Mosflow (Moxifloxacin) (MOS04, FLO02)</t>
        </is>
      </c>
      <c r="C1266" s="9" t="inlineStr">
        <is>
          <t>Low</t>
        </is>
      </c>
      <c r="D1266" s="3" t="inlineStr">
        <is>
          <t>Dosing – renal/dialysis</t>
        </is>
      </c>
      <c r="E1266" s="3" t="inlineStr"/>
      <c r="F1266" s="3" t="inlineStr">
        <is>
          <t>Add literature source (PMID 15347636) for CRRT no-adjustment statement</t>
        </is>
      </c>
      <c r="G1266" s="3" t="inlineStr">
        <is>
          <t>No change for HD, PD or CRRT.</t>
        </is>
      </c>
      <c r="H1266" s="3" t="inlineStr">
        <is>
          <t>No label covers CRRT; the labels cover CrCl, HD and CAPD only. The statement is supported by literature (Fuhrmann 2004, PMID 15347636: 400 mg q24h in CVVHDF), but the hospital page gives no source. Not an error, just unsourced.</t>
        </is>
      </c>
      <c r="I1266" s="3" t="inlineStr">
        <is>
          <t>US label 8.6; PMID 15347636 https://pubmed.ncbi.nlm.nih.gov/15347636/</t>
        </is>
      </c>
      <c r="J1266" s="3" t="inlineStr">
        <is>
          <t>Open</t>
        </is>
      </c>
      <c r="K1266" s="3" t="inlineStr"/>
    </row>
    <row r="1267">
      <c r="A1267" s="3" t="n">
        <v>678</v>
      </c>
      <c r="B1267" s="3" t="inlineStr">
        <is>
          <t>Mosflow (Moxifloxacin) (MOS04, FLO02)</t>
        </is>
      </c>
      <c r="C1267" s="9" t="inlineStr">
        <is>
          <t>Low</t>
        </is>
      </c>
      <c r="D1267" s="3" t="inlineStr">
        <is>
          <t>Indication/coverage</t>
        </is>
      </c>
      <c r="E1267" s="3" t="inlineStr"/>
      <c r="F1267" s="3" t="inlineStr">
        <is>
          <t>Fix encoding: 慢性支氣管炎的急性惡化</t>
        </is>
      </c>
      <c r="G1267" s="3" t="inlineStr">
        <is>
          <t>慢性?氣管炎的急性惡化</t>
        </is>
      </c>
      <c r="H1267" s="3" t="inlineStr">
        <is>
          <t>慢性支氣管炎的急性惡化 (one character lost to an encoding error).</t>
        </is>
      </c>
      <c r="I1267" s="3" t="inlineStr">
        <is>
          <t>Mosflow 仿單 2 適應症 https://mcp.fda.gov.tw/im_detail_1/%E8%A1%9B%E7%BD%B2%E8%97%A5%E8%A3%BD%E5%AD%97%E7%AC%AC057910%E8%99%9F</t>
        </is>
      </c>
      <c r="J1267" s="3" t="inlineStr">
        <is>
          <t>Open</t>
        </is>
      </c>
      <c r="K1267" s="3" t="inlineStr"/>
    </row>
    <row r="1268">
      <c r="A1268" s="3" t="n">
        <v>692</v>
      </c>
      <c r="B1268" s="3" t="inlineStr">
        <is>
          <t>Mosflow (Moxifloxacin) (MOS04, FLO02)</t>
        </is>
      </c>
      <c r="C1268" s="9" t="inlineStr">
        <is>
          <t>Low</t>
        </is>
      </c>
      <c r="D1268" s="3" t="inlineStr">
        <is>
          <t>Indication/coverage</t>
        </is>
      </c>
      <c r="E1268" s="3" t="inlineStr"/>
      <c r="F1268" s="3" t="inlineStr">
        <is>
          <t>Fix encoding: 慢性支氣管炎的急性惡化</t>
        </is>
      </c>
      <c r="G1268" s="3" t="inlineStr">
        <is>
          <t>慢性?氣管炎的急性惡化 (character-encoding glitch)</t>
        </is>
      </c>
      <c r="H1268" s="3" t="inlineStr">
        <is>
          <t>Mosflow TW insert §2: 慢性支氣管炎的急性惡化</t>
        </is>
      </c>
      <c r="I1268" s="3" t="inlineStr">
        <is>
          <t>https://mcp.fda.gov.tw/im_detail_1/%E8%A1%9B%E7%BD%B2%E8%97%A5%E8%A3%BD%E5%AD%97%E7%AC%AC057910%E8%99%9F</t>
        </is>
      </c>
      <c r="J1268" s="3" t="inlineStr">
        <is>
          <t>Open</t>
        </is>
      </c>
      <c r="K1268" s="3" t="inlineStr"/>
    </row>
    <row r="1269">
      <c r="A1269" s="3" t="n">
        <v>681</v>
      </c>
      <c r="B1269" s="3" t="inlineStr">
        <is>
          <t>Mosflow (Moxifloxacin) (MOS04, FLO02)</t>
        </is>
      </c>
      <c r="C1269" s="9" t="inlineStr">
        <is>
          <t>Low</t>
        </is>
      </c>
      <c r="D1269" s="3" t="inlineStr">
        <is>
          <t>Pharmacokinetics/other</t>
        </is>
      </c>
      <c r="E1269" s="3" t="inlineStr"/>
      <c r="F1269" s="3" t="inlineStr">
        <is>
          <t>Add licence numbers and TFDA insert links for Mosflow and Floxsafe</t>
        </is>
      </c>
      <c r="G1269" s="3" t="inlineStr">
        <is>
          <t>No licence number or insert link on either page.</t>
        </is>
      </c>
      <c r="H1269" s="3" t="inlineStr">
        <is>
          <t>Mosflow is 衛署藥製字第057910號 (insert 2023-06-06). Floxsafe is 衛部藥輸字第026701號 (insert 2025-05-22).</t>
        </is>
      </c>
      <c r="I1269" s="3" t="inlineStr">
        <is>
          <t>TFDA insert pages (URLs above)</t>
        </is>
      </c>
      <c r="J1269" s="3" t="inlineStr">
        <is>
          <t>Open</t>
        </is>
      </c>
      <c r="K1269" s="3" t="inlineStr"/>
    </row>
    <row r="1270">
      <c r="A1270" s="3" t="n">
        <v>693</v>
      </c>
      <c r="B1270" s="3" t="inlineStr">
        <is>
          <t>Mosflow (Moxifloxacin) (MOS04, FLO02)</t>
        </is>
      </c>
      <c r="C1270" s="9" t="inlineStr">
        <is>
          <t>Low</t>
        </is>
      </c>
      <c r="D1270" s="3" t="inlineStr">
        <is>
          <t>Pharmacokinetics/other</t>
        </is>
      </c>
      <c r="E1270" s="3" t="inlineStr"/>
      <c r="F1270" s="3" t="inlineStr">
        <is>
          <t>Add licence numbers and TFDA insert links (057910, 026701)</t>
        </is>
      </c>
      <c r="G1270" s="3" t="inlineStr">
        <is>
          <t>仿單 field empty; no licence number shown</t>
        </is>
      </c>
      <c r="H1270" s="3" t="inlineStr">
        <is>
          <t>Licences 衛署藥製字第057910號 (Mosflow) and 衛部藥輸字第026701號 (Floxsafe) have TFDA insert pages updated 2023-06-06 and 2025-05-22. These links could be added.</t>
        </is>
      </c>
      <c r="I1270" s="3" t="inlineStr">
        <is>
          <t>https://mcp.fda.gov.tw/im_detail_1/%E8%A1%9B%E7%BD%B2%E8%97%A5%E8%A3%BD%E5%AD%97%E7%AC%AC057910%E8%99%9F ; https://mcp.fda.gov.tw/im_detail_1/%E8%A1%9B%E9%83%A8%E8%97%A5%E8%BC%B8%E5%AD%97%E7%AC%AC026701%E8%99%9F</t>
        </is>
      </c>
      <c r="J1270" s="3" t="inlineStr">
        <is>
          <t>Open</t>
        </is>
      </c>
      <c r="K1270" s="3" t="inlineStr"/>
    </row>
    <row r="1271">
      <c r="A1271" s="3" t="n">
        <v>694</v>
      </c>
      <c r="B1271" s="3" t="inlineStr">
        <is>
          <t>Mosflow (Moxifloxacin) (MOS04, FLO02)</t>
        </is>
      </c>
      <c r="C1271" s="9" t="inlineStr">
        <is>
          <t>Low</t>
        </is>
      </c>
      <c r="D1271" s="3" t="inlineStr">
        <is>
          <t>Pharmacokinetics/other</t>
        </is>
      </c>
      <c r="E1271" s="3" t="inlineStr"/>
      <c r="F1271" s="3" t="inlineStr">
        <is>
          <t>Change protein binding to ~30–50% (US) / ~40% (UK)</t>
        </is>
      </c>
      <c r="G1271" s="3" t="inlineStr">
        <is>
          <t>protein binding 50%</t>
        </is>
      </c>
      <c r="H1271" s="3" t="inlineStr">
        <is>
          <t>US 12.3: about 30–50%. UK SmPC 5.2: about 40–42%. 50% is the top of the range, not a point value. Minor.</t>
        </is>
      </c>
      <c r="I1271" s="3" t="inlineStr">
        <is>
          <t>https://dailymed.nlm.nih.gov/dailymed/drugInfo.cfm?setid=656f582c-ecba-4ec8-9420-9562114d889b ; https://www.medicines.org.uk/emc/product/6771/smpc</t>
        </is>
      </c>
      <c r="J1271" s="3" t="inlineStr">
        <is>
          <t>Open</t>
        </is>
      </c>
      <c r="K1271" s="3" t="inlineStr"/>
    </row>
    <row r="1272">
      <c r="A1272" s="3" t="n">
        <v>1146</v>
      </c>
      <c r="B1272" s="3" t="inlineStr">
        <is>
          <t>Mycobutin (Rifabutin) (MYC07)</t>
        </is>
      </c>
      <c r="C1272" s="9" t="inlineStr">
        <is>
          <t>Low</t>
        </is>
      </c>
      <c r="D1272" s="3" t="inlineStr">
        <is>
          <t>Administration/compatibility</t>
        </is>
      </c>
      <c r="E1272" s="3" t="inlineStr"/>
      <c r="F1272" s="3" t="inlineStr">
        <is>
          <t>Change storage to below 25°C per TW insert §13.3.</t>
        </is>
      </c>
      <c r="G1272" s="3" t="inlineStr">
        <is>
          <t>請置於 15-30℃ 乾燥處儲存</t>
        </is>
      </c>
      <c r="H1272" s="3" t="inlineStr">
        <is>
          <t>仿單 §13.3: 25℃以下儲存 (UK §6.4: store below 25°C)</t>
        </is>
      </c>
      <c r="I1272" s="3" t="inlineStr">
        <is>
          <t>仿單 §13.3 https://mcp.fda.gov.tw/im_detail_1/%E8%A1%9B%E7%BD%B2%E8%97%A5%E8%BC%B8%E5%AD%97%E7%AC%AC020999%E8%99%9F</t>
        </is>
      </c>
      <c r="J1272" s="3" t="inlineStr">
        <is>
          <t>Open</t>
        </is>
      </c>
      <c r="K1272" s="3" t="inlineStr"/>
    </row>
    <row r="1273">
      <c r="A1273" s="3" t="n">
        <v>1138</v>
      </c>
      <c r="B1273" s="3" t="inlineStr">
        <is>
          <t>Mycobutin (Rifabutin) (MYC07)</t>
        </is>
      </c>
      <c r="C1273" s="9" t="inlineStr">
        <is>
          <t>Low</t>
        </is>
      </c>
      <c r="D1273" s="3" t="inlineStr">
        <is>
          <t>Pharmacokinetics/other</t>
        </is>
      </c>
      <c r="E1273" s="3" t="inlineStr"/>
      <c r="F1273" s="3" t="inlineStr">
        <is>
          <t>Add licence 衛署藥輸字第020999號 and link to insert CDS 20250611-1.</t>
        </is>
      </c>
      <c r="G1273" s="3" t="inlineStr">
        <is>
          <t>No licence number or package-insert link on the P4 page.</t>
        </is>
      </c>
      <c r="H1273" s="3" t="inlineStr">
        <is>
          <t>The TFDA licence is 衛署藥輸字第020999號 and the current insert is CDS 20250611-1. The hospital page should link it.</t>
        </is>
      </c>
      <c r="I1273" s="3" t="inlineStr">
        <is>
          <t>https://mcp.fda.gov.tw/im_detail_1/%E8%A1%9B%E7%BD%B2%E8%97%A5%E8%BC%B8%E5%AD%97%E7%AC%AC020999%E8%99%9F</t>
        </is>
      </c>
      <c r="J1273" s="3" t="inlineStr">
        <is>
          <t>Open</t>
        </is>
      </c>
      <c r="K1273" s="3" t="inlineStr"/>
    </row>
    <row r="1274">
      <c r="A1274" s="3" t="n">
        <v>1147</v>
      </c>
      <c r="B1274" s="3" t="inlineStr">
        <is>
          <t>Mycobutin (Rifabutin) (MYC07)</t>
        </is>
      </c>
      <c r="C1274" s="9" t="inlineStr">
        <is>
          <t>Low</t>
        </is>
      </c>
      <c r="D1274" s="3" t="inlineStr">
        <is>
          <t>Pharmacokinetics/other</t>
        </is>
      </c>
      <c r="E1274" s="3" t="inlineStr"/>
      <c r="F1274" s="3" t="inlineStr">
        <is>
          <t>Add licence 衛署藥輸字第020999號 and current insert link for MYC07/MYC09.</t>
        </is>
      </c>
      <c r="G1274" s="3" t="inlineStr">
        <is>
          <t>仿單 field empty; no licence number shown (MYC07 and MYC09)</t>
        </is>
      </c>
      <c r="H1274" s="3" t="inlineStr">
        <is>
          <t>Licence 衛署藥輸字第020999號; current TFDA insert version CDS 20250611-1</t>
        </is>
      </c>
      <c r="I1274" s="3" t="inlineStr">
        <is>
          <t>https://mcp.fda.gov.tw/im_detail_1/%E8%A1%9B%E7%BD%B2%E8%97%A5%E8%BC%B8%E5%AD%97%E7%AC%AC020999%E8%99%9F ; hospital pages https://pharmacy.fjuh.fju.edu.tw/Key_Search/P4?query=MYC07 and https://pharmacy.fjuh.fju.edu.tw/Key_Search/P4?query=MYC09</t>
        </is>
      </c>
      <c r="J1274" s="3" t="inlineStr">
        <is>
          <t>Open</t>
        </is>
      </c>
      <c r="K1274" s="3" t="inlineStr"/>
    </row>
    <row r="1275">
      <c r="A1275" s="3" t="n">
        <v>1131</v>
      </c>
      <c r="B1275" s="3" t="inlineStr">
        <is>
          <t>Mycobutin (Rifabutin) (MYC07)</t>
        </is>
      </c>
      <c r="C1275" s="9" t="inlineStr">
        <is>
          <t>Low</t>
        </is>
      </c>
      <c r="D1275" s="3" t="inlineStr">
        <is>
          <t>Pregnancy</t>
        </is>
      </c>
      <c r="E1275" s="3" t="inlineStr">
        <is>
          <t>FDA letter category</t>
        </is>
      </c>
      <c r="F1275" s="3" t="inlineStr">
        <is>
          <t>Replace category B with narrative; note UK SmPC advises against use in pregnancy.</t>
        </is>
      </c>
      <c r="G1275" s="3" t="inlineStr">
        <is>
          <t>B</t>
        </is>
      </c>
      <c r="H1275" s="3" t="inlineStr">
        <is>
          <t>FDA letter categories are retired. US/TW say to use only if benefit justifies fetal risk; UK §4.3/§4.6 says it should not be used in pregnancy.</t>
        </is>
      </c>
      <c r="I1275" s="3" t="inlineStr">
        <is>
          <t>US label PREGNANCY https://dailymed.nlm.nih.gov/dailymed/drugInfo.cfm?setid=baf8ec98-bd0c-4b87-a7ee-813335431b89; UK SmPC §4.3/§4.6 https://www.medicines.org.uk/emc/product/1088/smpc; TW 仿單 §6.1</t>
        </is>
      </c>
      <c r="J1275" s="3" t="inlineStr">
        <is>
          <t>Open</t>
        </is>
      </c>
      <c r="K1275" s="3" t="inlineStr"/>
    </row>
    <row r="1276">
      <c r="A1276" s="3" t="n">
        <v>1139</v>
      </c>
      <c r="B1276" s="3" t="inlineStr">
        <is>
          <t>Mycobutin (Rifabutin) (MYC07)</t>
        </is>
      </c>
      <c r="C1276" s="9" t="inlineStr">
        <is>
          <t>Low</t>
        </is>
      </c>
      <c r="D1276" s="3" t="inlineStr">
        <is>
          <t>Pregnancy</t>
        </is>
      </c>
      <c r="E1276" s="3" t="inlineStr">
        <is>
          <t>FDA letter category</t>
        </is>
      </c>
      <c r="F1276" s="3" t="inlineStr">
        <is>
          <t>Replace category B with narrative for MYC07/MYC09; UK says avoid in pregnancy.</t>
        </is>
      </c>
      <c r="G1276" s="3" t="inlineStr">
        <is>
          <t>B</t>
        </is>
      </c>
      <c r="H1276" s="3" t="inlineStr">
        <is>
          <t>FDA letter categories are retired. US and 仿單 §6.1: use only if benefit justifies fetal risk. UK §4.3/§4.6: should not be used in pregnancy.</t>
        </is>
      </c>
      <c r="I1276" s="3" t="inlineStr">
        <is>
          <t>US label Pregnancy https://dailymed.nlm.nih.gov/dailymed/drugInfo.cfm?setid=baf8ec98-bd0c-4b87-a7ee-813335431b89 ; 仿單 §6.1 https://mcp.fda.gov.tw/im_detail_1/%E8%A1%9B%E7%BD%B2%E8%97%A5%E8%BC%B8%E5%AD%97%E7%AC%AC020999%E8%99%9F ; UK SmPC §4.3/4.6 https://www.medicines.org.uk/emc/product/1088/smpc</t>
        </is>
      </c>
      <c r="J1276" s="3" t="inlineStr">
        <is>
          <t>Open</t>
        </is>
      </c>
      <c r="K1276" s="3" t="inlineStr"/>
    </row>
    <row r="1277">
      <c r="A1277" s="3" t="n">
        <v>221</v>
      </c>
      <c r="B1277" s="3" t="inlineStr">
        <is>
          <t>Myfungin (Micafungin) (MYF02)</t>
        </is>
      </c>
      <c r="C1277" s="9" t="inlineStr">
        <is>
          <t>Low</t>
        </is>
      </c>
      <c r="D1277" s="3" t="inlineStr">
        <is>
          <t>Dosing – hepatic</t>
        </is>
      </c>
      <c r="E1277" s="3" t="inlineStr"/>
      <c r="F1277" s="3" t="inlineStr">
        <is>
          <t>Optionally add UK caution: severe hepatic impairment not recommended</t>
        </is>
      </c>
      <c r="G1277" s="3" t="inlineStr">
        <is>
          <t>No adjustment (per brief)</t>
        </is>
      </c>
      <c r="H1277" s="3" t="inlineStr">
        <is>
          <t>Matches the TW and US labels, which give no adjustment for mild, moderate or severe impairment. The UK SmPC differs: severe impairment is 'not recommended'. Consider adding the UK caution.</t>
        </is>
      </c>
      <c r="I1277" s="3" t="inlineStr">
        <is>
          <t>Taiwan insert 6.6; UK SmPC 4.2</t>
        </is>
      </c>
      <c r="J1277" s="3" t="inlineStr">
        <is>
          <t>Open</t>
        </is>
      </c>
      <c r="K1277" s="3" t="inlineStr"/>
    </row>
    <row r="1278">
      <c r="A1278" s="3" t="n">
        <v>1283</v>
      </c>
      <c r="B1278" s="3" t="inlineStr">
        <is>
          <t>Odefsey (Rilpivirine/Emtricitabine/TAF) (ODE01)</t>
        </is>
      </c>
      <c r="C1278" s="9" t="inlineStr">
        <is>
          <t>Low</t>
        </is>
      </c>
      <c r="D1278" s="3" t="inlineStr">
        <is>
          <t>Adverse effects</t>
        </is>
      </c>
      <c r="E1278" s="3" t="inlineStr"/>
      <c r="F1278" s="3" t="inlineStr">
        <is>
          <t>Remove fever from ADR list; add listed items (decreased appetite, raised triglycerides, arthralgia).</t>
        </is>
      </c>
      <c r="G1278" s="3" t="inlineStr">
        <is>
          <t>includes 發燒 (fever)</t>
        </is>
      </c>
      <c r="H1278" s="3" t="inlineStr">
        <is>
          <t>Fever is not listed as an adverse reaction in TW Table 2 or US §6 (fever appears only as a feature of severe skin or hypersensitivity reactions); 關節痛 (uncommon), 高三酸甘油脂 and 食慾降低 are listed</t>
        </is>
      </c>
      <c r="I1278" s="3" t="inlineStr">
        <is>
          <t>TW 仿單 §8 表2; US §5.2, §6</t>
        </is>
      </c>
      <c r="J1278" s="3" t="inlineStr">
        <is>
          <t>Open</t>
        </is>
      </c>
      <c r="K1278" s="3" t="inlineStr"/>
    </row>
    <row r="1279">
      <c r="A1279" s="3" t="n">
        <v>1289</v>
      </c>
      <c r="B1279" s="3" t="inlineStr">
        <is>
          <t>Odefsey (Rilpivirine/Emtricitabine/TAF) (ODE01)</t>
        </is>
      </c>
      <c r="C1279" s="9" t="inlineStr">
        <is>
          <t>Low</t>
        </is>
      </c>
      <c r="D1279" s="3" t="inlineStr">
        <is>
          <t>Dosing – pediatric</t>
        </is>
      </c>
      <c r="E1279" s="3" t="inlineStr"/>
      <c r="F1279" s="3" t="inlineStr">
        <is>
          <t>Change to ≥12 y and ≥35 kg (inclusive); optionally note US ≥25 kg.</t>
        </is>
      </c>
      <c r="G1279" s="3" t="inlineStr">
        <is>
          <t>Children &gt;12 years and adolescents weighing &gt;35 kg</t>
        </is>
      </c>
      <c r="H1279" s="3" t="inlineStr">
        <is>
          <t>TW/UK: aged at least 12 y and weighing at least 35 kg (inclusive). US: ≥25 kg.</t>
        </is>
      </c>
      <c r="I1279" s="3" t="inlineStr">
        <is>
          <t>TW insert 2, 3.3; UK SmPC 4.1; US label 1 — https://www.medicines.org.uk/emc/product/7262/smpc</t>
        </is>
      </c>
      <c r="J1279" s="3" t="inlineStr">
        <is>
          <t>Open</t>
        </is>
      </c>
      <c r="K1279" s="3" t="inlineStr"/>
    </row>
    <row r="1280">
      <c r="A1280" s="3" t="n">
        <v>1276</v>
      </c>
      <c r="B1280" s="3" t="inlineStr">
        <is>
          <t>Odefsey (Rilpivirine/Emtricitabine/TAF) (ODE01)</t>
        </is>
      </c>
      <c r="C1280" s="9" t="inlineStr">
        <is>
          <t>Low</t>
        </is>
      </c>
      <c r="D1280" s="3" t="inlineStr">
        <is>
          <t>Pharmacokinetics/other</t>
        </is>
      </c>
      <c r="E1280" s="3" t="inlineStr"/>
      <c r="F1280" s="3" t="inlineStr">
        <is>
          <t>Correct TAF class to nucleotide RTI (NtRTI); rilpivirine is the only NNRTI.</t>
        </is>
      </c>
      <c r="G1280" s="3" t="inlineStr">
        <is>
          <t>Tenofovir alafenamide fumarate: Non-nucleotide Reverse Transcriptase Inhibito[r]</t>
        </is>
      </c>
      <c r="H1280" s="3" t="inlineStr">
        <is>
          <t>TAF is a nucleotide RTI (TW §10.1: 核苷酸反轉錄酶抑制劑 NtRTI; US §1: FTC and TAF are HIV nucleoside analog RTIs (NRTIs)); RPV is the only NNRTI in the product</t>
        </is>
      </c>
      <c r="I1280" s="3" t="inlineStr">
        <is>
          <t>TW 仿單 §10.1 https://mcp.fda.gov.tw/im_detail_1/%E8%A1%9B%E9%83%A8%E8%97%A5%E8%BC%B8%E5%AD%97%E7%AC%AC027505%E8%99%9F ; US label §1/§12.4 https://dailymed.nlm.nih.gov/dailymed/drugInfo.cfm?setid=ea3b9ec8-e04a-412c-8b3f-e5cbc7e641d5</t>
        </is>
      </c>
      <c r="J1280" s="3" t="inlineStr">
        <is>
          <t>Open</t>
        </is>
      </c>
      <c r="K1280" s="3" t="inlineStr"/>
    </row>
    <row r="1281">
      <c r="A1281" s="3" t="n">
        <v>1284</v>
      </c>
      <c r="B1281" s="3" t="inlineStr">
        <is>
          <t>Odefsey (Rilpivirine/Emtricitabine/TAF) (ODE01)</t>
        </is>
      </c>
      <c r="C1281" s="9" t="inlineStr">
        <is>
          <t>Low</t>
        </is>
      </c>
      <c r="D1281" s="3" t="inlineStr">
        <is>
          <t>Pharmacokinetics/other</t>
        </is>
      </c>
      <c r="E1281" s="3" t="inlineStr"/>
      <c r="F1281" s="3" t="inlineStr">
        <is>
          <t>Add TFDA insert link (衛部藥輸字第027505號, v4 2025-01-06); update version tag.</t>
        </is>
      </c>
      <c r="G1281" s="3" t="inlineStr">
        <is>
          <t>仿單 field empty; text marked '#仿單變更2022'</t>
        </is>
      </c>
      <c r="H1281" s="3" t="inlineStr">
        <is>
          <t>Current TW insert updated 114/01/06 (2025-01-06, v4) on the TFDA site under 衛部藥輸字第027505號</t>
        </is>
      </c>
      <c r="I1281" s="3" t="inlineStr">
        <is>
          <t>https://mcp.fda.gov.tw/im_detail_1/%E8%A1%9B%E9%83%A8%E8%97%A5%E8%BC%B8%E5%AD%97%E7%AC%AC027505%E8%99%9F</t>
        </is>
      </c>
      <c r="J1281" s="3" t="inlineStr">
        <is>
          <t>Open</t>
        </is>
      </c>
      <c r="K1281" s="3" t="inlineStr"/>
    </row>
    <row r="1282">
      <c r="A1282" s="3" t="n">
        <v>1285</v>
      </c>
      <c r="B1282" s="3" t="inlineStr">
        <is>
          <t>Odefsey (Rilpivirine/Emtricitabine/TAF) (ODE01)</t>
        </is>
      </c>
      <c r="C1282" s="9" t="inlineStr">
        <is>
          <t>Low</t>
        </is>
      </c>
      <c r="D1282" s="3" t="inlineStr">
        <is>
          <t>Pharmacokinetics/other</t>
        </is>
      </c>
      <c r="E1282" s="3" t="inlineStr"/>
      <c r="F1282" s="3" t="inlineStr">
        <is>
          <t>Correct pharmacology: TAF is a nucleotide RTI; rilpivirine is the NNRTI.</t>
        </is>
      </c>
      <c r="G1282" s="3" t="inlineStr">
        <is>
          <t>Tenofovir alafenamide fumarate: Non-nucleotide Reverse Transcriptase Inhibito[r]</t>
        </is>
      </c>
      <c r="H1282" s="3" t="inlineStr">
        <is>
          <t>TAF is a phosphonamidate prodrug of tenofovir, a nucleotide analogue of dAMP: a nucleotide RTI (NRTI) that causes chain termination. The non-nucleoside agent is RPV.</t>
        </is>
      </c>
      <c r="I1282" s="3" t="inlineStr">
        <is>
          <t>US label 12.4 — https://dailymed.nlm.nih.gov/dailymed/drugInfo.cfm?setid=ea3b9ec8-e04a-412c-8b3f-e5cbc7e641d5</t>
        </is>
      </c>
      <c r="J1282" s="3" t="inlineStr">
        <is>
          <t>Open</t>
        </is>
      </c>
      <c r="K1282" s="3" t="inlineStr"/>
    </row>
    <row r="1283">
      <c r="A1283" s="3" t="n">
        <v>1294</v>
      </c>
      <c r="B1283" s="3" t="inlineStr">
        <is>
          <t>Odefsey (Rilpivirine/Emtricitabine/TAF) (ODE01)</t>
        </is>
      </c>
      <c r="C1283" s="9" t="inlineStr">
        <is>
          <t>Low</t>
        </is>
      </c>
      <c r="D1283" s="3" t="inlineStr">
        <is>
          <t>Pharmacokinetics/other</t>
        </is>
      </c>
      <c r="E1283" s="3" t="inlineStr"/>
      <c r="F1283" s="3" t="inlineStr">
        <is>
          <t>Add TFDA insert link (027505, v4 2025-01-06); populate PK field.</t>
        </is>
      </c>
      <c r="G1283" s="3" t="inlineStr">
        <is>
          <t>仿單 field empty; 藥動學 field empty</t>
        </is>
      </c>
      <c r="H1283" s="3" t="inlineStr">
        <is>
          <t>TFDA insert available: 衛部藥輸字第027505號 (latest update 114/01/06, v4).</t>
        </is>
      </c>
      <c r="I1283" s="3" t="inlineStr">
        <is>
          <t>https://mcp.fda.gov.tw/im_detail_1/%E8%A1%9B%E9%83%A8%E8%97%A5%E8%BC%B8%E5%AD%97%E7%AC%AC027505%E8%99%9F</t>
        </is>
      </c>
      <c r="J1283" s="3" t="inlineStr">
        <is>
          <t>Open</t>
        </is>
      </c>
      <c r="K1283" s="3" t="inlineStr"/>
    </row>
    <row r="1284">
      <c r="A1284" s="3" t="n">
        <v>1295</v>
      </c>
      <c r="B1284" s="3" t="inlineStr">
        <is>
          <t>Odefsey (Rilpivirine/Emtricitabine/TAF) (ODE01)</t>
        </is>
      </c>
      <c r="C1284" s="9" t="inlineStr">
        <is>
          <t>Low</t>
        </is>
      </c>
      <c r="D1284" s="3" t="inlineStr">
        <is>
          <t>Pharmacokinetics/other</t>
        </is>
      </c>
      <c r="E1284" s="3" t="inlineStr"/>
      <c r="F1284" s="3" t="inlineStr">
        <is>
          <t>Label NxP nephrotoxicity grade as non-label source; cite label renal monitoring instead.</t>
        </is>
      </c>
      <c r="G1284" s="3" t="inlineStr">
        <is>
          <t>Johns Hopkins NxP list: 'significant or higher' nephrotoxic risk</t>
        </is>
      </c>
      <c r="H1284" s="3" t="inlineStr">
        <is>
          <t>This is not a label statement. The labels report renal impairment, PRT and Fanconi syndrome with TAF products and require renal monitoring, but give no risk grade. Plausible but unsourced against the official labels.</t>
        </is>
      </c>
      <c r="I1284" s="3" t="inlineStr">
        <is>
          <t>US label 5.5; UK SmPC 4.4 Nephrotoxicity</t>
        </is>
      </c>
      <c r="J1284" s="3" t="inlineStr">
        <is>
          <t>Open</t>
        </is>
      </c>
      <c r="K1284" s="3" t="inlineStr"/>
    </row>
    <row r="1285">
      <c r="A1285" s="3" t="n">
        <v>617</v>
      </c>
      <c r="B1285" s="3" t="inlineStr">
        <is>
          <t>Oxacillin (OXA10)</t>
        </is>
      </c>
      <c r="C1285" s="9" t="inlineStr">
        <is>
          <t>Low</t>
        </is>
      </c>
      <c r="D1285" s="3" t="inlineStr">
        <is>
          <t>Administration/compatibility</t>
        </is>
      </c>
      <c r="E1285" s="3" t="inlineStr"/>
      <c r="F1285" s="3" t="inlineStr">
        <is>
          <t>Add D5NS and Lactated Ringer's diluents, 0.5-2 mg/mL (TW insert)</t>
        </is>
      </c>
      <c r="G1285" s="3" t="inlineStr">
        <is>
          <t>稀釋溶液：NS、D5W (仿單)</t>
        </is>
      </c>
      <c r="H1285" s="3" t="inlineStr">
        <is>
          <t>TW insert §3.2 lists NS, D5W, D5NS and Lactated Ringer's at a final concentration of 0.5–2 mg/mL, so the hospital list is incomplete. This is administration info, not storage.</t>
        </is>
      </c>
      <c r="I1285" s="3" t="inlineStr">
        <is>
          <t>TW 仿單 §3.2</t>
        </is>
      </c>
      <c r="J1285" s="3" t="inlineStr">
        <is>
          <t>Open</t>
        </is>
      </c>
      <c r="K1285" s="3" t="inlineStr"/>
    </row>
    <row r="1286">
      <c r="A1286" s="3" t="n">
        <v>618</v>
      </c>
      <c r="B1286" s="3" t="inlineStr">
        <is>
          <t>Oxacillin (OXA10)</t>
        </is>
      </c>
      <c r="C1286" s="9" t="inlineStr">
        <is>
          <t>Low</t>
        </is>
      </c>
      <c r="D1286" s="3" t="inlineStr">
        <is>
          <t>Contraindication/warning</t>
        </is>
      </c>
      <c r="E1286" s="3" t="inlineStr"/>
      <c r="F1286" s="3" t="inlineStr">
        <is>
          <t>Optionally add cephalosporin/carbapenem cross-allergy note</t>
        </is>
      </c>
      <c r="G1286" s="3" t="inlineStr">
        <is>
          <t>Hypersensitivity to oxacillin or other penicillins</t>
        </is>
      </c>
      <c r="H1286" s="3" t="inlineStr">
        <is>
          <t>Consistent with the labels. TW also notes partial cross-allergy with cephalosporins, cephamycins and carbapenems.</t>
        </is>
      </c>
      <c r="I1286" s="3" t="inlineStr">
        <is>
          <t>US FDA label CONTRAINDICATIONS; TW 仿單 §4, §5.1</t>
        </is>
      </c>
      <c r="J1286" s="3" t="inlineStr">
        <is>
          <t>Open</t>
        </is>
      </c>
      <c r="K1286" s="3" t="inlineStr"/>
    </row>
    <row r="1287">
      <c r="A1287" s="3" t="n">
        <v>609</v>
      </c>
      <c r="B1287" s="3" t="inlineStr">
        <is>
          <t>Oxacillin (OXA10)</t>
        </is>
      </c>
      <c r="C1287" s="9" t="inlineStr">
        <is>
          <t>Low</t>
        </is>
      </c>
      <c r="D1287" s="3" t="inlineStr">
        <is>
          <t>Pharmacokinetics/other</t>
        </is>
      </c>
      <c r="E1287" s="3" t="inlineStr"/>
      <c r="F1287" s="3" t="inlineStr">
        <is>
          <t>Add licence 衛署藥製字第057753號</t>
        </is>
      </c>
      <c r="G1287" s="3" t="inlineStr">
        <is>
          <t>Not shown on the P4 page</t>
        </is>
      </c>
      <c r="H1287" s="3" t="inlineStr">
        <is>
          <t>衛署藥製字第057753號 (could be matched only through the NHI code AC57753209)</t>
        </is>
      </c>
      <c r="I1287" s="3" t="inlineStr">
        <is>
          <t>https://mcp.fda.gov.tw/im_detail_1/%E8%A1%9B%E7%BD%B2%E8%97%A5%E8%A3%BD%E5%AD%97%E7%AC%AC057753%E8%99%9F</t>
        </is>
      </c>
      <c r="J1287" s="3" t="inlineStr">
        <is>
          <t>Open</t>
        </is>
      </c>
      <c r="K1287" s="3" t="inlineStr"/>
    </row>
    <row r="1288">
      <c r="A1288" s="3" t="n">
        <v>616</v>
      </c>
      <c r="B1288" s="3" t="inlineStr">
        <is>
          <t>Oxacillin (OXA10)</t>
        </is>
      </c>
      <c r="C1288" s="9" t="inlineStr">
        <is>
          <t>Low</t>
        </is>
      </c>
      <c r="D1288" s="3" t="inlineStr">
        <is>
          <t>Pharmacokinetics/other</t>
        </is>
      </c>
      <c r="E1288" s="3" t="inlineStr"/>
      <c r="F1288" s="3" t="inlineStr">
        <is>
          <t>Add licence 衛署藥製字第057753號</t>
        </is>
      </c>
      <c r="G1288" s="3" t="inlineStr">
        <is>
          <t>(not shown on the P4 page)</t>
        </is>
      </c>
      <c r="H1288" s="3" t="inlineStr">
        <is>
          <t>衛署藥製字第057753號 (TFDA)</t>
        </is>
      </c>
      <c r="I1288" s="3" t="inlineStr">
        <is>
          <t>https://mcp.fda.gov.tw/im_detail_1/%E8%A1%9B%E7%BD%B2%E8%97%A5%E8%A3%BD%E5%AD%97%E7%AC%AC057753%E8%99%9F</t>
        </is>
      </c>
      <c r="J1288" s="3" t="inlineStr">
        <is>
          <t>Open</t>
        </is>
      </c>
      <c r="K1288" s="3" t="inlineStr"/>
    </row>
    <row r="1289">
      <c r="A1289" s="3" t="n">
        <v>602</v>
      </c>
      <c r="B1289" s="3" t="inlineStr">
        <is>
          <t>Oxacillin (OXA10)</t>
        </is>
      </c>
      <c r="C1289" s="9" t="inlineStr">
        <is>
          <t>Low</t>
        </is>
      </c>
      <c r="D1289" s="3" t="inlineStr">
        <is>
          <t>Pregnancy</t>
        </is>
      </c>
      <c r="E1289" s="3" t="inlineStr">
        <is>
          <t>FDA letter category</t>
        </is>
      </c>
      <c r="F1289" s="3" t="inlineStr">
        <is>
          <t>Replace FDA letter B with label narrative; TW: safety not established</t>
        </is>
      </c>
      <c r="G1289" s="3" t="inlineStr">
        <is>
          <t>B</t>
        </is>
      </c>
      <c r="H1289" s="3" t="inlineStr">
        <is>
          <t>The FDA retired letter categories (PLLR). The current narrative is: no fetal harm in mouse, rat or rabbit studies; no adequate human studies; use only if clearly needed. TW 仿單 §6.1: 懷孕期間安全性尚未建立.</t>
        </is>
      </c>
      <c r="I1289" s="3" t="inlineStr">
        <is>
          <t>US FDA label PRECAUTIONS – Pregnancy https://dailymed.nlm.nih.gov/dailymed/drugInfo.cfm?setid=4972ec74-1d9a-de9b-e063-6394a90af786; TW 仿單 §6.1 https://mcp.fda.gov.tw/im_detail_1/%E8%A1%9B%E7%BD%B2%E8%97%A5%E8%A3%BD%E5%AD%97%E7%AC%AC057753%E8%99%9F</t>
        </is>
      </c>
      <c r="J1289" s="3" t="inlineStr">
        <is>
          <t>Open</t>
        </is>
      </c>
      <c r="K1289" s="3" t="inlineStr"/>
    </row>
    <row r="1290">
      <c r="A1290" s="3" t="n">
        <v>610</v>
      </c>
      <c r="B1290" s="3" t="inlineStr">
        <is>
          <t>Oxacillin (OXA10)</t>
        </is>
      </c>
      <c r="C1290" s="9" t="inlineStr">
        <is>
          <t>Low</t>
        </is>
      </c>
      <c r="D1290" s="3" t="inlineStr">
        <is>
          <t>Pregnancy</t>
        </is>
      </c>
      <c r="E1290" s="3" t="inlineStr">
        <is>
          <t>FDA letter category</t>
        </is>
      </c>
      <c r="F1290" s="3" t="inlineStr">
        <is>
          <t>Replace FDA letter B with label narrative</t>
        </is>
      </c>
      <c r="G1290" s="3" t="inlineStr">
        <is>
          <t>B</t>
        </is>
      </c>
      <c r="H1290" s="3" t="inlineStr">
        <is>
          <t>FDA letter categories are retired. Current text: animal studies show no harm, no adequate human studies, use only if clearly needed. TW: 懷孕期間的安全性尚未建立.</t>
        </is>
      </c>
      <c r="I1290" s="3" t="inlineStr">
        <is>
          <t>US FDA label Pregnancy (Baxter v21, no letter) https://dailymed.nlm.nih.gov/dailymed/drugInfo.cfm?setid=d893e45b-7f18-4c67-b10c-1e2e52a6b3ef; TW 仿單 §6.1</t>
        </is>
      </c>
      <c r="J1290" s="3" t="inlineStr">
        <is>
          <t>Open</t>
        </is>
      </c>
      <c r="K1290" s="3" t="inlineStr"/>
    </row>
    <row r="1291">
      <c r="A1291" s="3" t="n">
        <v>421</v>
      </c>
      <c r="B1291" s="3" t="inlineStr">
        <is>
          <t>Pipe Tazo (Piperacillin/Tazobactam) (PIP01, TAP02)</t>
        </is>
      </c>
      <c r="C1291" s="9" t="inlineStr">
        <is>
          <t>Low</t>
        </is>
      </c>
      <c r="D1291" s="3" t="inlineStr">
        <is>
          <t>Adverse effects</t>
        </is>
      </c>
      <c r="E1291" s="3" t="inlineStr"/>
      <c r="F1291" s="3" t="inlineStr">
        <is>
          <t>Move flushing, hypotension, thrombophlebitis to &lt;1% band; phlebitis 1.3%</t>
        </is>
      </c>
      <c r="G1291" s="3" t="inlineStr">
        <is>
          <t>'1% to 10%: flushing (≤1%), hypotension (≤1%), phlebitis (1%), thrombophlebitis (≤1%) ...'</t>
        </is>
      </c>
      <c r="H1291" s="3" t="inlineStr">
        <is>
          <t>FDA Table 6: flushing, hypotension and thrombophlebitis ≤1% (they belong in the &lt;1% band); phlebitis 1.3%.</t>
        </is>
      </c>
      <c r="I1291" s="3" t="inlineStr">
        <is>
          <t>https://dailymed.nlm.nih.gov/dailymed/drugInfo.cfm?setid=a798faf5-cd97-4e35-a700-94c372978c46 (§6.1 Table 6)</t>
        </is>
      </c>
      <c r="J1291" s="3" t="inlineStr">
        <is>
          <t>Open</t>
        </is>
      </c>
      <c r="K1291" s="3" t="inlineStr"/>
    </row>
    <row r="1292">
      <c r="A1292" s="3" t="n">
        <v>407</v>
      </c>
      <c r="B1292" s="3" t="inlineStr">
        <is>
          <t>Pipe Tazo (Piperacillin/Tazobactam) (PIP01, TAP02)</t>
        </is>
      </c>
      <c r="C1292" s="9" t="inlineStr">
        <is>
          <t>Low</t>
        </is>
      </c>
      <c r="D1292" s="3" t="inlineStr">
        <is>
          <t>Indication/coverage</t>
        </is>
      </c>
      <c r="E1292" s="3" t="inlineStr"/>
      <c r="F1292" s="3" t="inlineStr">
        <is>
          <t>Move nephrotoxicity note from indication to warnings</t>
        </is>
      </c>
      <c r="G1292" s="3" t="inlineStr">
        <is>
          <t>Taiwan-insert indication sentence plus a Johns Hopkins NxP note ('significant nephrotoxic potential').</t>
        </is>
      </c>
      <c r="H1292" s="3" t="inlineStr">
        <is>
          <t>Nephrotoxicity is a warning (US §5.7; Taiwan insert §5.1.5 對重症病人的腎毒性), not an indication. The note belongs in the warnings field.</t>
        </is>
      </c>
      <c r="I1292" s="3" t="inlineStr">
        <is>
          <t>US FDA label §5.7 https://dailymed.nlm.nih.gov/dailymed/drugInfo.cfm?setid=a798faf5-cd97-4e35-a700-94c372978c46</t>
        </is>
      </c>
      <c r="J1292" s="3" t="inlineStr">
        <is>
          <t>Open</t>
        </is>
      </c>
      <c r="K1292" s="3" t="inlineStr"/>
    </row>
    <row r="1293">
      <c r="A1293" s="3" t="n">
        <v>416</v>
      </c>
      <c r="B1293" s="3" t="inlineStr">
        <is>
          <t>Pipe Tazo (Piperacillin/Tazobactam) (PIP01, TAP02)</t>
        </is>
      </c>
      <c r="C1293" s="9" t="inlineStr">
        <is>
          <t>Low</t>
        </is>
      </c>
      <c r="D1293" s="3" t="inlineStr">
        <is>
          <t>Indication/coverage</t>
        </is>
      </c>
      <c r="E1293" s="3" t="inlineStr"/>
      <c r="F1293" s="3" t="inlineStr">
        <is>
          <t>Move nephrotoxicity note to warnings; keep TW §2 indication text</t>
        </is>
      </c>
      <c r="G1293" s="3" t="inlineStr">
        <is>
          <t>Indication field opens with a Johns Hopkins NxP nephrotoxic-potential note before the insert indication text.</t>
        </is>
      </c>
      <c r="H1293" s="3" t="inlineStr">
        <is>
          <t>Indications per the Taiwan insert §2: moderate–severe infections incl. lower respiratory tract, UTI (complicated and uncomplicated), intra-abdominal, skin/skin structure, bacterial septicaemia, neutropenic patients, polymicrobial. Nephrotoxicity belongs under warnings: insert §5.1.5 / FDA §5.7 critically ill nephrotoxicity, plus vancomycin interaction.</t>
        </is>
      </c>
      <c r="I1293" s="3" t="inlineStr">
        <is>
          <t>https://mcp.fda.gov.tw/im_detail_1/%E8%A1%9B%E7%BD%B2%E8%97%A5%E8%A3%BD%E5%AD%97%E7%AC%AC056759%E8%99%9F (§2, §5.1.5)</t>
        </is>
      </c>
      <c r="J1293" s="3" t="inlineStr">
        <is>
          <t>Open</t>
        </is>
      </c>
      <c r="K1293" s="3" t="inlineStr"/>
    </row>
    <row r="1294">
      <c r="A1294" s="3" t="n">
        <v>411</v>
      </c>
      <c r="B1294" s="3" t="inlineStr">
        <is>
          <t>Pipe Tazo (Piperacillin/Tazobactam) (PIP01, TAP02)</t>
        </is>
      </c>
      <c r="C1294" s="9" t="inlineStr">
        <is>
          <t>Low</t>
        </is>
      </c>
      <c r="D1294" s="3" t="inlineStr">
        <is>
          <t>Pharmacokinetics/other</t>
        </is>
      </c>
      <c r="E1294" s="3" t="inlineStr"/>
      <c r="F1294" s="3" t="inlineStr">
        <is>
          <t>Link TFDA inserts 056759 and 045704</t>
        </is>
      </c>
      <c r="G1294" s="3" t="inlineStr">
        <is>
          <t>Empty on both the PIP01 and TAP02 pages.</t>
        </is>
      </c>
      <c r="H1294" s="3" t="inlineStr">
        <is>
          <t>Current inserts are available on the TFDA platform: Pipe Tazo 衛署藥製字第056759號 (PDF uploaded 2024-01-24) and Tapimycin 衛署藥製字第045704號 (files dated 2023-06-27).</t>
        </is>
      </c>
      <c r="I1294" s="3" t="inlineStr">
        <is>
          <t>https://mcp.fda.gov.tw/insert/pdfcasefile/542125f3-4498-4f38-ae67-e5b5c57d88d5 ; https://mcp.fda.gov.tw/im_detail_1/%E8%A1%9B%E7%BD%B2%E8%97%A5%E8%A3%BD%E5%AD%97%E7%AC%AC045704%E8%99%9F</t>
        </is>
      </c>
      <c r="J1294" s="3" t="inlineStr">
        <is>
          <t>Open</t>
        </is>
      </c>
      <c r="K1294" s="3" t="inlineStr"/>
    </row>
    <row r="1295">
      <c r="A1295" s="3" t="n">
        <v>413</v>
      </c>
      <c r="B1295" s="3" t="inlineStr">
        <is>
          <t>Pipe Tazo (Piperacillin/Tazobactam) (PIP01, TAP02)</t>
        </is>
      </c>
      <c r="C1295" s="9" t="inlineStr">
        <is>
          <t>Low</t>
        </is>
      </c>
      <c r="D1295" s="3" t="inlineStr">
        <is>
          <t>Pharmacokinetics/other</t>
        </is>
      </c>
      <c r="E1295" s="3" t="inlineStr"/>
      <c r="F1295" s="3" t="inlineStr">
        <is>
          <t>No change; verification scope note</t>
        </is>
      </c>
      <c r="G1295" s="3" t="inlineStr">
        <is>
          <t>The hospital-site content above comes from the prepared source brief. I did not re-fetch pharmacy.fjuh.fju.edu.tw.</t>
        </is>
      </c>
      <c r="H1295" s="3" t="inlineStr">
        <is>
          <t>I checked the official values each hospital-site item is compared against directly in the saved US label, SmPC and Taiwan insert texts.</t>
        </is>
      </c>
      <c r="I1295" s="3" t="inlineStr">
        <is>
          <t>/home/user/antibiotics-guide/verification/sources/piperacillin-and-tazobactam.json; /home/user/antibiotics-guide/verification/sources/piperacillin-and-tazobactam-taiwan-insert-pipe-tazo.txt; /home/user/antibiotics-guide/verification/sources/piperacillin-and-tazobactam-taiwan-insert-tapimycin.txt</t>
        </is>
      </c>
      <c r="J1295" s="3" t="inlineStr">
        <is>
          <t>Open</t>
        </is>
      </c>
      <c r="K1295" s="3" t="inlineStr"/>
    </row>
    <row r="1296">
      <c r="A1296" s="3" t="n">
        <v>420</v>
      </c>
      <c r="B1296" s="3" t="inlineStr">
        <is>
          <t>Pipe Tazo (Piperacillin/Tazobactam) (PIP01, TAP02)</t>
        </is>
      </c>
      <c r="C1296" s="9" t="inlineStr">
        <is>
          <t>Low</t>
        </is>
      </c>
      <c r="D1296" s="3" t="inlineStr">
        <is>
          <t>Pharmacokinetics/other</t>
        </is>
      </c>
      <c r="E1296" s="3" t="inlineStr"/>
      <c r="F1296" s="3" t="inlineStr">
        <is>
          <t>ATC code: J01CR05 only</t>
        </is>
      </c>
      <c r="G1296" s="3" t="inlineStr">
        <is>
          <t>J01CR05, J01CA12, J01CG02</t>
        </is>
      </c>
      <c r="H1296" s="3" t="inlineStr">
        <is>
          <t>The combination product is J01CR05 only. J01CA12 (piperacillin alone) and J01CG02 (tazobactam alone) do not apply.</t>
        </is>
      </c>
      <c r="I1296" s="3" t="inlineStr">
        <is>
          <t>UK SmPC §5.1 'ATC-Code: J01C R05' – https://www.medicines.org.uk/emc/product/8757/smpc</t>
        </is>
      </c>
      <c r="J1296" s="3" t="inlineStr">
        <is>
          <t>Open</t>
        </is>
      </c>
      <c r="K1296" s="3" t="inlineStr"/>
    </row>
    <row r="1297">
      <c r="A1297" s="3" t="n">
        <v>422</v>
      </c>
      <c r="B1297" s="3" t="inlineStr">
        <is>
          <t>Pipe Tazo (Piperacillin/Tazobactam) (PIP01, TAP02)</t>
        </is>
      </c>
      <c r="C1297" s="9" t="inlineStr">
        <is>
          <t>Low</t>
        </is>
      </c>
      <c r="D1297" s="3" t="inlineStr">
        <is>
          <t>Pharmacokinetics/other</t>
        </is>
      </c>
      <c r="E1297" s="3" t="inlineStr"/>
      <c r="F1297" s="3" t="inlineStr">
        <is>
          <t>Link TFDA inserts; note Pipe Tazo insert lacks HLH and sodium inconsistency</t>
        </is>
      </c>
      <c r="G1297" s="3" t="inlineStr">
        <is>
          <t>Insert (仿單) link field is empty on both pages.</t>
        </is>
      </c>
      <c r="H1297" s="3" t="inlineStr">
        <is>
          <t>Official TFDA inserts exist: Pipe Tazo 衛署藥製字第056759號 (latest PDF uploaded 2024-01-24); Tapimycin 衛署藥製字第045704號 (latest files 2023-06-27). Note: the Pipe Tazo insert lacks the HLH warning that Tapimycin and the US label carry, and it states sodium inconsistently (65/64/54 mg per g).</t>
        </is>
      </c>
      <c r="I1297" s="3" t="inlineStr">
        <is>
          <t>https://mcp.fda.gov.tw/im_detail_1/%E8%A1%9B%E7%BD%B2%E8%97%A5%E8%A3%BD%E5%AD%97%E7%AC%AC056759%E8%99%9F ; https://mcp.fda.gov.tw/insert/pdfcasefile/542125f3-4498-4f38-ae67-e5b5c57d88d5 ; https://mcp.fda.gov.tw/im_detail_1/%E8%A1%9B%E7%BD%B2%E8%97%A5%E8%A3%BD%E5%AD%97%E7%AC%AC045704%E8%99%9F</t>
        </is>
      </c>
      <c r="J1297" s="3" t="inlineStr">
        <is>
          <t>Open</t>
        </is>
      </c>
      <c r="K1297" s="3" t="inlineStr"/>
    </row>
    <row r="1298">
      <c r="A1298" s="3" t="n">
        <v>405</v>
      </c>
      <c r="B1298" s="3" t="inlineStr">
        <is>
          <t>Pipe Tazo (Piperacillin/Tazobactam) (PIP01, TAP02)</t>
        </is>
      </c>
      <c r="C1298" s="9" t="inlineStr">
        <is>
          <t>Low</t>
        </is>
      </c>
      <c r="D1298" s="3" t="inlineStr">
        <is>
          <t>Pregnancy</t>
        </is>
      </c>
      <c r="E1298" s="3" t="inlineStr">
        <is>
          <t>FDA letter category</t>
        </is>
      </c>
      <c r="F1298" s="3" t="inlineStr">
        <is>
          <t>Replace category B with risk summary (crosses placenta, insufficient human data)</t>
        </is>
      </c>
      <c r="G1298" s="3" t="inlineStr">
        <is>
          <t>B (FDA letter category)</t>
        </is>
      </c>
      <c r="H1298" s="3" t="inlineStr">
        <is>
          <t>Risk-summary format: crosses placenta; insufficient human data; no teratogenicity in animals. The FDA has retired letter categories, and both Taiwan inserts use the risk-summary wording.</t>
        </is>
      </c>
      <c r="I1298" s="3" t="inlineStr">
        <is>
          <t>US FDA label §8.1 https://dailymed.nlm.nih.gov/dailymed/drugInfo.cfm?setid=a798faf5-cd97-4e35-a700-94c372978c46; TW insert 帝斯坦 §6.1 https://mcp.fda.gov.tw/im_detail_1/%E8%A1%9B%E7%BD%B2%E8%97%A5%E8%A3%BD%E5%AD%97%E7%AC%AC056759%E8%99%9F</t>
        </is>
      </c>
      <c r="J1298" s="3" t="inlineStr">
        <is>
          <t>Open</t>
        </is>
      </c>
      <c r="K1298" s="3" t="inlineStr"/>
    </row>
    <row r="1299">
      <c r="A1299" s="3" t="n">
        <v>414</v>
      </c>
      <c r="B1299" s="3" t="inlineStr">
        <is>
          <t>Pipe Tazo (Piperacillin/Tazobactam) (PIP01, TAP02)</t>
        </is>
      </c>
      <c r="C1299" s="9" t="inlineStr">
        <is>
          <t>Low</t>
        </is>
      </c>
      <c r="D1299" s="3" t="inlineStr">
        <is>
          <t>Pregnancy</t>
        </is>
      </c>
      <c r="E1299" s="3" t="inlineStr">
        <is>
          <t>FDA letter category</t>
        </is>
      </c>
      <c r="F1299" s="3" t="inlineStr">
        <is>
          <t>Replace category B text with PLLR risk summary</t>
        </is>
      </c>
      <c r="G1299" s="3" t="inlineStr">
        <is>
          <t>"B; Piperacillin/tazobactam is considered compatible with pregnancy when used for the treatment airway diseases, such as cystic fibrosis..."</t>
        </is>
      </c>
      <c r="H1299" s="3" t="inlineStr">
        <is>
          <t>FDA letter categories are retired. FDA §8.1 and Taiwan inserts 6.1 use a risk summary: crosses placenta, insufficient human data, no teratogenicity in animals. UK SmPC §4.6: use only if clearly indicated.</t>
        </is>
      </c>
      <c r="I1299" s="3" t="inlineStr">
        <is>
          <t>https://dailymed.nlm.nih.gov/dailymed/drugInfo.cfm?setid=a798faf5-cd97-4e35-a700-94c372978c46 (§8.1); https://mcp.fda.gov.tw/im_detail_1/%E8%A1%9B%E7%BD%B2%E8%97%A5%E8%A3%BD%E5%AD%97%E7%AC%AC056759%E8%99%9F (6.1)</t>
        </is>
      </c>
      <c r="J1299" s="3" t="inlineStr">
        <is>
          <t>Open</t>
        </is>
      </c>
      <c r="K1299" s="3" t="inlineStr"/>
    </row>
    <row r="1300">
      <c r="A1300" s="3" t="n">
        <v>873</v>
      </c>
      <c r="B1300" s="3" t="inlineStr">
        <is>
          <t>Posanol (Posaconazole) (POS01)</t>
        </is>
      </c>
      <c r="C1300" s="9" t="inlineStr">
        <is>
          <t>Low</t>
        </is>
      </c>
      <c r="D1300" s="3" t="inlineStr">
        <is>
          <t>Pharmacokinetics/other</t>
        </is>
      </c>
      <c r="E1300" s="3" t="inlineStr"/>
      <c r="F1300" s="3" t="inlineStr">
        <is>
          <t>Add licence 衛部藥輸字第026376號</t>
        </is>
      </c>
      <c r="G1300" s="3" t="inlineStr">
        <is>
          <t>No 許可證字號 shown on the P4 page.</t>
        </is>
      </c>
      <c r="H1300" s="3" t="inlineStr">
        <is>
          <t>衛部藥輸字第026376號. It was inferred from NHI code BC26376100 and confirmed by product name and DHA05202637608 on the TFDA page.</t>
        </is>
      </c>
      <c r="I1300" s="3" t="inlineStr">
        <is>
          <t>https://mcp.fda.gov.tw/im_detail_1/%E8%A1%9B%E9%83%A8%E8%97%A5%E8%BC%B8%E5%AD%97%E7%AC%AC026376%E8%99%9F</t>
        </is>
      </c>
      <c r="J1300" s="3" t="inlineStr">
        <is>
          <t>Open</t>
        </is>
      </c>
      <c r="K1300" s="3" t="inlineStr"/>
    </row>
    <row r="1301">
      <c r="A1301" s="3" t="n">
        <v>883</v>
      </c>
      <c r="B1301" s="3" t="inlineStr">
        <is>
          <t>Posanol (Posaconazole) (POS01)</t>
        </is>
      </c>
      <c r="C1301" s="9" t="inlineStr">
        <is>
          <t>Low</t>
        </is>
      </c>
      <c r="D1301" s="3" t="inlineStr">
        <is>
          <t>Pharmacokinetics/other</t>
        </is>
      </c>
      <c r="E1301" s="3" t="inlineStr"/>
      <c r="F1301" s="3" t="inlineStr">
        <is>
          <t>Update excretion: feces 77% (66% parent), urine 14% (&lt;0.2% parent)</t>
        </is>
      </c>
      <c r="G1301" s="3" t="inlineStr">
        <is>
          <t>Feces 71% (~66% as unchanged drug); Urine 13%</t>
        </is>
      </c>
      <c r="H1301" s="3" t="inlineStr">
        <is>
          <t>Feces 77% of radiolabelled dose (66% parent); urine 14% (&lt;0.2% parent) (minor)</t>
        </is>
      </c>
      <c r="I1301" s="3" t="inlineStr">
        <is>
          <t>TW 仿單 §11.5; UK SmPC §5.2 Elimination — https://www.medicines.org.uk/emc/product/5388/smpc</t>
        </is>
      </c>
      <c r="J1301" s="3" t="inlineStr">
        <is>
          <t>Open</t>
        </is>
      </c>
      <c r="K1301" s="3" t="inlineStr"/>
    </row>
    <row r="1302">
      <c r="A1302" s="3" t="n">
        <v>865</v>
      </c>
      <c r="B1302" s="3" t="inlineStr">
        <is>
          <t>Posanol (Posaconazole) (POS01)</t>
        </is>
      </c>
      <c r="C1302" s="9" t="inlineStr">
        <is>
          <t>Low</t>
        </is>
      </c>
      <c r="D1302" s="3" t="inlineStr">
        <is>
          <t>Pregnancy</t>
        </is>
      </c>
      <c r="E1302" s="3" t="inlineStr">
        <is>
          <t>FDA letter category</t>
        </is>
      </c>
      <c r="F1302" s="3" t="inlineStr">
        <is>
          <t>Replace category C with label narrative: avoid unless benefit outweighs risk</t>
        </is>
      </c>
      <c r="G1302" s="3" t="inlineStr">
        <is>
          <t>C (FDA)</t>
        </is>
      </c>
      <c r="H1302" s="3" t="inlineStr">
        <is>
          <t>FDA letter categories are retired. The US label uses a PLLR risk summary: animal data show skeletal malformations and human data are insufficient. TW/UK: do not use in pregnancy unless the benefit clearly outweighs the risk.</t>
        </is>
      </c>
      <c r="I1302" s="3" t="inlineStr">
        <is>
          <t>US label §8.1 https://dailymed.nlm.nih.gov/dailymed/drugInfo.cfm?setid=b073b082-7b57-4423-8c06-4fd4263d6f84; TW 仿單 §6.1</t>
        </is>
      </c>
      <c r="J1302" s="3" t="inlineStr">
        <is>
          <t>Open</t>
        </is>
      </c>
      <c r="K1302" s="3" t="inlineStr"/>
    </row>
    <row r="1303">
      <c r="A1303" s="3" t="n">
        <v>875</v>
      </c>
      <c r="B1303" s="3" t="inlineStr">
        <is>
          <t>Posanol (Posaconazole) (POS01)</t>
        </is>
      </c>
      <c r="C1303" s="9" t="inlineStr">
        <is>
          <t>Low</t>
        </is>
      </c>
      <c r="D1303" s="3" t="inlineStr">
        <is>
          <t>Pregnancy</t>
        </is>
      </c>
      <c r="E1303" s="3" t="inlineStr">
        <is>
          <t>FDA letter category</t>
        </is>
      </c>
      <c r="F1303" s="3" t="inlineStr">
        <is>
          <t>Replace category C with PLLR/TW avoid-unless-benefit statement</t>
        </is>
      </c>
      <c r="G1303" s="3" t="inlineStr">
        <is>
          <t>C (FDA)</t>
        </is>
      </c>
      <c r="H1303" s="3" t="inlineStr">
        <is>
          <t>The FDA retired letter categories. The US label §8.1 is a PLLR risk summary: animal skeletal malformations, insufficient human data. TW §6.1 and UK §4.6 say do not use unless the benefit outweighs the risk.</t>
        </is>
      </c>
      <c r="I1303" s="3" t="inlineStr">
        <is>
          <t>US FDA label §8.1 — https://dailymed.nlm.nih.gov/dailymed/drugInfo.cfm?setid=b073b082-7b57-4423-8c06-4fd4263d6f84</t>
        </is>
      </c>
      <c r="J1303" s="3" t="inlineStr">
        <is>
          <t>Open</t>
        </is>
      </c>
      <c r="K1303" s="3" t="inlineStr"/>
    </row>
    <row r="1304">
      <c r="A1304" s="3" t="n">
        <v>1154</v>
      </c>
      <c r="B1304" s="3" t="inlineStr">
        <is>
          <t>Priftin (Rifapentine) (PRI07)</t>
        </is>
      </c>
      <c r="C1304" s="9" t="inlineStr">
        <is>
          <t>Low</t>
        </is>
      </c>
      <c r="D1304" s="3" t="inlineStr">
        <is>
          <t>Contraindication/warning</t>
        </is>
      </c>
      <c r="E1304" s="3" t="inlineStr"/>
      <c r="F1304" s="3" t="inlineStr">
        <is>
          <t>Reword contraindication to label: known hypersensitivity to any rifamycin.</t>
        </is>
      </c>
      <c r="G1304" s="3" t="inlineStr">
        <is>
          <t>Hypersensitivity to rifapentine, other rifamycins, or any component of the formulation</t>
        </is>
      </c>
      <c r="H1304" s="3" t="inlineStr">
        <is>
          <t>The label contraindication is only 'Known hypersensitivity to any rifamycin'. Excipient hypersensitivity is not listed. Minor wording difference.</t>
        </is>
      </c>
      <c r="I1304" s="3" t="inlineStr">
        <is>
          <t>US FDA label §4.1 — https://dailymed.nlm.nih.gov/dailymed/drugInfo.cfm?setid=3a64fb70-b85e-43d9-8bcd-7e893f568ae1</t>
        </is>
      </c>
      <c r="J1304" s="3" t="inlineStr">
        <is>
          <t>Open</t>
        </is>
      </c>
      <c r="K1304" s="3" t="inlineStr"/>
    </row>
    <row r="1305">
      <c r="A1305" s="3" t="n">
        <v>1162</v>
      </c>
      <c r="B1305" s="3" t="inlineStr">
        <is>
          <t>Priftin (Rifapentine) (PRI07)</t>
        </is>
      </c>
      <c r="C1305" s="9" t="inlineStr">
        <is>
          <t>Low</t>
        </is>
      </c>
      <c r="D1305" s="3" t="inlineStr">
        <is>
          <t>Dosing – pediatric</t>
        </is>
      </c>
      <c r="E1305" s="3" t="inlineStr"/>
      <c r="F1305" s="3" t="inlineStr">
        <is>
          <t>State label requires DOT; attribute self-administered option to CDC 2018 guideline.</t>
        </is>
      </c>
      <c r="G1305" s="3" t="inlineStr">
        <is>
          <t>Children ≥2 y and adolescents: administer by DOT or self-administered.</t>
        </is>
      </c>
      <c r="H1305" s="3" t="inlineStr">
        <is>
          <t>The label specifies directly observed therapy (§2.2). Self-administered therapy comes from the CDC 2018 guideline update, not the label, so it should be attributed to the guideline.</t>
        </is>
      </c>
      <c r="I1305" s="3" t="inlineStr">
        <is>
          <t>US FDA Priftin label §2.2; Borisov AS et al. MMWR 2018;67:723-6, PMID 29953429 — https://pubmed.ncbi.nlm.nih.gov/29953429/</t>
        </is>
      </c>
      <c r="J1305" s="3" t="inlineStr">
        <is>
          <t>Open</t>
        </is>
      </c>
      <c r="K1305" s="3" t="inlineStr"/>
    </row>
    <row r="1306">
      <c r="A1306" s="3" t="n">
        <v>1153</v>
      </c>
      <c r="B1306" s="3" t="inlineStr">
        <is>
          <t>Priftin (Rifapentine) (PRI07)</t>
        </is>
      </c>
      <c r="C1306" s="9" t="inlineStr">
        <is>
          <t>Low</t>
        </is>
      </c>
      <c r="D1306" s="3" t="inlineStr">
        <is>
          <t>Pharmacokinetics/other</t>
        </is>
      </c>
      <c r="E1306" s="3" t="inlineStr"/>
      <c r="F1306" s="3" t="inlineStr">
        <is>
          <t>Correct half-lives to label values (~13–17 h); 24 h is metabolite Tmax.</t>
        </is>
      </c>
      <c r="G1306" s="3" t="inlineStr">
        <is>
          <t>Half-life: rifapentine ~17 h; 25-desacetyl rifapentine ~24 h</t>
        </is>
      </c>
      <c r="H1306" s="3" t="inlineStr">
        <is>
          <t>Label T½: rifapentine 13.19 h (single dose, fasted) and 16.6 h (with INH, fed); 25-desacetyl metabolite 13.35 h and 17.5 h. 24 h is the metabolite's median Tmax, not its half-life.</t>
        </is>
      </c>
      <c r="I1306" s="3" t="inlineStr">
        <is>
          <t>US FDA label §12.3 Tables (single-dose PK) — https://dailymed.nlm.nih.gov/dailymed/drugInfo.cfm?setid=3a64fb70-b85e-43d9-8bcd-7e893f568ae1</t>
        </is>
      </c>
      <c r="J1306" s="3" t="inlineStr">
        <is>
          <t>Open</t>
        </is>
      </c>
      <c r="K1306" s="3" t="inlineStr"/>
    </row>
    <row r="1307">
      <c r="A1307" s="3" t="n">
        <v>1156</v>
      </c>
      <c r="B1307" s="3" t="inlineStr">
        <is>
          <t>Priftin (Rifapentine) (PRI07)</t>
        </is>
      </c>
      <c r="C1307" s="9" t="inlineStr">
        <is>
          <t>Low</t>
        </is>
      </c>
      <c r="D1307" s="3" t="inlineStr">
        <is>
          <t>Pharmacokinetics/other</t>
        </is>
      </c>
      <c r="E1307" s="3" t="inlineStr"/>
      <c r="F1307" s="3" t="inlineStr">
        <is>
          <t>Record licence/import-permit number and NHI code so TW insert can be linked.</t>
        </is>
      </c>
      <c r="G1307" s="3" t="inlineStr">
        <is>
          <t>健保碼 blank; no licence number; 仿單 link not populated</t>
        </is>
      </c>
      <c r="H1307" s="3" t="inlineStr">
        <is>
          <t>Without a licence number the Taiwan TFDA insert (mcp.fda.gov.tw/im_detail_1/&lt;licence&gt;) cannot be found. The hospital should record the licence or import-permit number for this 公費 product.</t>
        </is>
      </c>
      <c r="I1307" s="3" t="inlineStr">
        <is>
          <t>pharmacy.fjuh.fju.edu.tw/Key_Search/P4?query=PRI07 (checked 2026-10-06; identification only)</t>
        </is>
      </c>
      <c r="J1307" s="3" t="inlineStr">
        <is>
          <t>Open</t>
        </is>
      </c>
      <c r="K1307" s="3" t="inlineStr"/>
    </row>
    <row r="1308">
      <c r="A1308" s="3" t="n">
        <v>1161</v>
      </c>
      <c r="B1308" s="3" t="inlineStr">
        <is>
          <t>Priftin (Rifapentine) (PRI07)</t>
        </is>
      </c>
      <c r="C1308" s="9" t="inlineStr">
        <is>
          <t>Low</t>
        </is>
      </c>
      <c r="D1308" s="3" t="inlineStr">
        <is>
          <t>Pharmacokinetics/other</t>
        </is>
      </c>
      <c r="E1308" s="3" t="inlineStr"/>
      <c r="F1308" s="3" t="inlineStr">
        <is>
          <t>Correct half-life values and note 70% is relative, not absolute, bioavailability.</t>
        </is>
      </c>
      <c r="G1308" s="3" t="inlineStr">
        <is>
          <t>Half-life rifapentine ~17 h, 25-desacetyl ~24 h; Bioavailability 70%.</t>
        </is>
      </c>
      <c r="H1308" s="3" t="inlineStr">
        <is>
          <t>Label: t½ 13.2 h (rifapentine) and 13.4 h (desacetyl) at 600 mg q72h; 16.6 h and 17.5 h at 900 mg with INH, fed. No ~24 h desacetyl value. 70% is RELATIVE bioavailability versus oral solution; absolute bioavailability has not been determined.</t>
        </is>
      </c>
      <c r="I1308" s="3" t="inlineStr">
        <is>
          <t>US FDA Priftin label §12.3 Tables 5–6, Absorption — https://dailymed.nlm.nih.gov/dailymed/drugInfo.cfm?setid=3a64fb70-b85e-43d9-8bcd-7e893f568ae1</t>
        </is>
      </c>
      <c r="J1308" s="3" t="inlineStr">
        <is>
          <t>Open</t>
        </is>
      </c>
      <c r="K1308" s="3" t="inlineStr"/>
    </row>
    <row r="1309">
      <c r="A1309" s="3" t="n">
        <v>1163</v>
      </c>
      <c r="B1309" s="3" t="inlineStr">
        <is>
          <t>Priftin (Rifapentine) (PRI07)</t>
        </is>
      </c>
      <c r="C1309" s="9" t="inlineStr">
        <is>
          <t>Low</t>
        </is>
      </c>
      <c r="D1309" s="3" t="inlineStr">
        <is>
          <t>Pharmacokinetics/other</t>
        </is>
      </c>
      <c r="E1309" s="3" t="inlineStr"/>
      <c r="F1309" s="3" t="inlineStr">
        <is>
          <t>Record licence number and verify stocked product source/appearance against Taiwan insert.</t>
        </is>
      </c>
      <c r="G1309" s="3" t="inlineStr">
        <is>
          <t>Tablet imprint '150', colour code 05; no 健保碼 and no 許可證字號 shown.</t>
        </is>
      </c>
      <c r="H1309" s="3" t="inlineStr">
        <is>
          <t>The US Priftin 150 mg tablet is 'round normal convex dark-pink film-coated, debossed F'. The stocked 公費 product may come from a different source or manufacturer than the US SPL. Without a licence number the Taiwan 仿單 cannot be retrieved; the pharmacist should record the 許可證字號 so the TW insert can be checked.</t>
        </is>
      </c>
      <c r="I1309" s="3" t="inlineStr">
        <is>
          <t>US FDA Priftin label §3 Dosage Forms and Strengths — https://dailymed.nlm.nih.gov/dailymed/drugInfo.cfm?setid=3a64fb70-b85e-43d9-8bcd-7e893f568ae1</t>
        </is>
      </c>
      <c r="J1309" s="3" t="inlineStr">
        <is>
          <t>Open</t>
        </is>
      </c>
      <c r="K1309" s="3" t="inlineStr"/>
    </row>
    <row r="1310">
      <c r="A1310" s="3" t="n">
        <v>1149</v>
      </c>
      <c r="B1310" s="3" t="inlineStr">
        <is>
          <t>Priftin (Rifapentine) (PRI07)</t>
        </is>
      </c>
      <c r="C1310" s="9" t="inlineStr">
        <is>
          <t>Low</t>
        </is>
      </c>
      <c r="D1310" s="3" t="inlineStr">
        <is>
          <t>Pregnancy</t>
        </is>
      </c>
      <c r="E1310" s="3" t="inlineStr">
        <is>
          <t>FDA letter category</t>
        </is>
      </c>
      <c r="F1310" s="3" t="inlineStr">
        <is>
          <t>Replace category C with label narrative: possible fetal harm; postpartum haemorrhage, neonatal bleeding, vitamin K.</t>
        </is>
      </c>
      <c r="G1310" s="3" t="inlineStr">
        <is>
          <t>C(FDA)</t>
        </is>
      </c>
      <c r="H1310" s="3" t="inlineStr">
        <is>
          <t>FDA letter categories are retired. The current label uses a PLLR narrative: based on animal data PRIFTIN may cause fetal harm; human data insufficient; late-pregnancy use linked to postpartum haemorrhage and neonatal bleeding (monitor PT, vitamin K).</t>
        </is>
      </c>
      <c r="I1310" s="3" t="inlineStr">
        <is>
          <t>US FDA label Priftin §8.1 — https://dailymed.nlm.nih.gov/dailymed/drugInfo.cfm?setid=3a64fb70-b85e-43d9-8bcd-7e893f568ae1</t>
        </is>
      </c>
      <c r="J1310" s="3" t="inlineStr">
        <is>
          <t>Open</t>
        </is>
      </c>
      <c r="K1310" s="3" t="inlineStr"/>
    </row>
    <row r="1311">
      <c r="A1311" s="3" t="n">
        <v>1157</v>
      </c>
      <c r="B1311" s="3" t="inlineStr">
        <is>
          <t>Priftin (Rifapentine) (PRI07)</t>
        </is>
      </c>
      <c r="C1311" s="9" t="inlineStr">
        <is>
          <t>Low</t>
        </is>
      </c>
      <c r="D1311" s="3" t="inlineStr">
        <is>
          <t>Pregnancy</t>
        </is>
      </c>
      <c r="E1311" s="3" t="inlineStr">
        <is>
          <t>FDA letter category</t>
        </is>
      </c>
      <c r="F1311" s="3" t="inlineStr">
        <is>
          <t>Replace category C with §8.1 narrative incl. late-pregnancy bleeding and PT/vitamin K monitoring.</t>
        </is>
      </c>
      <c r="G1311" s="3" t="inlineStr">
        <is>
          <t>C(FDA)</t>
        </is>
      </c>
      <c r="H1311" s="3" t="inlineStr">
        <is>
          <t>FDA letter categories are retired; the current Priftin label §8.1 gives a narrative risk summary: may cause fetal harm based on animal data, human data insufficient, and late-pregnancy postpartum haemorrhage / neonatal bleeding risk with PT monitoring.</t>
        </is>
      </c>
      <c r="I1311" s="3" t="inlineStr">
        <is>
          <t>US FDA Priftin label §8.1 — https://dailymed.nlm.nih.gov/dailymed/drugInfo.cfm?setid=3a64fb70-b85e-43d9-8bcd-7e893f568ae1</t>
        </is>
      </c>
      <c r="J1311" s="3" t="inlineStr">
        <is>
          <t>Open</t>
        </is>
      </c>
      <c r="K1311" s="3" t="inlineStr"/>
    </row>
    <row r="1312">
      <c r="A1312" s="3" t="n">
        <v>1181</v>
      </c>
      <c r="B1312" s="3" t="inlineStr">
        <is>
          <t>Pyrazinamide (PYR03)</t>
        </is>
      </c>
      <c r="C1312" s="9" t="inlineStr">
        <is>
          <t>Low</t>
        </is>
      </c>
      <c r="D1312" s="3" t="inlineStr">
        <is>
          <t>Pregnancy</t>
        </is>
      </c>
      <c r="E1312" s="3" t="inlineStr">
        <is>
          <t>FDA letter category</t>
        </is>
      </c>
      <c r="F1312" s="3" t="inlineStr">
        <is>
          <t>Replace category C with narrative: use only if benefit clearly outweighs fetal risk.</t>
        </is>
      </c>
      <c r="G1312" s="3" t="inlineStr">
        <is>
          <t>C</t>
        </is>
      </c>
      <c r="H1312" s="3" t="inlineStr">
        <is>
          <t>FDA letter categories are retired. The US label's 'Category C' is legacy text. The UK says to use only if benefit clearly outweighs fetal risk; the US says only if clearly needed. The 仿單 says nothing on pregnancy.</t>
        </is>
      </c>
      <c r="I1312" s="3" t="inlineStr">
        <is>
          <t>US label PREGNANCY https://dailymed.nlm.nih.gov/dailymed/drugInfo.cfm?setid=262d8829-728c-48db-b89b-88d13b87e684; UK SmPC §4.6 https://www.medicines.org.uk/emc/product/101051/smpc</t>
        </is>
      </c>
      <c r="J1312" s="3" t="inlineStr">
        <is>
          <t>Open</t>
        </is>
      </c>
      <c r="K1312" s="3" t="inlineStr"/>
    </row>
    <row r="1313">
      <c r="A1313" s="3" t="n">
        <v>1189</v>
      </c>
      <c r="B1313" s="3" t="inlineStr">
        <is>
          <t>Pyrazinamide (PYR03)</t>
        </is>
      </c>
      <c r="C1313" s="9" t="inlineStr">
        <is>
          <t>Low</t>
        </is>
      </c>
      <c r="D1313" s="3" t="inlineStr">
        <is>
          <t>Pregnancy</t>
        </is>
      </c>
      <c r="E1313" s="3" t="inlineStr">
        <is>
          <t>FDA letter category</t>
        </is>
      </c>
      <c r="F1313" s="3" t="inlineStr">
        <is>
          <t>Replace retired letter C with narrative: benefit/risk, ATS 2016 case-by-case use in pregnancy.</t>
        </is>
      </c>
      <c r="G1313" s="3" t="inlineStr">
        <is>
          <t>C</t>
        </is>
      </c>
      <c r="H1313" s="3" t="inlineStr">
        <is>
          <t>The FDA retired letter categories. The UK §4.6 says use only if benefit clearly outweighs risk (animal studies show no harm). The 2016 ATS/CDC/IDSA guideline says decide case-by-case and include PZA in HIV, extrapulmonary or severe TB.</t>
        </is>
      </c>
      <c r="I1313" s="3" t="inlineStr">
        <is>
          <t>UK SmPC §4.6 https://www.medicines.org.uk/emc/product/101051/smpc ; PMID 27516382 https://pubmed.ncbi.nlm.nih.gov/27516382/</t>
        </is>
      </c>
      <c r="J1313" s="3" t="inlineStr">
        <is>
          <t>Open</t>
        </is>
      </c>
      <c r="K1313" s="3" t="inlineStr"/>
    </row>
    <row r="1314">
      <c r="A1314" s="3" t="n">
        <v>75</v>
      </c>
      <c r="B1314" s="3" t="inlineStr">
        <is>
          <t>Rapiacta (Peramivir) (RAP02)</t>
        </is>
      </c>
      <c r="C1314" s="9" t="inlineStr">
        <is>
          <t>Low</t>
        </is>
      </c>
      <c r="D1314" s="3" t="inlineStr">
        <is>
          <t>Adverse effects</t>
        </is>
      </c>
      <c r="E1314" s="3" t="inlineStr"/>
      <c r="F1314" s="3" t="inlineStr">
        <is>
          <t>Remove QT prolongation; label shows no clinically relevant QTc effect</t>
        </is>
      </c>
      <c r="G1314" s="3" t="inlineStr">
        <is>
          <t>QT prolongation is listed as a side effect.</t>
        </is>
      </c>
      <c r="H1314" s="3" t="inlineStr">
        <is>
          <t>Not among the label's adverse reactions. §12.2 states that at twice the maximum recommended dose, RAPIVAB did not prolong QTc to any clinically relevant extent.</t>
        </is>
      </c>
      <c r="I1314" s="3" t="inlineStr">
        <is>
          <t>DailyMed RAPIVAB §12.2 Cardiac Electrophysiology, §6 https://dailymed.nlm.nih.gov/dailymed/drugInfo.cfm?setid=fe04f6cd-e71c-4bd4-abac-97720bba2a0d</t>
        </is>
      </c>
      <c r="J1314" s="3" t="inlineStr">
        <is>
          <t>Open</t>
        </is>
      </c>
      <c r="K1314" s="3" t="inlineStr"/>
    </row>
    <row r="1315">
      <c r="A1315" s="3" t="n">
        <v>76</v>
      </c>
      <c r="B1315" s="3" t="inlineStr">
        <is>
          <t>Rapiacta (Peramivir) (RAP02)</t>
        </is>
      </c>
      <c r="C1315" s="9" t="inlineStr">
        <is>
          <t>Low</t>
        </is>
      </c>
      <c r="D1315" s="3" t="inlineStr">
        <is>
          <t>Adverse effects</t>
        </is>
      </c>
      <c r="E1315" s="3" t="inlineStr"/>
      <c r="F1315" s="3" t="inlineStr">
        <is>
          <t>Verify source of thrombocytopenia/jaundice (TW insert?) and cite it</t>
        </is>
      </c>
      <c r="G1315" s="3" t="inlineStr">
        <is>
          <t>Per the source brief, includes thrombocytopenia and jaundice, along with proteinuria and hyperglycemia.</t>
        </is>
      </c>
      <c r="H1315" s="3" t="inlineStr">
        <is>
          <t>The FDA label lists hyperglycemia (adults) and proteinuria (pediatric dipstick). Thrombocytopenia and jaundice are not in FDA §6. Their source may be the Taiwan/Japan insert, which is unverified.</t>
        </is>
      </c>
      <c r="I1315" s="3" t="inlineStr">
        <is>
          <t>DailyMed RAPIVAB §6.1, §6.2 https://dailymed.nlm.nih.gov/dailymed/drugInfo.cfm?setid=fe04f6cd-e71c-4bd4-abac-97720bba2a0d</t>
        </is>
      </c>
      <c r="J1315" s="3" t="inlineStr">
        <is>
          <t>Open</t>
        </is>
      </c>
      <c r="K1315" s="3" t="inlineStr"/>
    </row>
    <row r="1316">
      <c r="A1316" s="3" t="n">
        <v>79</v>
      </c>
      <c r="B1316" s="3" t="inlineStr">
        <is>
          <t>Rapiacta (Peramivir) (RAP02)</t>
        </is>
      </c>
      <c r="C1316" s="9" t="inlineStr">
        <is>
          <t>Low</t>
        </is>
      </c>
      <c r="D1316" s="3" t="inlineStr">
        <is>
          <t>Dosing – pediatric</t>
        </is>
      </c>
      <c r="E1316" s="3" t="inlineStr"/>
      <c r="F1316" s="3" t="inlineStr">
        <is>
          <t>Cite FDA label pediatric dose (12 mg/kg, max 600 mg) instead of Lexicomp</t>
        </is>
      </c>
      <c r="G1316" s="3" t="inlineStr">
        <is>
          <t>Pediatric dosing is attributed to Lexicomp/UpToDate.</t>
        </is>
      </c>
      <c r="H1316" s="3" t="inlineStr">
        <is>
          <t>The FDA label gives the pediatric dose directly: 6 months–12 years 12 mg/kg (max 600 mg) single dose over 15–30 min; renal adjustment for ages 2–12. The official label should be cited instead of tertiary references.</t>
        </is>
      </c>
      <c r="I1316" s="3" t="inlineStr">
        <is>
          <t>DailyMed RAPIVAB §2.1, §2.2 Table 2 https://dailymed.nlm.nih.gov/dailymed/drugInfo.cfm?setid=fe04f6cd-e71c-4bd4-abac-97720bba2a0d</t>
        </is>
      </c>
      <c r="J1316" s="3" t="inlineStr">
        <is>
          <t>Open</t>
        </is>
      </c>
      <c r="K1316" s="3" t="inlineStr"/>
    </row>
    <row r="1317">
      <c r="A1317" s="3" t="n">
        <v>73</v>
      </c>
      <c r="B1317" s="3" t="inlineStr">
        <is>
          <t>Rapiacta (Peramivir) (RAP02)</t>
        </is>
      </c>
      <c r="C1317" s="9" t="inlineStr">
        <is>
          <t>Low</t>
        </is>
      </c>
      <c r="D1317" s="3" t="inlineStr">
        <is>
          <t>Pregnancy</t>
        </is>
      </c>
      <c r="E1317" s="3" t="inlineStr">
        <is>
          <t>FDA letter category</t>
        </is>
      </c>
      <c r="F1317" s="3" t="inlineStr">
        <is>
          <t>Replace category C with PLLR narrative</t>
        </is>
      </c>
      <c r="G1317" s="3" t="inlineStr">
        <is>
          <t>Category C</t>
        </is>
      </c>
      <c r="H1317" s="3" t="inlineStr">
        <is>
          <t>The current PLLR label has no letter category; §8.1 is a narrative. The data are insufficient to determine drug-associated risk, and influenza itself carries maternal and fetal risk. Letter categories are retired.</t>
        </is>
      </c>
      <c r="I1317" s="3" t="inlineStr">
        <is>
          <t>DailyMed RAPIVAB §8.1 https://dailymed.nlm.nih.gov/dailymed/drugInfo.cfm?setid=fe04f6cd-e71c-4bd4-abac-97720bba2a0d</t>
        </is>
      </c>
      <c r="J1317" s="3" t="inlineStr">
        <is>
          <t>Open</t>
        </is>
      </c>
      <c r="K1317" s="3" t="inlineStr"/>
    </row>
    <row r="1318">
      <c r="A1318" s="3" t="n">
        <v>81</v>
      </c>
      <c r="B1318" s="3" t="inlineStr">
        <is>
          <t>Rapiacta (Peramivir) (RAP02)</t>
        </is>
      </c>
      <c r="C1318" s="9" t="inlineStr">
        <is>
          <t>Low</t>
        </is>
      </c>
      <c r="D1318" s="3" t="inlineStr">
        <is>
          <t>Pregnancy</t>
        </is>
      </c>
      <c r="E1318" s="3" t="inlineStr">
        <is>
          <t>FDA letter category</t>
        </is>
      </c>
      <c r="F1318" s="3" t="inlineStr">
        <is>
          <t>Replace category C with PLLR narrative; note oseltamivir preferred in pregnancy</t>
        </is>
      </c>
      <c r="G1318" s="3" t="inlineStr">
        <is>
          <t>C: No data available for use during pregnancy</t>
        </is>
      </c>
      <c r="H1318" s="3" t="inlineStr">
        <is>
          <t>The FDA retired letter categories (PLLR). The current US §8.1 is narrative: limited human data, animal findings in rats and rabbits, and maternal/fetal risk from influenza. The Taiwan insert §8.1 still quotes 'FDA懷孕用藥分類為C級', so the hospital entry copies an outdated statement from the insert. IDSA 2018 prefers oseltamivir in pregnancy.</t>
        </is>
      </c>
      <c r="I1318" s="3" t="inlineStr">
        <is>
          <t>US RAPIVAB §8.1; Taiwan insert v4 §8.1; IDSA 2018 PMID 30566567</t>
        </is>
      </c>
      <c r="J1318" s="3" t="inlineStr">
        <is>
          <t>Open</t>
        </is>
      </c>
      <c r="K1318" s="3" t="inlineStr"/>
    </row>
    <row r="1319">
      <c r="A1319" s="3" t="n">
        <v>1453</v>
      </c>
      <c r="B1319" s="3" t="inlineStr">
        <is>
          <t>Ribarin (Ribavirin) (RIB01)</t>
        </is>
      </c>
      <c r="C1319" s="9" t="inlineStr">
        <is>
          <t>Low</t>
        </is>
      </c>
      <c r="D1319" s="3" t="inlineStr">
        <is>
          <t>Pharmacokinetics/other</t>
        </is>
      </c>
      <c r="E1319" s="3" t="inlineStr"/>
      <c r="F1319" s="3" t="inlineStr">
        <is>
          <t>Add licence 衛署藥製字第048027號 and insert link.</t>
        </is>
      </c>
      <c r="G1319" s="3" t="inlineStr">
        <is>
          <t>No licence number or 仿單 link on the P4 page</t>
        </is>
      </c>
      <c r="H1319" s="3" t="inlineStr">
        <is>
          <t>Licence 衛署藥製字第048027號. The latest insert is 'Ribarin 中文仿單-107-11-07.pdf' on the TFDA site.</t>
        </is>
      </c>
      <c r="I1319" s="3" t="inlineStr">
        <is>
          <t>https://mcp.fda.gov.tw/im_detail_1/%E8%A1%9B%E7%BD%B2%E8%97%A5%E8%A3%BD%E5%AD%97%E7%AC%AC048027%E8%99%9F</t>
        </is>
      </c>
      <c r="J1319" s="3" t="inlineStr">
        <is>
          <t>Open</t>
        </is>
      </c>
      <c r="K1319" s="3" t="inlineStr"/>
    </row>
    <row r="1320">
      <c r="A1320" s="3" t="n">
        <v>1463</v>
      </c>
      <c r="B1320" s="3" t="inlineStr">
        <is>
          <t>Ribarin (Ribavirin) (RIB01)</t>
        </is>
      </c>
      <c r="C1320" s="9" t="inlineStr">
        <is>
          <t>Low</t>
        </is>
      </c>
      <c r="D1320" s="3" t="inlineStr">
        <is>
          <t>Pharmacokinetics/other</t>
        </is>
      </c>
      <c r="E1320" s="3" t="inlineStr"/>
      <c r="F1320" s="3" t="inlineStr">
        <is>
          <t>Revise mechanism to label wording; remove influenza polymerase claim.</t>
        </is>
      </c>
      <c r="G1320" s="3" t="inlineStr">
        <is>
          <t>Inhibits replication of RNA and DNA viruses; inhibits influenza virus RNA polymerase…</t>
        </is>
      </c>
      <c r="H1320" s="3" t="inlineStr">
        <is>
          <t>The labels say the mechanism against HCV is not fully understood. Ribavirin triphosphate inhibits HCV polymerase biochemically and increases RNA-virus mutation frequency (US 12.4; TW 10.1). The influenza-polymerase wording is not in any label; US 5.10 says influenza use is not established. Minor issue.</t>
        </is>
      </c>
      <c r="I1320" s="3" t="inlineStr">
        <is>
          <t>US label §5.10, §12.4 ; TW仿單 §10.1</t>
        </is>
      </c>
      <c r="J1320" s="3" t="inlineStr">
        <is>
          <t>Open</t>
        </is>
      </c>
      <c r="K1320" s="3" t="inlineStr"/>
    </row>
    <row r="1321">
      <c r="A1321" s="3" t="n">
        <v>1119</v>
      </c>
      <c r="B1321" s="3" t="inlineStr">
        <is>
          <t>Rifampicin (Rifampin) (RIF04)</t>
        </is>
      </c>
      <c r="C1321" s="9" t="inlineStr">
        <is>
          <t>Low</t>
        </is>
      </c>
      <c r="D1321" s="3" t="inlineStr">
        <is>
          <t>Dosing – adult</t>
        </is>
      </c>
      <c r="E1321" s="3" t="inlineStr"/>
      <c r="F1321" s="3" t="inlineStr">
        <is>
          <t>Note label brucellosis dose 600–1200 mg/day with another antibiotic; mark hospital figure as guideline-based.</t>
        </is>
      </c>
      <c r="G1321" s="3" t="inlineStr">
        <is>
          <t>15–20 mg/kg/day in 1–2 divided doses, MAX 600–900 mg/day (guideline dosing)</t>
        </is>
      </c>
      <c r="H1321" s="3" t="inlineStr">
        <is>
          <t>UK SmPC 4.2: 600–1200 mg/day in 2–4 divided doses, always with another appropriate antibiotic. The hospital value is a guideline figure that differs from the label (minor).</t>
        </is>
      </c>
      <c r="I1321" s="3" t="inlineStr">
        <is>
          <t>UK SmPC 4.2 https://www.medicines.org.uk/emc/product/6382/smpc</t>
        </is>
      </c>
      <c r="J1321" s="3" t="inlineStr">
        <is>
          <t>Open</t>
        </is>
      </c>
      <c r="K1321" s="3" t="inlineStr"/>
    </row>
    <row r="1322">
      <c r="A1322" s="3" t="n">
        <v>1120</v>
      </c>
      <c r="B1322" s="3" t="inlineStr">
        <is>
          <t>Rifampicin (Rifampin) (RIF04)</t>
        </is>
      </c>
      <c r="C1322" s="9" t="inlineStr">
        <is>
          <t>Low</t>
        </is>
      </c>
      <c r="D1322" s="3" t="inlineStr">
        <is>
          <t>Pharmacokinetics/other</t>
        </is>
      </c>
      <c r="E1322" s="3" t="inlineStr">
        <is>
          <t>FDA letter category</t>
        </is>
      </c>
      <c r="F1322" s="3" t="inlineStr">
        <is>
          <t>Taiwan insert discrepancies (meningococcal dose, PK, Category C) to report to TFDA/manufacturer; not hospital error.</t>
        </is>
      </c>
      <c r="G1322" s="3" t="inlineStr">
        <is>
          <t>TW 仿單: meningococcal carrier 600 mg qd × 4 d (children 10–20 mg/kg qd × 4 d); children &lt;5 y dose not established; PAS ≥6 h apart; protein binding 89%; suspension '1%(100 mg/ml)'; 'FDA Pregnancy Category C'</t>
        </is>
      </c>
      <c r="H1322" s="3" t="inlineStr">
        <is>
          <t>US/UK: 600 mg q12h × 2 d (children 10 mg/kg q12h, &lt;1 month 5 mg/kg); children 10–20 mg/kg with no age floor for TB; UK PAS ≥8 h; protein binding about 80%; a 1% w/v suspension is 10 mg/mL; FDA letter categories are retired.</t>
        </is>
      </c>
      <c r="I1322" s="3" t="inlineStr">
        <is>
          <t>US label Indications/Clinical Pharmacology https://dailymed.nlm.nih.gov/dailymed/drugInfo.cfm?setid=50f706f9-5003-4e15-bece-85b6213b1f5c ; UK SmPC 4.2/4.5/5.2 https://www.medicines.org.uk/emc/product/6382/smpc ; Taiwan 仿單 §3.1–3.3, §6.1, §7.2, §11.1</t>
        </is>
      </c>
      <c r="J1322" s="3" t="inlineStr">
        <is>
          <t>Open</t>
        </is>
      </c>
      <c r="K1322" s="3" t="inlineStr"/>
    </row>
    <row r="1323">
      <c r="A1323" s="3" t="n">
        <v>1130</v>
      </c>
      <c r="B1323" s="3" t="inlineStr">
        <is>
          <t>Rifampicin (Rifampin) (RIF04)</t>
        </is>
      </c>
      <c r="C1323" s="9" t="inlineStr">
        <is>
          <t>Low</t>
        </is>
      </c>
      <c r="D1323" s="3" t="inlineStr">
        <is>
          <t>Pharmacokinetics/other</t>
        </is>
      </c>
      <c r="E1323" s="3" t="inlineStr"/>
      <c r="F1323" s="3" t="inlineStr">
        <is>
          <t>Hospital dose is correct; report outdated TW insert meningococcal regimen to owner/TFDA.</t>
        </is>
      </c>
      <c r="G1323" s="3" t="inlineStr">
        <is>
          <t>600 mg orally twice daily × 2 days (matches US/UK)</t>
        </is>
      </c>
      <c r="H1323" s="3" t="inlineStr">
        <is>
          <t>The insert of the product the hospital stocks (TW 仿單 §3.2.1) still says 600 mg qd × 4 d (children 10–20 mg/kg qd × 4 d) and gives no regimen under 5 y. US/UK give 600 mg q12h × 2 d (children 10 mg/kg q12h × 2 d), which is the current standard. The discrepancy is in the TW insert, not the hospital site; report it to the owner/TFDA.</t>
        </is>
      </c>
      <c r="I1323" s="3" t="inlineStr">
        <is>
          <t>TW 仿單 §3.2.1/§3.3.2.1; US label Meningococcal Carriers; UK SmPC 4.2</t>
        </is>
      </c>
      <c r="J1323" s="3" t="inlineStr">
        <is>
          <t>Open</t>
        </is>
      </c>
      <c r="K1323" s="3" t="inlineStr"/>
    </row>
    <row r="1324">
      <c r="A1324" s="3" t="n">
        <v>1114</v>
      </c>
      <c r="B1324" s="3" t="inlineStr">
        <is>
          <t>Rifampicin (Rifampin) (RIF04)</t>
        </is>
      </c>
      <c r="C1324" s="9" t="inlineStr">
        <is>
          <t>Low</t>
        </is>
      </c>
      <c r="D1324" s="3" t="inlineStr">
        <is>
          <t>Pregnancy</t>
        </is>
      </c>
      <c r="E1324" s="3" t="inlineStr">
        <is>
          <t>FDA letter category</t>
        </is>
      </c>
      <c r="F1324" s="3" t="inlineStr">
        <is>
          <t>Replace malformed 'C]' with narrative: no birth-defect association; vitamin K for late-pregnancy bleeding.</t>
        </is>
      </c>
      <c r="G1324" s="3" t="inlineStr">
        <is>
          <t>C] (FDA) / C (AUS)</t>
        </is>
      </c>
      <c r="H1324" s="3" t="inlineStr">
        <is>
          <t>FDA letter categories are retired; the current US label narrative says decades of data show no association with major birth defects, plus a risk of late-pregnancy postnatal haemorrhage (vitamin K). The hospital text is also malformed ('C]').</t>
        </is>
      </c>
      <c r="I1324" s="3" t="inlineStr">
        <is>
          <t>US label Pregnancy sections https://dailymed.nlm.nih.gov/dailymed/drugInfo.cfm?setid=50f706f9-5003-4e15-bece-85b6213b1f5c</t>
        </is>
      </c>
      <c r="J1324" s="3" t="inlineStr">
        <is>
          <t>Open</t>
        </is>
      </c>
      <c r="K1324" s="3" t="inlineStr"/>
    </row>
    <row r="1325">
      <c r="A1325" s="3" t="n">
        <v>1123</v>
      </c>
      <c r="B1325" s="3" t="inlineStr">
        <is>
          <t>Rifampicin (Rifampin) (RIF04)</t>
        </is>
      </c>
      <c r="C1325" s="9" t="inlineStr">
        <is>
          <t>Low</t>
        </is>
      </c>
      <c r="D1325" s="3" t="inlineStr">
        <is>
          <t>Pregnancy</t>
        </is>
      </c>
      <c r="E1325" s="3" t="inlineStr">
        <is>
          <t>FDA letter category</t>
        </is>
      </c>
      <c r="F1325" s="3" t="inlineStr">
        <is>
          <t>Replace 'C]' letter category with current US narrative incl. vitamin K for late-pregnancy haemorrhage.</t>
        </is>
      </c>
      <c r="G1325" s="3" t="inlineStr">
        <is>
          <t>C] (FDA); C (AUS)</t>
        </is>
      </c>
      <c r="H1325" s="3" t="inlineStr">
        <is>
          <t>FDA letter categories are retired, and the text is malformed ('C]'). The current US label says decades of data have not established an association with major birth defects or miscarriage; rodent teratogenicity at high doses; vitamin K for late-pregnancy haemorrhage risk.</t>
        </is>
      </c>
      <c r="I1325" s="3" t="inlineStr">
        <is>
          <t>US label Pregnancy sections https://dailymed.nlm.nih.gov/dailymed/drugInfo.cfm?setid=50f706f9-5003-4e15-bece-85b6213b1f5c</t>
        </is>
      </c>
      <c r="J1325" s="3" t="inlineStr">
        <is>
          <t>Open</t>
        </is>
      </c>
      <c r="K1325" s="3" t="inlineStr"/>
    </row>
    <row r="1326">
      <c r="A1326" s="3" t="n">
        <v>806</v>
      </c>
      <c r="B1326" s="3" t="inlineStr">
        <is>
          <t>SABS (Metronidazole) (SAB03, TOL01)</t>
        </is>
      </c>
      <c r="C1326" s="9" t="inlineStr">
        <is>
          <t>Low</t>
        </is>
      </c>
      <c r="D1326" s="3" t="inlineStr">
        <is>
          <t>Contraindication/warning</t>
        </is>
      </c>
      <c r="E1326" s="3" t="inlineStr"/>
      <c r="F1326" s="3" t="inlineStr">
        <is>
          <t>No change: alcohol/propylene glycol 3-day CI matches US IV label</t>
        </is>
      </c>
      <c r="G1326" s="3" t="inlineStr">
        <is>
          <t>Contraindicated: alcohol or propylene glycol-containing products during therapy or within 3 days of stopping.</t>
        </is>
      </c>
      <c r="H1326" s="3" t="inlineStr">
        <is>
          <t>This IS in the US IV label CONTRAINDICATIONS ('Discontinue consumption of alcohol or products containing propylene glycol during and for at least three days after therapy'), so the hospital page is consistent with the US label. The brief's issue is wrong on both points: the alcohol warning is in the label, and UK 4.4/4.5 says 72 hours, not 48.</t>
        </is>
      </c>
      <c r="I1326" s="3" t="inlineStr">
        <is>
          <t>US IV label CONTRAINDICATIONS — https://dailymed.nlm.nih.gov/dailymed/drugInfo.cfm?setid=e4ea0c09-cdd1-4708-962c-6ba28b989df3; UK SmPC 4.4/4.5 — https://www.medicines.org.uk/emc/product/1842/smpc</t>
        </is>
      </c>
      <c r="J1326" s="3" t="inlineStr">
        <is>
          <t>Open</t>
        </is>
      </c>
      <c r="K1326" s="3" t="inlineStr"/>
    </row>
    <row r="1327">
      <c r="A1327" s="3" t="n">
        <v>794</v>
      </c>
      <c r="B1327" s="3" t="inlineStr">
        <is>
          <t>SABS (Metronidazole) (SAB03, TOL01)</t>
        </is>
      </c>
      <c r="C1327" s="9" t="inlineStr">
        <is>
          <t>Low</t>
        </is>
      </c>
      <c r="D1327" s="3" t="inlineStr">
        <is>
          <t>Dosing – renal/dialysis</t>
        </is>
      </c>
      <c r="E1327" s="3" t="inlineStr"/>
      <c r="F1327" s="3" t="inlineStr">
        <is>
          <t>Verify TOL01 renal text; likely extraction artefact (see id 811), page reportedly intact</t>
        </is>
      </c>
      <c r="G1327" s="3" t="inlineStr">
        <is>
          <t>Item 1 is cut off mid-sentence ("...more severe impairment (CrCl 1 to 2 weeks in duration. On dialysis days, administer after dialysis."), and items 2–3 are missing (the list jumps to 4. CRRT).</t>
        </is>
      </c>
      <c r="H1327" s="3" t="inlineStr">
        <is>
          <t>No adjustment. HD removes 40–65% → dose after HD or supplement. CAPD: no adjustment (US FLAGYL Clinical Pharmacology / D&amp;A; TW Tolizole 仿單 5.1.5, 10.2).</t>
        </is>
      </c>
      <c r="I1327" s="3" t="inlineStr">
        <is>
          <t>https://dailymed.nlm.nih.gov/dailymed/drugInfo.cfm?setid=a2883ca1-5a9a-4259-9d80-46ab67274384 ; https://mcp.fda.gov.tw/im_detail_1/%E8%A1%9B%E7%BD%B2%E8%97%A5%E8%A3%BD%E5%AD%97%E7%AC%AC041025%E8%99%9F</t>
        </is>
      </c>
      <c r="J1327" s="3" t="inlineStr">
        <is>
          <t>Open</t>
        </is>
      </c>
      <c r="K1327" s="3" t="inlineStr"/>
    </row>
    <row r="1328">
      <c r="A1328" s="3" t="n">
        <v>802</v>
      </c>
      <c r="B1328" s="3" t="inlineStr">
        <is>
          <t>SABS (Metronidazole) (SAB03, TOL01)</t>
        </is>
      </c>
      <c r="C1328" s="9" t="inlineStr">
        <is>
          <t>Low</t>
        </is>
      </c>
      <c r="D1328" s="3" t="inlineStr">
        <is>
          <t>Pharmacokinetics/other</t>
        </is>
      </c>
      <c r="E1328" s="3" t="inlineStr"/>
      <c r="F1328" s="3" t="inlineStr">
        <is>
          <t>Add licence numbers and link TFDA inserts (026817, 041025)</t>
        </is>
      </c>
      <c r="G1328" s="3" t="inlineStr">
        <is>
          <t>The 仿單 field is empty and no licence number (許可證字號) is shown.</t>
        </is>
      </c>
      <c r="H1328" s="3" t="inlineStr">
        <is>
          <t>TFDA inserts exist: SABS 衛署藥製字第026817號 and Tolizole 衛署藥製字第041025號. They could be linked.</t>
        </is>
      </c>
      <c r="I1328" s="3" t="inlineStr">
        <is>
          <t>https://mcp.fda.gov.tw/im_detail_1/%E8%A1%9B%E7%BD%B2%E8%97%A5%E8%A3%BD%E5%AD%97%E7%AC%AC026817%E8%99%9F ; https://mcp.fda.gov.tw/im_detail_1/%E8%A1%9B%E7%BD%B2%E8%97%A5%E8%A3%BD%E5%AD%97%E7%AC%AC041025%E8%99%9F</t>
        </is>
      </c>
      <c r="J1328" s="3" t="inlineStr">
        <is>
          <t>Open</t>
        </is>
      </c>
      <c r="K1328" s="3" t="inlineStr"/>
    </row>
    <row r="1329">
      <c r="A1329" s="3" t="n">
        <v>810</v>
      </c>
      <c r="B1329" s="3" t="inlineStr">
        <is>
          <t>SABS (Metronidazole) (SAB03, TOL01)</t>
        </is>
      </c>
      <c r="C1329" s="9" t="inlineStr">
        <is>
          <t>Low</t>
        </is>
      </c>
      <c r="D1329" s="3" t="inlineStr">
        <is>
          <t>Pharmacokinetics/other</t>
        </is>
      </c>
      <c r="E1329" s="3" t="inlineStr"/>
      <c r="F1329" s="3" t="inlineStr">
        <is>
          <t>Add licence numbers 026817/041025 and insert links</t>
        </is>
      </c>
      <c r="G1329" s="3" t="inlineStr">
        <is>
          <t>The 仿單 field is empty and no licence number is shown.</t>
        </is>
      </c>
      <c r="H1329" s="3" t="inlineStr">
        <is>
          <t>Licences exist and their inserts are online: 衛署藥製字第026817號 (SABS, valid to 118-02-07) and 衛署藥製字第041025號 (Tolizole, valid to 118-02-26). Both can be derived from the NHI codes AC26817255 and AC410251G0. The hospital could link them.</t>
        </is>
      </c>
      <c r="I1329" s="3" t="inlineStr">
        <is>
          <t>TFDA 仿單 platform — https://mcp.fda.gov.tw/im_detail_1/%E8%A1%9B%E7%BD%B2%E8%97%A5%E8%A3%BD%E5%AD%97%E7%AC%AC026817%E8%99%9F</t>
        </is>
      </c>
      <c r="J1329" s="3" t="inlineStr">
        <is>
          <t>Open</t>
        </is>
      </c>
      <c r="K1329" s="3" t="inlineStr"/>
    </row>
    <row r="1330">
      <c r="A1330" s="3" t="n">
        <v>811</v>
      </c>
      <c r="B1330" s="3" t="inlineStr">
        <is>
          <t>SABS (Metronidazole) (SAB03, TOL01)</t>
        </is>
      </c>
      <c r="C1330" s="9" t="inlineStr">
        <is>
          <t>Low</t>
        </is>
      </c>
      <c r="D1330" s="3" t="inlineStr">
        <is>
          <t>Pharmacokinetics/other</t>
        </is>
      </c>
      <c r="E1330" s="3" t="inlineStr"/>
      <c r="F1330" s="3" t="inlineStr">
        <is>
          <t>No change: scratch-extract artefact, hospital TOL01 renal page intact</t>
        </is>
      </c>
      <c r="G1330" s="3" t="inlineStr">
        <is>
          <t>The scratch TOL01.txt reads 'CrCl 1 to 2 weeks in duration'.</t>
        </is>
      </c>
      <c r="H1330" s="3" t="inlineStr">
        <is>
          <t>The raw TOL01 HTML is intact ('CrCl &lt;30 ...', '&gt;1 to 2 weeks'). The text extractor treated '&lt;30' as an HTML tag and dropped it, so this is a scratch-file artefact. The hospital page itself is fine.</t>
        </is>
      </c>
      <c r="I1330" s="3" t="inlineStr">
        <is>
          <t>/tmp/claude-0/-home-user-antibiotics-guide/4c50b851-ebcc-5771-83a6-3305d6a7ca62/scratchpad/TOL01.html</t>
        </is>
      </c>
      <c r="J1330" s="3" t="inlineStr">
        <is>
          <t>Open</t>
        </is>
      </c>
      <c r="K1330" s="3" t="inlineStr"/>
    </row>
    <row r="1331">
      <c r="A1331" s="3" t="n">
        <v>427</v>
      </c>
      <c r="B1331" s="3" t="inlineStr">
        <is>
          <t>Seforce (ciprofloxacin) (SEF02, CIN02)</t>
        </is>
      </c>
      <c r="C1331" s="9" t="inlineStr">
        <is>
          <t>Low</t>
        </is>
      </c>
      <c r="D1331" s="3" t="inlineStr">
        <is>
          <t>Pharmacokinetics/other</t>
        </is>
      </c>
      <c r="E1331" s="3" t="inlineStr"/>
      <c r="F1331" s="3" t="inlineStr">
        <is>
          <t>Link TFDA inserts 044809 and 038747</t>
        </is>
      </c>
      <c r="G1331" s="3" t="inlineStr">
        <is>
          <t>Empty (no insert linked)</t>
        </is>
      </c>
      <c r="H1331" s="3" t="inlineStr">
        <is>
          <t>Both inserts are on the TFDA platform: Seforce 衛署藥製字第044809號 and Cinolone 衛署藥製字第038747號.</t>
        </is>
      </c>
      <c r="I1331" s="3" t="inlineStr">
        <is>
          <t>https://mcp.fda.gov.tw/im_detail_1/%E8%A1%9B%E7%BD%B2%E8%97%A5%E8%A3%BD%E5%AD%97%E7%AC%AC044809%E8%99%9F ; https://mcp.fda.gov.tw/im_detail_1/%E8%A1%9B%E7%BD%B2%E8%97%A5%E8%A3%BD%E5%AD%97%E7%AC%AC038747%E8%99%9F</t>
        </is>
      </c>
      <c r="J1331" s="3" t="inlineStr">
        <is>
          <t>Open</t>
        </is>
      </c>
      <c r="K1331" s="3" t="inlineStr"/>
    </row>
    <row r="1332">
      <c r="A1332" s="3" t="n">
        <v>433</v>
      </c>
      <c r="B1332" s="3" t="inlineStr">
        <is>
          <t>Seforce (ciprofloxacin) (SEF02, CIN02)</t>
        </is>
      </c>
      <c r="C1332" s="9" t="inlineStr">
        <is>
          <t>Low</t>
        </is>
      </c>
      <c r="D1332" s="3" t="inlineStr">
        <is>
          <t>Pharmacokinetics/other</t>
        </is>
      </c>
      <c r="E1332" s="3" t="inlineStr"/>
      <c r="F1332" s="3" t="inlineStr">
        <is>
          <t>Link TFDA inserts 044809 and 038747</t>
        </is>
      </c>
      <c r="G1332" s="3" t="inlineStr">
        <is>
          <t>仿單 field empty on both pages</t>
        </is>
      </c>
      <c r="H1332" s="3" t="inlineStr">
        <is>
          <t>The TFDA platform hosts current structured inserts for both permits (衛署藥製字第044809號, 第038747號) and could be linked.</t>
        </is>
      </c>
      <c r="I1332" s="3" t="inlineStr">
        <is>
          <t>https://mcp.fda.gov.tw/im_detail_1/%E8%A1%9B%E7%BD%B2%E8%97%A5%E8%A3%BD%E5%AD%97%E7%AC%AC044809%E8%99%9F ; https://mcp.fda.gov.tw/im_detail_1/%E8%A1%9B%E7%BD%B2%E8%97%A5%E8%A3%BD%E5%AD%97%E7%AC%AC038747%E8%99%9F</t>
        </is>
      </c>
      <c r="J1332" s="3" t="inlineStr">
        <is>
          <t>Open</t>
        </is>
      </c>
      <c r="K1332" s="3" t="inlineStr"/>
    </row>
    <row r="1333">
      <c r="A1333" s="3" t="n">
        <v>426</v>
      </c>
      <c r="B1333" s="3" t="inlineStr">
        <is>
          <t>Seforce (ciprofloxacin) (SEF02, CIN02)</t>
        </is>
      </c>
      <c r="C1333" s="9" t="inlineStr">
        <is>
          <t>Low</t>
        </is>
      </c>
      <c r="D1333" s="3" t="inlineStr">
        <is>
          <t>Pregnancy</t>
        </is>
      </c>
      <c r="E1333" s="3" t="inlineStr"/>
      <c r="F1333" s="3" t="inlineStr">
        <is>
          <t>Replace guideline text with label risk summary/TW 'not recommended in pregnancy'</t>
        </is>
      </c>
      <c r="G1333" s="3" t="inlineStr">
        <is>
          <t>Guideline text (not label content)</t>
        </is>
      </c>
      <c r="H1333" s="3" t="inlineStr">
        <is>
          <t>US 8.1 Risk Summary: no drug-associated risk of major birth defects or miscarriage has been identified, and there is no letter category. Seforce/Cinolone 仿單 6.1: 懷孕期間不建議使用. UK SmPC 4.6: preferable to avoid.</t>
        </is>
      </c>
      <c r="I1333" s="3" t="inlineStr">
        <is>
          <t>US FDA label 8.1 - https://dailymed.nlm.nih.gov/dailymed/drugInfo.cfm?setid=f406e796-17d9-4465-b8a7-00d966a4ba74; Seforce 仿單 6.1 - https://mcp.fda.gov.tw/im_detail_1/%E8%A1%9B%E7%BD%B2%E8%97%A5%E8%A3%BD%E5%AD%97%E7%AC%AC044809%E8%99%9F</t>
        </is>
      </c>
      <c r="J1333" s="3" t="inlineStr">
        <is>
          <t>Open</t>
        </is>
      </c>
      <c r="K1333" s="3" t="inlineStr"/>
    </row>
    <row r="1334">
      <c r="A1334" s="3" t="n">
        <v>432</v>
      </c>
      <c r="B1334" s="3" t="inlineStr">
        <is>
          <t>Seforce (ciprofloxacin) (SEF02, CIN02)</t>
        </is>
      </c>
      <c r="C1334" s="9" t="inlineStr">
        <is>
          <t>Low</t>
        </is>
      </c>
      <c r="D1334" s="3" t="inlineStr">
        <is>
          <t>Pregnancy</t>
        </is>
      </c>
      <c r="E1334" s="3" t="inlineStr"/>
      <c r="F1334" s="3" t="inlineStr">
        <is>
          <t>Replace guideline text with US risk summary and TW/UK avoid-as-precaution wording</t>
        </is>
      </c>
      <c r="G1334" s="3" t="inlineStr">
        <is>
          <t>Guideline text (not label content)</t>
        </is>
      </c>
      <c r="H1334" s="3" t="inlineStr">
        <is>
          <t>US 8.1 risk summary: decades of data have not identified a drug-associated risk of major birth defects, miscarriage or adverse outcomes. UK SmPC 4.6 / TW 6.1: avoid during pregnancy as a precaution (cartilage damage in juvenile animals). No letter category.</t>
        </is>
      </c>
      <c r="I1334" s="3" t="inlineStr">
        <is>
          <t>US FDA label 8.1 https://dailymed.nlm.nih.gov/dailymed/drugInfo.cfm?setid=f406e796-17d9-4465-b8a7-00d966a4ba74; Taiwan Seforce insert 6.1 https://mcp.fda.gov.tw/im_detail_1/%E8%A1%9B%E7%BD%B2%E8%97%A5%E8%A3%BD%E5%AD%97%E7%AC%AC044809%E8%99%9F</t>
        </is>
      </c>
      <c r="J1334" s="3" t="inlineStr">
        <is>
          <t>Open</t>
        </is>
      </c>
      <c r="K1334" s="3" t="inlineStr"/>
    </row>
    <row r="1335">
      <c r="A1335" s="3" t="n">
        <v>816</v>
      </c>
      <c r="B1335" s="3" t="inlineStr">
        <is>
          <t>Sevatrim (Sulfamethoxazole/Trimethoprim) (SEV03, MOR06, SUL03)</t>
        </is>
      </c>
      <c r="C1335" s="9" t="inlineStr">
        <is>
          <t>Low</t>
        </is>
      </c>
      <c r="D1335" s="3" t="inlineStr">
        <is>
          <t>Contraindication/warning</t>
        </is>
      </c>
      <c r="E1335" s="3" t="inlineStr"/>
      <c r="F1335" s="3" t="inlineStr">
        <is>
          <t>Note TW inserts use first 6 weeks of life cut-off; US &lt;2 months acceptable</t>
        </is>
      </c>
      <c r="G1335" s="3" t="inlineStr">
        <is>
          <t>Infants &lt;2 months</t>
        </is>
      </c>
      <c r="H1335" s="3" t="inlineStr">
        <is>
          <t>US label: &lt;2 months. TW Sevatrim insert and UK SmPC: first 6 weeks of life (premature and term neonates). TW Sulfacotrim: 剛出生嬰孩. Acceptable as the stricter US limit, but it does not match the stocked products' TW inserts.</t>
        </is>
      </c>
      <c r="I1335" s="3" t="inlineStr">
        <is>
          <t>Taiwan insert Sevatrim §5.1 https://mcp.fda.gov.tw/im_detail_1/%E8%A1%9B%E7%BD%B2%E8%97%A5%E8%A3%BD%E5%AD%97%E7%AC%AC012528%E8%99%9F</t>
        </is>
      </c>
      <c r="J1335" s="3" t="inlineStr">
        <is>
          <t>Open</t>
        </is>
      </c>
      <c r="K1335" s="3" t="inlineStr"/>
    </row>
    <row r="1336">
      <c r="A1336" s="3" t="n">
        <v>820</v>
      </c>
      <c r="B1336" s="3" t="inlineStr">
        <is>
          <t>Sevatrim (Sulfamethoxazole/Trimethoprim) (SEV03, MOR06, SUL03)</t>
        </is>
      </c>
      <c r="C1336" s="9" t="inlineStr">
        <is>
          <t>Low</t>
        </is>
      </c>
      <c r="D1336" s="3" t="inlineStr">
        <is>
          <t>Dosing – adult</t>
        </is>
      </c>
      <c r="E1336" s="3" t="inlineStr"/>
      <c r="F1336" s="3" t="inlineStr">
        <is>
          <t>Note Morcasin TW insert says 2 tabs TID; current Q12H matches US/UK</t>
        </is>
      </c>
      <c r="G1336" s="3" t="inlineStr">
        <is>
          <t>2 tablets q12h</t>
        </is>
      </c>
      <c r="H1336" s="3" t="inlineStr">
        <is>
          <t>Matches US/UK (2 tabs q12h). The stocked product's own TW insert (Morcasin, 2010) says 2 tablets TID. The discrepancy is inside the TW label itself; the pharmacist should be aware of it, and the outdated insert may need a manufacturer update.</t>
        </is>
      </c>
      <c r="I1336" s="3" t="inlineStr">
        <is>
          <t>Taiwan insert Morcasin §3.1 https://mcp.fda.gov.tw/im_detail_1/%E8%A1%9B%E7%BD%B2%E8%97%A5%E8%A3%BD%E5%AD%97%E7%AC%AC024964%E8%99%9F</t>
        </is>
      </c>
      <c r="J1336" s="3" t="inlineStr">
        <is>
          <t>Open</t>
        </is>
      </c>
      <c r="K1336" s="3" t="inlineStr"/>
    </row>
    <row r="1337">
      <c r="A1337" s="3" t="n">
        <v>830</v>
      </c>
      <c r="B1337" s="3" t="inlineStr">
        <is>
          <t>Sevatrim (Sulfamethoxazole/Trimethoprim) (SEV03, MOR06, SUL03)</t>
        </is>
      </c>
      <c r="C1337" s="9" t="inlineStr">
        <is>
          <t>Low</t>
        </is>
      </c>
      <c r="D1337" s="3" t="inlineStr">
        <is>
          <t>Dosing – adult</t>
        </is>
      </c>
      <c r="E1337" s="3" t="inlineStr"/>
      <c r="F1337" s="3" t="inlineStr">
        <is>
          <t>Informational: Morcasin TW insert TID vs hospital Q12H (US/UK); flag insert to manufacturer</t>
        </is>
      </c>
      <c r="G1337" s="3" t="inlineStr">
        <is>
          <t>2 tab Q12H for 10–14 days in UTI.</t>
        </is>
      </c>
      <c r="H1337" s="3" t="inlineStr">
        <is>
          <t>Matches the US/UK labels, but the stocked Morcasin TW insert (2010) says 一次二片、一日三次. Informational: the hospital follows the US label, not the stocked product's insert.</t>
        </is>
      </c>
      <c r="I1337" s="3" t="inlineStr">
        <is>
          <t>Taiwan insert Morcasin §3.1, https://mcp.fda.gov.tw/im_detail_1/%E8%A1%9B%E7%BD%B2%E8%97%A5%E8%A3%BD%E5%AD%97%E7%AC%AC024964%E8%99%9F ; US FDA Bactrim label</t>
        </is>
      </c>
      <c r="J1337" s="3" t="inlineStr">
        <is>
          <t>Open</t>
        </is>
      </c>
      <c r="K1337" s="3" t="inlineStr"/>
    </row>
    <row r="1338">
      <c r="A1338" s="3" t="n">
        <v>834</v>
      </c>
      <c r="B1338" s="3" t="inlineStr">
        <is>
          <t>Sevatrim (Sulfamethoxazole/Trimethoprim) (SEV03, MOR06, SUL03)</t>
        </is>
      </c>
      <c r="C1338" s="9" t="inlineStr">
        <is>
          <t>Low</t>
        </is>
      </c>
      <c r="D1338" s="3" t="inlineStr">
        <is>
          <t>Pharmacokinetics/other</t>
        </is>
      </c>
      <c r="E1338" s="3" t="inlineStr"/>
      <c r="F1338" s="3" t="inlineStr">
        <is>
          <t>Update Beers citation to 2023 AGS Beers Criteria</t>
        </is>
      </c>
      <c r="G1338" s="3" t="inlineStr">
        <is>
          <t>Cites the 2019 AGS Beers Criteria.</t>
        </is>
      </c>
      <c r="H1338" s="3" t="inlineStr">
        <is>
          <t>A 2023 AGS Beers update exists (J Am Geriatr Soc 2023;71:2052-81, PMID 37139824). The page should cite the current version.</t>
        </is>
      </c>
      <c r="I1338" s="3" t="inlineStr">
        <is>
          <t>PMID 37139824, https://pubmed.ncbi.nlm.nih.gov/37139824/</t>
        </is>
      </c>
      <c r="J1338" s="3" t="inlineStr">
        <is>
          <t>Open</t>
        </is>
      </c>
      <c r="K1338" s="3" t="inlineStr"/>
    </row>
    <row r="1339">
      <c r="A1339" s="3" t="n">
        <v>812</v>
      </c>
      <c r="B1339" s="3" t="inlineStr">
        <is>
          <t>Sevatrim (Sulfamethoxazole/Trimethoprim) (SEV03, MOR06, SUL03)</t>
        </is>
      </c>
      <c r="C1339" s="9" t="inlineStr">
        <is>
          <t>Low</t>
        </is>
      </c>
      <c r="D1339" s="3" t="inlineStr">
        <is>
          <t>Pregnancy</t>
        </is>
      </c>
      <c r="E1339" s="3" t="inlineStr">
        <is>
          <t>FDA letter category</t>
        </is>
      </c>
      <c r="F1339" s="3" t="inlineStr">
        <is>
          <t>Replace category C with label narrative: may cause fetal harm; TW contraindicates pregnancy</t>
        </is>
      </c>
      <c r="G1339" s="3" t="inlineStr">
        <is>
          <t>Pregnancy category 'C'</t>
        </is>
      </c>
      <c r="H1339" s="3" t="inlineStr">
        <is>
          <t>FDA letter categories are retired. US label §8.1 says 'may cause fetal harm'. UK contraindicates use in the 1st trimester. TW Morcasin insert contraindicates use in pregnancy (孕婦).</t>
        </is>
      </c>
      <c r="I1339" s="3" t="inlineStr">
        <is>
          <t>US FDA injection label §8.1 https://dailymed.nlm.nih.gov/dailymed/drugInfo.cfm?setid=ebb570bb-6e5e-489e-875c-9e7b3a6d716a; UK SmPC §4.3/4.6 https://www.medicines.org.uk/emc/product/4669/smpc</t>
        </is>
      </c>
      <c r="J1339" s="3" t="inlineStr">
        <is>
          <t>Open</t>
        </is>
      </c>
      <c r="K1339" s="3" t="inlineStr"/>
    </row>
    <row r="1340">
      <c r="A1340" s="3" t="n">
        <v>822</v>
      </c>
      <c r="B1340" s="3" t="inlineStr">
        <is>
          <t>Sevatrim (Sulfamethoxazole/Trimethoprim) (SEV03, MOR06, SUL03)</t>
        </is>
      </c>
      <c r="C1340" s="9" t="inlineStr">
        <is>
          <t>Low</t>
        </is>
      </c>
      <c r="D1340" s="3" t="inlineStr">
        <is>
          <t>Pregnancy</t>
        </is>
      </c>
      <c r="E1340" s="3" t="inlineStr">
        <is>
          <t>FDA letter category</t>
        </is>
      </c>
      <c r="F1340" s="3" t="inlineStr">
        <is>
          <t>Replace category C with fetal-harm label narrative</t>
        </is>
      </c>
      <c r="G1340" s="3" t="inlineStr">
        <is>
          <t>懷孕分類 C</t>
        </is>
      </c>
      <c r="H1340" s="3" t="inlineStr">
        <is>
          <t>The FDA retired letter categories (PLLR). The US label says 'may cause fetal harm… use only if benefit justifies risk'. UK: contraindicated in the 1st trimester. Morcasin TW: 孕婦禁忌.</t>
        </is>
      </c>
      <c r="I1340" s="3" t="inlineStr">
        <is>
          <t>US FDA IV label §8.1, https://dailymed.nlm.nih.gov/dailymed/drugInfo.cfm?setid=ebb570bb-6e5e-489e-875c-9e7b3a6d716a ; UK SmPC 4669 §4.3/4.6, https://www.medicines.org.uk/emc/product/4669/smpc</t>
        </is>
      </c>
      <c r="J1340" s="3" t="inlineStr">
        <is>
          <t>Open</t>
        </is>
      </c>
      <c r="K1340" s="3" t="inlineStr"/>
    </row>
    <row r="1341">
      <c r="A1341" s="3" t="n">
        <v>38</v>
      </c>
      <c r="B1341" s="3" t="inlineStr">
        <is>
          <t>Sulampi (Ampicillin/Sulbactam) (SUL05)</t>
        </is>
      </c>
      <c r="C1341" s="9" t="inlineStr">
        <is>
          <t>Low</t>
        </is>
      </c>
      <c r="D1341" s="3" t="inlineStr">
        <is>
          <t>Adverse effects</t>
        </is>
      </c>
      <c r="E1341" s="3" t="inlineStr"/>
      <c r="F1341" s="3" t="inlineStr">
        <is>
          <t>Fix truncated rash entry: rash &lt;2%</t>
        </is>
      </c>
      <c r="G1341" s="3" t="inlineStr">
        <is>
          <t>3.Dermatologic: Skin rash (   [truncated]</t>
        </is>
      </c>
      <c r="H1341" s="3" t="inlineStr">
        <is>
          <t>Rash in less than 2% of patients</t>
        </is>
      </c>
      <c r="I1341" s="3" t="inlineStr">
        <is>
          <t>DailyMed UNASYN ADVERSE REACTIONS–Adult Patients</t>
        </is>
      </c>
      <c r="J1341" s="3" t="inlineStr">
        <is>
          <t>Open</t>
        </is>
      </c>
      <c r="K1341" s="3" t="inlineStr"/>
    </row>
    <row r="1342">
      <c r="A1342" s="3" t="n">
        <v>48</v>
      </c>
      <c r="B1342" s="3" t="inlineStr">
        <is>
          <t>Sulampi (Ampicillin/Sulbactam) (SUL05)</t>
        </is>
      </c>
      <c r="C1342" s="9" t="inlineStr">
        <is>
          <t>Low</t>
        </is>
      </c>
      <c r="D1342" s="3" t="inlineStr">
        <is>
          <t>Adverse effects</t>
        </is>
      </c>
      <c r="E1342" s="3" t="inlineStr"/>
      <c r="F1342" s="3" t="inlineStr">
        <is>
          <t>Fix truncated rash entry (rash &lt;2%)</t>
        </is>
      </c>
      <c r="G1342" s="3" t="inlineStr">
        <is>
          <t>'3.Dermatologic: Skin rash (' (truncated)</t>
        </is>
      </c>
      <c r="H1342" s="3" t="inlineStr">
        <is>
          <t>FDA: rash in less than 2% of patients</t>
        </is>
      </c>
      <c r="I1342" s="3" t="inlineStr">
        <is>
          <t>FDA UNASYN ADVERSE REACTIONS–Adult Patients</t>
        </is>
      </c>
      <c r="J1342" s="3" t="inlineStr">
        <is>
          <t>Open</t>
        </is>
      </c>
      <c r="K1342" s="3" t="inlineStr"/>
    </row>
    <row r="1343">
      <c r="A1343" s="3" t="n">
        <v>46</v>
      </c>
      <c r="B1343" s="3" t="inlineStr">
        <is>
          <t>Sulampi (Ampicillin/Sulbactam) (SUL05)</t>
        </is>
      </c>
      <c r="C1343" s="9" t="inlineStr">
        <is>
          <t>Low</t>
        </is>
      </c>
      <c r="D1343" s="3" t="inlineStr">
        <is>
          <t>Indication/coverage</t>
        </is>
      </c>
      <c r="E1343" s="3" t="inlineStr"/>
      <c r="F1343" s="3" t="inlineStr">
        <is>
          <t>Correct 'Branhumella' to Moraxella (Branhamella) catarrhalis</t>
        </is>
      </c>
      <c r="G1343" s="3" t="inlineStr">
        <is>
          <t>'Branhumella catarrhalis'</t>
        </is>
      </c>
      <c r="H1343" s="3" t="inlineStr">
        <is>
          <t>The correct name is Branhamella catarrhalis, now Moraxella catarrhalis (FDA microbiology). Note that the Sulampi insert itself prints 'Branhumella' in both the 適應症 and 藥效學 sections, so the hospital copied the insert's typo.</t>
        </is>
      </c>
      <c r="I1343" s="3" t="inlineStr">
        <is>
          <t>FDA UNASYN Gram-negative Bacteria; Sulampi 仿單 pages 1–2</t>
        </is>
      </c>
      <c r="J1343" s="3" t="inlineStr">
        <is>
          <t>Open</t>
        </is>
      </c>
      <c r="K1343" s="3" t="inlineStr"/>
    </row>
    <row r="1344">
      <c r="A1344" s="3" t="n">
        <v>39</v>
      </c>
      <c r="B1344" s="3" t="inlineStr">
        <is>
          <t>Sulampi (Ampicillin/Sulbactam) (SUL05)</t>
        </is>
      </c>
      <c r="C1344" s="9" t="inlineStr">
        <is>
          <t>Low</t>
        </is>
      </c>
      <c r="D1344" s="3" t="inlineStr">
        <is>
          <t>Pharmacokinetics/other</t>
        </is>
      </c>
      <c r="E1344" s="3" t="inlineStr"/>
      <c r="F1344" s="3" t="inlineStr">
        <is>
          <t>Keep ATC J01CR01 only; remove J01CA01 and J01CG01</t>
        </is>
      </c>
      <c r="G1344" s="3" t="inlineStr">
        <is>
          <t>J01CR01 J01CA01 J01CG01</t>
        </is>
      </c>
      <c r="H1344" s="3" t="inlineStr">
        <is>
          <t>The product is a fixed combination (J01CR01). J01CA01 (ampicillin alone) and J01CG01 (sulbactam alone) do not describe this product. WHO ATC is outside the source hierarchy; this is flagged as a data-quality issue only.</t>
        </is>
      </c>
      <c r="I1344" s="3" t="inlineStr">
        <is>
          <t>Product identity: US label DESCRIPTION / Taiwan insert (fixed-combination product)</t>
        </is>
      </c>
      <c r="J1344" s="3" t="inlineStr">
        <is>
          <t>Open</t>
        </is>
      </c>
      <c r="K1344" s="3" t="inlineStr"/>
    </row>
    <row r="1345">
      <c r="A1345" s="3" t="n">
        <v>49</v>
      </c>
      <c r="B1345" s="3" t="inlineStr">
        <is>
          <t>Sulampi (Ampicillin/Sulbactam) (SUL05)</t>
        </is>
      </c>
      <c r="C1345" s="9" t="inlineStr">
        <is>
          <t>Low</t>
        </is>
      </c>
      <c r="D1345" s="3" t="inlineStr">
        <is>
          <t>Pharmacokinetics/other</t>
        </is>
      </c>
      <c r="E1345" s="3" t="inlineStr"/>
      <c r="F1345" s="3" t="inlineStr">
        <is>
          <t>ATC code should be J01CR01 only</t>
        </is>
      </c>
      <c r="G1345" s="3" t="inlineStr">
        <is>
          <t>J01CR01, J01CA01, J01CG01</t>
        </is>
      </c>
      <c r="H1345" s="3" t="inlineStr">
        <is>
          <t>The fixed combination ampicillin + β-lactamase inhibitor is J01CR01 only. J01CA01 is ampicillin alone and J01CG01 is sulbactam alone.</t>
        </is>
      </c>
      <c r="I1345" s="3" t="inlineStr">
        <is>
          <t>WHO ATC classification (J01CR01 ampicillin and beta-lactamase inhibitor); product is a fixed combination per FDA DESCRIPTION</t>
        </is>
      </c>
      <c r="J1345" s="3" t="inlineStr">
        <is>
          <t>Open</t>
        </is>
      </c>
      <c r="K1345" s="3" t="inlineStr"/>
    </row>
    <row r="1346">
      <c r="A1346" s="3" t="n">
        <v>36</v>
      </c>
      <c r="B1346" s="3" t="inlineStr">
        <is>
          <t>Sulampi (Ampicillin/Sulbactam) (SUL05)</t>
        </is>
      </c>
      <c r="C1346" s="9" t="inlineStr">
        <is>
          <t>Low</t>
        </is>
      </c>
      <c r="D1346" s="3" t="inlineStr">
        <is>
          <t>Pregnancy</t>
        </is>
      </c>
      <c r="E1346" s="3" t="inlineStr">
        <is>
          <t>FDA letter category</t>
        </is>
      </c>
      <c r="F1346" s="3" t="inlineStr">
        <is>
          <t>Replace category B with PLLR narrative / TW 'safety not established'</t>
        </is>
      </c>
      <c r="G1346" s="3" t="inlineStr">
        <is>
          <t>B</t>
        </is>
      </c>
      <c r="H1346" s="3" t="inlineStr">
        <is>
          <t>The current US label has narrative pregnancy text with no letter category (FDA retired letter categories). The Taiwan insert says pregnancy and lactation safety is not established.</t>
        </is>
      </c>
      <c r="I1346" s="3" t="inlineStr">
        <is>
          <t>DailyMed UNASYN PRECAUTIONS–Pregnancy; Taiwan insert 【懷孕和哺乳】</t>
        </is>
      </c>
      <c r="J1346" s="3" t="inlineStr">
        <is>
          <t>Open</t>
        </is>
      </c>
      <c r="K1346" s="3" t="inlineStr"/>
    </row>
    <row r="1347">
      <c r="A1347" s="3" t="n">
        <v>47</v>
      </c>
      <c r="B1347" s="3" t="inlineStr">
        <is>
          <t>Sulampi (Ampicillin/Sulbactam) (SUL05)</t>
        </is>
      </c>
      <c r="C1347" s="9" t="inlineStr">
        <is>
          <t>Low</t>
        </is>
      </c>
      <c r="D1347" s="3" t="inlineStr">
        <is>
          <t>Pregnancy</t>
        </is>
      </c>
      <c r="E1347" s="3" t="inlineStr">
        <is>
          <t>FDA letter category</t>
        </is>
      </c>
      <c r="F1347" s="3" t="inlineStr">
        <is>
          <t>Replace category B with FDA narrative / TW 'safety not established'</t>
        </is>
      </c>
      <c r="G1347" s="3" t="inlineStr">
        <is>
          <t>B</t>
        </is>
      </c>
      <c r="H1347" s="3" t="inlineStr">
        <is>
          <t>The FDA has retired letter categories. The label gives narrative text: animal studies show no harm; use only if clearly needed. 仿單: 懷孕期間安全性尚未建立.</t>
        </is>
      </c>
      <c r="I1347" s="3" t="inlineStr">
        <is>
          <t>FDA UNASYN Pregnancy; Sulampi 仿單 【懷孕和哺乳】</t>
        </is>
      </c>
      <c r="J1347" s="3" t="inlineStr">
        <is>
          <t>Open</t>
        </is>
      </c>
      <c r="K1347" s="3" t="inlineStr"/>
    </row>
    <row r="1348">
      <c r="A1348" s="3" t="n">
        <v>128</v>
      </c>
      <c r="B1348" s="3" t="inlineStr">
        <is>
          <t>Taigexyn (Nemonoxacin) (TAI05, TAI06)</t>
        </is>
      </c>
      <c r="C1348" s="9" t="inlineStr">
        <is>
          <t>Low</t>
        </is>
      </c>
      <c r="D1348" s="3" t="inlineStr">
        <is>
          <t>Pharmacokinetics/other</t>
        </is>
      </c>
      <c r="E1348" s="3" t="inlineStr"/>
      <c r="F1348" s="3" t="inlineStr">
        <is>
          <t>Change TAI05 dosage form from tablet to capsule</t>
        </is>
      </c>
      <c r="G1348" s="3" t="inlineStr">
        <is>
          <t>Tab</t>
        </is>
      </c>
      <c r="H1348" s="3" t="inlineStr">
        <is>
          <t>Capsule (膠囊劑): light-blue size-0 capsule printed 'TG' / '250'</t>
        </is>
      </c>
      <c r="I1348" s="3" t="inlineStr">
        <is>
          <t>TFDA 仿單 衛部藥製字第058540號 §1.3–1.4 — https://mcp.fda.gov.tw/im_detail_1/%E8%A1%9B%E9%83%A8%E8%97%A5%E8%A3%BD%E5%AD%97%E7%AC%AC058540%E8%99%9F (hospital value from the source brief; I did not re-fetch the hospital page)</t>
        </is>
      </c>
      <c r="J1348" s="3" t="inlineStr">
        <is>
          <t>Open</t>
        </is>
      </c>
      <c r="K1348" s="3" t="inlineStr"/>
    </row>
    <row r="1349">
      <c r="A1349" s="3" t="n">
        <v>133</v>
      </c>
      <c r="B1349" s="3" t="inlineStr">
        <is>
          <t>Taigexyn (Nemonoxacin) (TAI05, TAI06)</t>
        </is>
      </c>
      <c r="C1349" s="9" t="inlineStr">
        <is>
          <t>Low</t>
        </is>
      </c>
      <c r="D1349" s="3" t="inlineStr">
        <is>
          <t>Pharmacokinetics/other</t>
        </is>
      </c>
      <c r="E1349" s="3" t="inlineStr"/>
      <c r="F1349" s="3" t="inlineStr">
        <is>
          <t>Link current TFDA inserts (capsule 113/03/25 v4; infusion 111/06/13 v2)</t>
        </is>
      </c>
      <c r="G1349" s="3" t="inlineStr">
        <is>
          <t>Empty</t>
        </is>
      </c>
      <c r="H1349" s="3" t="inlineStr">
        <is>
          <t>Current inserts are on the TFDA 藥品仿單查詢平台: capsule 113/03/25 v4, infusion 111/06/13 v2</t>
        </is>
      </c>
      <c r="I1349" s="3" t="inlineStr">
        <is>
          <t>https://mcp.fda.gov.tw/im_detail_1/%E8%A1%9B%E9%83%A8%E8%97%A5%E8%A3%BD%E5%AD%97%E7%AC%AC058540%E8%99%9F ; https://mcp.fda.gov.tw/im_detail_1/%E8%A1%9B%E9%83%A8%E8%97%A5%E8%A3%BD%E5%AD%97%E7%AC%AC060558%E8%99%9F</t>
        </is>
      </c>
      <c r="J1349" s="3" t="inlineStr">
        <is>
          <t>Open</t>
        </is>
      </c>
      <c r="K1349" s="3" t="inlineStr"/>
    </row>
    <row r="1350">
      <c r="A1350" s="3" t="n">
        <v>134</v>
      </c>
      <c r="B1350" s="3" t="inlineStr">
        <is>
          <t>Taigexyn (Nemonoxacin) (TAI05, TAI06)</t>
        </is>
      </c>
      <c r="C1350" s="9" t="inlineStr">
        <is>
          <t>Low</t>
        </is>
      </c>
      <c r="D1350" s="3" t="inlineStr">
        <is>
          <t>Pharmacokinetics/other</t>
        </is>
      </c>
      <c r="E1350" s="3" t="inlineStr"/>
      <c r="F1350" s="3" t="inlineStr">
        <is>
          <t>Change TAI05 劑型 from Tab to capsule</t>
        </is>
      </c>
      <c r="G1350" s="3" t="inlineStr">
        <is>
          <t>Tab</t>
        </is>
      </c>
      <c r="H1350" s="3" t="inlineStr">
        <is>
          <t>膠囊劑 (capsule); 規格 on the same page says 'Nemonoxacin 250 mg/Capsule'</t>
        </is>
      </c>
      <c r="I1350" s="3" t="inlineStr">
        <is>
          <t>TFDA 仿單 Taigexyn Capsule 1.3 劑型 — https://mcp.fda.gov.tw/im_detail_1/%E8%A1%9B%E9%83%A8%E8%97%A5%E8%A3%BD%E5%AD%97%E7%AC%AC058540%E8%99%9F</t>
        </is>
      </c>
      <c r="J1350" s="3" t="inlineStr">
        <is>
          <t>Open</t>
        </is>
      </c>
      <c r="K1350" s="3" t="inlineStr"/>
    </row>
    <row r="1351">
      <c r="A1351" s="3" t="n">
        <v>140</v>
      </c>
      <c r="B1351" s="3" t="inlineStr">
        <is>
          <t>Taigexyn (Nemonoxacin) (TAI05, TAI06)</t>
        </is>
      </c>
      <c r="C1351" s="9" t="inlineStr">
        <is>
          <t>Low</t>
        </is>
      </c>
      <c r="D1351" s="3" t="inlineStr">
        <is>
          <t>Pharmacokinetics/other</t>
        </is>
      </c>
      <c r="E1351" s="3" t="inlineStr"/>
      <c r="F1351" s="3" t="inlineStr">
        <is>
          <t>Add TFDA insert links (capsule v4 2024; IV v2 2022)</t>
        </is>
      </c>
      <c r="G1351" s="3" t="inlineStr">
        <is>
          <t>仿單 field empty; TAI05 is annotated '#仿單變更2022'</t>
        </is>
      </c>
      <c r="H1351" s="3" t="inlineStr">
        <is>
          <t>Current TFDA inserts: capsule 113/03/25 版次4 (2024); IV 111/06/13 版次2. The TFDA URLs could be linked.</t>
        </is>
      </c>
      <c r="I1351" s="3" t="inlineStr">
        <is>
          <t>TFDA 藥品仿單查詢平台 history tables — https://mcp.fda.gov.tw/im_detail_1/%E8%A1%9B%E9%83%A8%E8%97%A5%E8%A3%BD%E5%AD%97%E7%AC%AC058540%E8%99%9F</t>
        </is>
      </c>
      <c r="J1351" s="3" t="inlineStr">
        <is>
          <t>Open</t>
        </is>
      </c>
      <c r="K1351" s="3" t="inlineStr"/>
    </row>
    <row r="1352">
      <c r="A1352" s="3" t="n">
        <v>962</v>
      </c>
      <c r="B1352" s="3" t="inlineStr">
        <is>
          <t>Tamiflu (Oseltamivir) (TAM08, TAM06, ERA02, ERA03)</t>
        </is>
      </c>
      <c r="C1352" s="9" t="inlineStr">
        <is>
          <t>Low</t>
        </is>
      </c>
      <c r="D1352" s="3" t="inlineStr">
        <is>
          <t>Administration/compatibility</t>
        </is>
      </c>
      <c r="E1352" s="3" t="inlineStr"/>
      <c r="F1352" s="3" t="inlineStr">
        <is>
          <t>Resolve storage contradiction; remove suspension text since only capsules stocked</t>
        </is>
      </c>
      <c r="G1352" s="3" t="inlineStr">
        <is>
          <t>Drug-bag text: '藥粉水溶液，冷藏儲存至多17天、室溫至多10天'. The same page's 安定性 field: constituted oral suspension refrigerated up to 5 days</t>
        </is>
      </c>
      <c r="H1352" s="3" t="inlineStr">
        <is>
          <t>The page contradicts itself. The text describes reconstituted suspension, which is irrelevant because only 75 mg capsules are stocked. FDA §2.6 gives pharmacy-prepared 6 mg/mL suspension from capsules as 5 weeks refrigerated / 5 days at room temperature. Per the owner's rule, storage is not added to Notion; this is reported for the hospital DB owner only</t>
        </is>
      </c>
      <c r="I1352" s="3" t="inlineStr">
        <is>
          <t>Hospital P4 page TAM08 (checked live); US FDA label §2.6 step j https://dailymed.nlm.nih.gov/dailymed/drugInfo.cfm?setid=f26154bd-374c-44a8-983a-b2724a591653</t>
        </is>
      </c>
      <c r="J1352" s="3" t="inlineStr">
        <is>
          <t>Open</t>
        </is>
      </c>
      <c r="K1352" s="3" t="inlineStr"/>
    </row>
    <row r="1353">
      <c r="A1353" s="3" t="n">
        <v>969</v>
      </c>
      <c r="B1353" s="3" t="inlineStr">
        <is>
          <t>Tamiflu (Oseltamivir) (TAM08, TAM06, ERA02, ERA03)</t>
        </is>
      </c>
      <c r="C1353" s="9" t="inlineStr">
        <is>
          <t>Low</t>
        </is>
      </c>
      <c r="D1353" s="3" t="inlineStr">
        <is>
          <t>Administration/compatibility</t>
        </is>
      </c>
      <c r="E1353" s="3" t="inlineStr"/>
      <c r="F1353" s="3" t="inlineStr">
        <is>
          <t>Fix stability: commercial suspension 17 d fridge/10 d room; compounded 5 wk fridge/5 d room</t>
        </is>
      </c>
      <c r="G1353" s="3" t="inlineStr">
        <is>
          <t>Stability field: 'Store constituted oral suspension under refrigeration for up to 5 days'. Drug-bag field: '藥粉水溶液，冷藏儲存至多17天、室溫至多10天'.</t>
        </is>
      </c>
      <c r="H1353" s="3" t="inlineStr">
        <is>
          <t>US §2.5: commercial constituted suspension 17 days refrigerated or 10 days at 25 °C. US §2.6: emergency suspension compounded from capsules 5 weeks refrigerated or 5 days at room temperature. The '5 days refrigerated' figure matches neither, so the page contradicts itself. Only capsules are stocked, so the drug-bag line about powder suspension probably does not apply. This is not for Notion (storage content excluded).</t>
        </is>
      </c>
      <c r="I1353" s="3" t="inlineStr">
        <is>
          <t>US label §2.5, §2.6 (https://dailymed.nlm.nih.gov/dailymed/drugInfo.cfm?setid=ee3c9555-60f2-4f82-a760-11983c86e97b)</t>
        </is>
      </c>
      <c r="J1353" s="3" t="inlineStr">
        <is>
          <t>Open</t>
        </is>
      </c>
      <c r="K1353" s="3" t="inlineStr"/>
    </row>
    <row r="1354">
      <c r="A1354" s="3" t="n">
        <v>970</v>
      </c>
      <c r="B1354" s="3" t="inlineStr">
        <is>
          <t>Tamiflu (Oseltamivir) (TAM08, TAM06, ERA02, ERA03)</t>
        </is>
      </c>
      <c r="C1354" s="9" t="inlineStr">
        <is>
          <t>Low</t>
        </is>
      </c>
      <c r="D1354" s="3" t="inlineStr">
        <is>
          <t>Pharmacokinetics/other</t>
        </is>
      </c>
      <c r="E1354" s="3" t="inlineStr"/>
      <c r="F1354" s="3" t="inlineStr">
        <is>
          <t>Confirm which Tamiflu licence is supplied (025285 marked 不得輸入)</t>
        </is>
      </c>
      <c r="G1354" s="3" t="inlineStr">
        <is>
          <t>NHI code B025285100, which corresponds to licence 衛署藥輸字第025285號 (克流感膠囊75毫克(法國廠), Cenexi)</t>
        </is>
      </c>
      <c r="H1354" s="3" t="inlineStr">
        <is>
          <t>The TFDA record for 025285 lists '不得輸入' among its 限制項目. Its insert text is identical to licence 023253 (CDS 16.0). Pharmacy should confirm which licence is actually supplied. Clinical content is unaffected.</t>
        </is>
      </c>
      <c r="I1354" s="3" t="inlineStr">
        <is>
          <t>TFDA 025285 page (https://mcp.fda.gov.tw/im_detail_1/%E8%A1%9B%E7%BD%B2%E8%97%A5%E8%BC%B8%E5%AD%97%E7%AC%AC025285%E8%99%9F) and the 023253 insert §15 listing all three Tamiflu licences</t>
        </is>
      </c>
      <c r="J1354" s="3" t="inlineStr">
        <is>
          <t>Open</t>
        </is>
      </c>
      <c r="K1354" s="3" t="inlineStr"/>
    </row>
    <row r="1355">
      <c r="A1355" s="3" t="n">
        <v>958</v>
      </c>
      <c r="B1355" s="3" t="inlineStr">
        <is>
          <t>Tamiflu (Oseltamivir) (TAM08, TAM06, ERA02, ERA03)</t>
        </is>
      </c>
      <c r="C1355" s="9" t="inlineStr">
        <is>
          <t>Low</t>
        </is>
      </c>
      <c r="D1355" s="3" t="inlineStr">
        <is>
          <t>Pregnancy</t>
        </is>
      </c>
      <c r="E1355" s="3" t="inlineStr">
        <is>
          <t>FDA letter category</t>
        </is>
      </c>
      <c r="F1355" s="3" t="inlineStr">
        <is>
          <t>Remove letter C; &gt;5,000 pregnancies show no increased birth-defect risk</t>
        </is>
      </c>
      <c r="G1355" s="3" t="inlineStr">
        <is>
          <t>C</t>
        </is>
      </c>
      <c r="H1355" s="3" t="inlineStr">
        <is>
          <t>FDA letter categories are retired. FDA §8.1: published data from &gt;5,000 exposed pregnancies show no increased birth-defect risk. TW §6.1: 懷孕婦女可能可使用</t>
        </is>
      </c>
      <c r="I1355" s="3" t="inlineStr">
        <is>
          <t>US FDA label §8.1 https://dailymed.nlm.nih.gov/dailymed/drugInfo.cfm?setid=f26154bd-374c-44a8-983a-b2724a591653; Taiwan insert §6.1</t>
        </is>
      </c>
      <c r="J1355" s="3" t="inlineStr">
        <is>
          <t>Open</t>
        </is>
      </c>
      <c r="K1355" s="3" t="inlineStr"/>
    </row>
    <row r="1356">
      <c r="A1356" s="3" t="n">
        <v>965</v>
      </c>
      <c r="B1356" s="3" t="inlineStr">
        <is>
          <t>Tamiflu (Oseltamivir) (TAM08, TAM06, ERA02, ERA03)</t>
        </is>
      </c>
      <c r="C1356" s="9" t="inlineStr">
        <is>
          <t>Low</t>
        </is>
      </c>
      <c r="D1356" s="3" t="inlineStr">
        <is>
          <t>Pregnancy</t>
        </is>
      </c>
      <c r="E1356" s="3" t="inlineStr">
        <is>
          <t>FDA letter category</t>
        </is>
      </c>
      <c r="F1356" s="3" t="inlineStr">
        <is>
          <t>Remove letter C; state may be used in pregnancy, no increased birth-defect risk</t>
        </is>
      </c>
      <c r="G1356" s="3" t="inlineStr">
        <is>
          <t>C</t>
        </is>
      </c>
      <c r="H1356" s="3" t="inlineStr">
        <is>
          <t>FDA letter categories are retired (PLLR). US §8.1: published data from &gt;5000 pregnancies, including &gt;1000 first-trimester exposures, show no increased risk of birth defects. 仿單 §6.1 and SmPC §4.6: may be used in pregnancy.</t>
        </is>
      </c>
      <c r="I1356" s="3" t="inlineStr">
        <is>
          <t>US label §8.1; 仿單 §6.1; UK SmPC §4.6</t>
        </is>
      </c>
      <c r="J1356" s="3" t="inlineStr">
        <is>
          <t>Open</t>
        </is>
      </c>
      <c r="K1356" s="3" t="inlineStr"/>
    </row>
    <row r="1357">
      <c r="A1357" s="3" t="n">
        <v>775</v>
      </c>
      <c r="B1357" s="3" t="inlineStr">
        <is>
          <t>Tetracycline (TET09)</t>
        </is>
      </c>
      <c r="C1357" s="9" t="inlineStr">
        <is>
          <t>Low</t>
        </is>
      </c>
      <c r="D1357" s="3" t="inlineStr">
        <is>
          <t>Dosing – renal/dialysis</t>
        </is>
      </c>
      <c r="E1357" s="3" t="inlineStr"/>
      <c r="F1357" s="3" t="inlineStr">
        <is>
          <t>Add dialysis note acknowledging TW vs US conflict on dialyzability</t>
        </is>
      </c>
      <c r="G1357" s="3" t="inlineStr">
        <is>
          <t>(not addressed)</t>
        </is>
      </c>
      <c r="H1357" s="3" t="inlineStr">
        <is>
          <t>The labels conflict: TW §6.7.4 says dialysis removes the drug significantly; US OVERDOSAGE says it is not dialyzable</t>
        </is>
      </c>
      <c r="I1357" s="3" t="inlineStr">
        <is>
          <t>TW 仿單 §6.7.4; US FDA label OVERDOSAGE</t>
        </is>
      </c>
      <c r="J1357" s="3" t="inlineStr">
        <is>
          <t>Open</t>
        </is>
      </c>
      <c r="K1357" s="3" t="inlineStr"/>
    </row>
    <row r="1358">
      <c r="A1358" s="3" t="n">
        <v>760</v>
      </c>
      <c r="B1358" s="3" t="inlineStr">
        <is>
          <t>Tetracycline (TET09)</t>
        </is>
      </c>
      <c r="C1358" s="9" t="inlineStr">
        <is>
          <t>Low</t>
        </is>
      </c>
      <c r="D1358" s="3" t="inlineStr">
        <is>
          <t>Indication/coverage</t>
        </is>
      </c>
      <c r="E1358" s="3" t="inlineStr"/>
      <c r="F1358" s="3" t="inlineStr">
        <is>
          <t>Fix typo: 革蘭氏陽性、陰性菌</t>
        </is>
      </c>
      <c r="G1358" s="3" t="inlineStr">
        <is>
          <t>革蘭氏陽性菌、陽性菌、立克次氏體及巨型濾過性病毒感染症</t>
        </is>
      </c>
      <c r="H1358" s="3" t="inlineStr">
        <is>
          <t>革蘭氏陽性、陰性菌、立克次氏體及巨型濾過性病毒感染症 (陰性 missing on hospital site)</t>
        </is>
      </c>
      <c r="I1358" s="3" t="inlineStr">
        <is>
          <t>TW 仿單 §2 衛署藥製字第015791號: https://mcp.fda.gov.tw/im_detail_1/%E8%A1%9B%E7%BD%B2%E8%97%A5%E8%A3%BD%E5%AD%97%E7%AC%AC015791%E8%99%9F</t>
        </is>
      </c>
      <c r="J1358" s="3" t="inlineStr">
        <is>
          <t>Open</t>
        </is>
      </c>
      <c r="K1358" s="3" t="inlineStr"/>
    </row>
    <row r="1359">
      <c r="A1359" s="3" t="n">
        <v>767</v>
      </c>
      <c r="B1359" s="3" t="inlineStr">
        <is>
          <t>Tetracycline (TET09)</t>
        </is>
      </c>
      <c r="C1359" s="9" t="inlineStr">
        <is>
          <t>Low</t>
        </is>
      </c>
      <c r="D1359" s="3" t="inlineStr">
        <is>
          <t>Indication/coverage</t>
        </is>
      </c>
      <c r="E1359" s="3" t="inlineStr"/>
      <c r="F1359" s="3" t="inlineStr">
        <is>
          <t>Fix typo: 革蘭氏陽性、陰性菌</t>
        </is>
      </c>
      <c r="G1359" s="3" t="inlineStr">
        <is>
          <t>革蘭氏陽性菌、陽性菌、立克次氏體及巨型濾過性病毒感染症 ('positive' appears twice; 'negative' is missing)</t>
        </is>
      </c>
      <c r="H1359" s="3" t="inlineStr">
        <is>
          <t>革蘭氏陽性、陰性菌、立克次氏體及巨型濾過性病毒感染症 (TW 仿單 §2)</t>
        </is>
      </c>
      <c r="I1359" s="3" t="inlineStr">
        <is>
          <t>TW 仿單 衛署藥製字第015791號: https://mcp.fda.gov.tw/im_detail_1/%E8%A1%9B%E7%BD%B2%E8%97%A5%E8%A3%BD%E5%AD%97%E7%AC%AC015791%E8%99%9F</t>
        </is>
      </c>
      <c r="J1359" s="3" t="inlineStr">
        <is>
          <t>Open</t>
        </is>
      </c>
      <c r="K1359" s="3" t="inlineStr"/>
    </row>
    <row r="1360">
      <c r="A1360" s="3" t="n">
        <v>766</v>
      </c>
      <c r="B1360" s="3" t="inlineStr">
        <is>
          <t>Tetracycline (TET09)</t>
        </is>
      </c>
      <c r="C1360" s="9" t="inlineStr">
        <is>
          <t>Low</t>
        </is>
      </c>
      <c r="D1360" s="3" t="inlineStr">
        <is>
          <t>Pharmacokinetics/other</t>
        </is>
      </c>
      <c r="E1360" s="3" t="inlineStr"/>
      <c r="F1360" s="3" t="inlineStr">
        <is>
          <t>Change oral absorption to ~75–77% per TW insert</t>
        </is>
      </c>
      <c r="G1360" s="3" t="inlineStr">
        <is>
          <t>Oral: 77% to 88%</t>
        </is>
      </c>
      <c r="H1360" s="3" t="inlineStr">
        <is>
          <t>TW 仿單 §11.1: 約有75~77%被吸收 (minor discrepancy; the US label gives no figure)</t>
        </is>
      </c>
      <c r="I1360" s="3" t="inlineStr">
        <is>
          <t>TW 仿單 §11.1: https://mcp.fda.gov.tw/im_detail_1/%E8%A1%9B%E7%BD%B2%E8%97%A5%E8%A3%BD%E5%AD%97%E7%AC%AC015791%E8%99%9F</t>
        </is>
      </c>
      <c r="J1360" s="3" t="inlineStr">
        <is>
          <t>Open</t>
        </is>
      </c>
      <c r="K1360" s="3" t="inlineStr"/>
    </row>
    <row r="1361">
      <c r="A1361" s="3" t="n">
        <v>773</v>
      </c>
      <c r="B1361" s="3" t="inlineStr">
        <is>
          <t>Tetracycline (TET09)</t>
        </is>
      </c>
      <c r="C1361" s="9" t="inlineStr">
        <is>
          <t>Low</t>
        </is>
      </c>
      <c r="D1361" s="3" t="inlineStr">
        <is>
          <t>Pharmacokinetics/other</t>
        </is>
      </c>
      <c r="E1361" s="3" t="inlineStr"/>
      <c r="F1361" s="3" t="inlineStr">
        <is>
          <t>Update PK: absorption 75–77%, protein binding 25–65%, ~60% urinary excretion</t>
        </is>
      </c>
      <c r="G1361" s="3" t="inlineStr">
        <is>
          <t>Absorption 77–88%; protein binding 55–64%; excretion in urine 30%</t>
        </is>
      </c>
      <c r="H1361" s="3" t="inlineStr">
        <is>
          <t>TW 仿單 (stocked product): absorption about 75–77%; protein binding 25–65%; about 60% excreted unchanged in urine by glomerular filtration</t>
        </is>
      </c>
      <c r="I1361" s="3" t="inlineStr">
        <is>
          <t>TW 仿單 §11.1–11.3</t>
        </is>
      </c>
      <c r="J1361" s="3" t="inlineStr">
        <is>
          <t>Open</t>
        </is>
      </c>
      <c r="K1361" s="3" t="inlineStr"/>
    </row>
    <row r="1362">
      <c r="A1362" s="3" t="n">
        <v>1313</v>
      </c>
      <c r="B1362" s="3" t="inlineStr">
        <is>
          <t>Tivicay (Dolutegravir) (TIV01)</t>
        </is>
      </c>
      <c r="C1362" s="9" t="inlineStr">
        <is>
          <t>Low</t>
        </is>
      </c>
      <c r="D1362" s="3" t="inlineStr">
        <is>
          <t>Adverse effects</t>
        </is>
      </c>
      <c r="E1362" s="3" t="inlineStr"/>
      <c r="F1362" s="3" t="inlineStr">
        <is>
          <t>Remove hyperlactataemia/lactic acidosis from dolutegravir ADR list (NRTI class effect).</t>
        </is>
      </c>
      <c r="G1362" s="3" t="inlineStr">
        <is>
          <t>includes '高乳酸血症' (hyperlactataemia / lactic acidosis), alongside 腹瀉、噁心、嘔吐、頭暈、頭痛、疲倦、肌肉無力、失眠、過敏、發燒厭食、關節痛</t>
        </is>
      </c>
      <c r="H1362" s="3" t="inlineStr">
        <is>
          <t>Neither the US §6 nor the UK §4.8 adverse-reaction list includes lactic acidosis for dolutegravir; it is an NRTI class effect. The only lactic acidosis mention is UK 4.4, about metformin co-administration in moderate renal impairment, which is an interaction and not a direct dolutegravir effect.</t>
        </is>
      </c>
      <c r="I1362" s="3" t="inlineStr">
        <is>
          <t>US FDA label §6.1–6.2 https://dailymed.nlm.nih.gov/dailymed/drugInfo.cfm?setid=63df5af3-b8ac-4e76-9830-2dbb340af922; UK SmPC §4.8 Table 4 and §4.4 https://www.medicines.org.uk/emc/product/10057/smpc</t>
        </is>
      </c>
      <c r="J1362" s="3" t="inlineStr">
        <is>
          <t>Open</t>
        </is>
      </c>
      <c r="K1362" s="3" t="inlineStr"/>
    </row>
    <row r="1363">
      <c r="A1363" s="3" t="n">
        <v>1319</v>
      </c>
      <c r="B1363" s="3" t="inlineStr">
        <is>
          <t>Tivicay (Dolutegravir) (TIV01)</t>
        </is>
      </c>
      <c r="C1363" s="9" t="inlineStr">
        <is>
          <t>Low</t>
        </is>
      </c>
      <c r="D1363" s="3" t="inlineStr">
        <is>
          <t>Adverse effects</t>
        </is>
      </c>
      <c r="E1363" s="3" t="inlineStr"/>
      <c r="F1363" s="3" t="inlineStr">
        <is>
          <t>Remove lactic acidosis, muscle weakness, anorexia; fever only as hypersensitivity sign.</t>
        </is>
      </c>
      <c r="G1363" s="3" t="inlineStr">
        <is>
          <t>…高乳酸血症 (hyperlactataemia / lactic acidosis); also 肌肉無力 (muscle weakness) and 發燒厭食 (fever, anorexia)</t>
        </is>
      </c>
      <c r="H1363" s="3" t="inlineStr">
        <is>
          <t>No dolutegravir label (US §6, UK §4.8, TW §8) lists lactic acidosis; it is an NRTI class effect. Muscle weakness and anorexia are not listed. Fever appears only as a sign of hypersensitivity.</t>
        </is>
      </c>
      <c r="I1363" s="3" t="inlineStr">
        <is>
          <t>UK SmPC §4.8 Table 4; US FDA label §6.1-6.2</t>
        </is>
      </c>
      <c r="J1363" s="3" t="inlineStr">
        <is>
          <t>Open</t>
        </is>
      </c>
      <c r="K1363" s="3" t="inlineStr"/>
    </row>
    <row r="1364">
      <c r="A1364" s="3" t="n">
        <v>1322</v>
      </c>
      <c r="B1364" s="3" t="inlineStr">
        <is>
          <t>Tivicay (Dolutegravir) (TIV01)</t>
        </is>
      </c>
      <c r="C1364" s="9" t="inlineStr">
        <is>
          <t>Low</t>
        </is>
      </c>
      <c r="D1364" s="3" t="inlineStr">
        <is>
          <t>Adverse effects</t>
        </is>
      </c>
      <c r="E1364" s="3" t="inlineStr"/>
      <c r="F1364" s="3" t="inlineStr">
        <is>
          <t>Move increased lipase from hepatic to pancreatic lab abnormality.</t>
        </is>
      </c>
      <c r="G1364" s="3" t="inlineStr">
        <is>
          <t>Hepatic: Increased serum lipase level</t>
        </is>
      </c>
      <c r="H1364" s="3" t="inlineStr">
        <is>
          <t>Lipase elevation is a pancreatic laboratory abnormality (US Table 6), not a hepatic one. Minor mis-categorisation.</t>
        </is>
      </c>
      <c r="I1364" s="3" t="inlineStr">
        <is>
          <t>US FDA label §6.1 Table 6</t>
        </is>
      </c>
      <c r="J1364" s="3" t="inlineStr">
        <is>
          <t>Open</t>
        </is>
      </c>
      <c r="K1364" s="3" t="inlineStr"/>
    </row>
    <row r="1365">
      <c r="A1365" s="3" t="n">
        <v>1310</v>
      </c>
      <c r="B1365" s="3" t="inlineStr">
        <is>
          <t>Tivicay (Dolutegravir) (TIV01)</t>
        </is>
      </c>
      <c r="C1365" s="9" t="inlineStr">
        <is>
          <t>Low</t>
        </is>
      </c>
      <c r="D1365" s="3" t="inlineStr">
        <is>
          <t>Pharmacokinetics/other</t>
        </is>
      </c>
      <c r="E1365" s="3" t="inlineStr"/>
      <c r="F1365" s="3" t="inlineStr">
        <is>
          <t>Update ATC code from J05AX12 to J05AJ03.</t>
        </is>
      </c>
      <c r="G1365" s="3" t="inlineStr">
        <is>
          <t>J05AX12</t>
        </is>
      </c>
      <c r="H1365" s="3" t="inlineStr">
        <is>
          <t>J05AJ03 (integrase inhibitors). J05AX12 is the older code.</t>
        </is>
      </c>
      <c r="I1365" s="3" t="inlineStr">
        <is>
          <t>UK SmPC §5.1 'ATC code: J05AJ03' https://www.medicines.org.uk/emc/product/10057/smpc; Taiwan insert ATC Code '主 J05AJ03 dolutegravir' https://mcp.fda.gov.tw/im_detail_1/%E8%A1%9B%E9%83%A8%E8%97%A5%E8%BC%B8%E5%AD%97%E7%AC%AC026407%E8%99%9F</t>
        </is>
      </c>
      <c r="J1365" s="3" t="inlineStr">
        <is>
          <t>Open</t>
        </is>
      </c>
      <c r="K1365" s="3" t="inlineStr"/>
    </row>
    <row r="1366">
      <c r="A1366" s="3" t="n">
        <v>1312</v>
      </c>
      <c r="B1366" s="3" t="inlineStr">
        <is>
          <t>Tivicay (Dolutegravir) (TIV01)</t>
        </is>
      </c>
      <c r="C1366" s="9" t="inlineStr">
        <is>
          <t>Low</t>
        </is>
      </c>
      <c r="D1366" s="3" t="inlineStr">
        <is>
          <t>Pharmacokinetics/other</t>
        </is>
      </c>
      <c r="E1366" s="3" t="inlineStr"/>
      <c r="F1366" s="3" t="inlineStr">
        <is>
          <t>Reword renal excretion: urine 31% as metabolites, &lt;1% unchanged; dialysis inferred unlikely.</t>
        </is>
      </c>
      <c r="G1366" s="3" t="inlineStr">
        <is>
          <t>'Renal: 31% changed, Dialyzable: No'. The brief quoted this as '31% unchanged', but the live page says 'changed'.</t>
        </is>
      </c>
      <c r="H1366" s="3" t="inlineStr">
        <is>
          <t>31% of the dose is excreted in urine, mostly as metabolites (ether glucuronide 18.9% and others), and less than 1% is unchanged. The live wording 'changed' is technically consistent but ambiguous. It should read 'Urine 31% (as metabolites; &lt;1% unchanged)'. On dialysis, the labels give no dialysis data. US §10 says DTG is 'unlikely… significantly removed by dialysis', so 'Dialyzable: No' is reasonable but is an inference, not a measured value.</t>
        </is>
      </c>
      <c r="I1366" s="3" t="inlineStr">
        <is>
          <t>US FDA label §12.3 Excretion and §10 https://dailymed.nlm.nih.gov/dailymed/drugInfo.cfm?setid=63df5af3-b8ac-4e76-9830-2dbb340af922</t>
        </is>
      </c>
      <c r="J1366" s="3" t="inlineStr">
        <is>
          <t>Open</t>
        </is>
      </c>
      <c r="K1366" s="3" t="inlineStr"/>
    </row>
    <row r="1367">
      <c r="A1367" s="3" t="n">
        <v>1316</v>
      </c>
      <c r="B1367" s="3" t="inlineStr">
        <is>
          <t>Tivicay (Dolutegravir) (TIV01)</t>
        </is>
      </c>
      <c r="C1367" s="9" t="inlineStr">
        <is>
          <t>Low</t>
        </is>
      </c>
      <c r="D1367" s="3" t="inlineStr">
        <is>
          <t>Pharmacokinetics/other</t>
        </is>
      </c>
      <c r="E1367" s="3" t="inlineStr"/>
      <c r="F1367" s="3" t="inlineStr">
        <is>
          <t>Update ATC code to J05AJ03.</t>
        </is>
      </c>
      <c r="G1367" s="3" t="inlineStr">
        <is>
          <t>J05AX12</t>
        </is>
      </c>
      <c r="H1367" s="3" t="inlineStr">
        <is>
          <t>J05AJ03 (integrase inhibitors). J05AX12 is the old code.</t>
        </is>
      </c>
      <c r="I1367" s="3" t="inlineStr">
        <is>
          <t>TW insert ATC Code section (主 J05AJ03): https://mcp.fda.gov.tw/im_detail_1/%E8%A1%9B%E9%83%A8%E8%97%A5%E8%BC%B8%E5%AD%97%E7%AC%AC026407%E8%99%9F</t>
        </is>
      </c>
      <c r="J1367" s="3" t="inlineStr">
        <is>
          <t>Open</t>
        </is>
      </c>
      <c r="K1367" s="3" t="inlineStr"/>
    </row>
    <row r="1368">
      <c r="A1368" s="3" t="n">
        <v>1318</v>
      </c>
      <c r="B1368" s="3" t="inlineStr">
        <is>
          <t>Tivicay (Dolutegravir) (TIV01)</t>
        </is>
      </c>
      <c r="C1368" s="9" t="inlineStr">
        <is>
          <t>Low</t>
        </is>
      </c>
      <c r="D1368" s="3" t="inlineStr">
        <is>
          <t>Pharmacokinetics/other</t>
        </is>
      </c>
      <c r="E1368" s="3" t="inlineStr"/>
      <c r="F1368" s="3" t="inlineStr">
        <is>
          <t>Reword excretion: urine 31% mainly metabolites, &lt;1% unchanged.</t>
        </is>
      </c>
      <c r="G1368" s="3" t="inlineStr">
        <is>
          <t>Renal: 31% changed</t>
        </is>
      </c>
      <c r="H1368" s="3" t="inlineStr">
        <is>
          <t>31% of the dose is excreted in urine, mostly as metabolites (ether glucuronide 18.9%). Less than 1% is excreted unchanged.</t>
        </is>
      </c>
      <c r="I1368" s="3" t="inlineStr">
        <is>
          <t>US FDA label §12.3 Excretion; UK SmPC §5.2 (32%; &lt;1% unchanged): https://www.medicines.org.uk/emc/product/10057/smpc</t>
        </is>
      </c>
      <c r="J1368" s="3" t="inlineStr">
        <is>
          <t>Open</t>
        </is>
      </c>
      <c r="K1368" s="3" t="inlineStr"/>
    </row>
    <row r="1369">
      <c r="A1369" s="3" t="n">
        <v>1236</v>
      </c>
      <c r="B1369" s="3" t="inlineStr">
        <is>
          <t>Triumeq (Dolutegravir/Abacavir/Lamivudine) (TRI05)</t>
        </is>
      </c>
      <c r="C1369" s="9" t="inlineStr">
        <is>
          <t>Low</t>
        </is>
      </c>
      <c r="D1369" s="3" t="inlineStr">
        <is>
          <t>Adverse effects</t>
        </is>
      </c>
      <c r="E1369" s="3" t="inlineStr"/>
      <c r="F1369" s="3" t="inlineStr">
        <is>
          <t>Clarify SCr rise is DTG tubular secretion inhibition, not nephrotoxicity; renal impairment &lt;2%.</t>
        </is>
      </c>
      <c r="G1369" s="3" t="inlineStr">
        <is>
          <t>'Renal: Renal insufficiency' listed without context</t>
        </is>
      </c>
      <c r="H1369" s="3" t="inlineStr">
        <is>
          <t>The label lists 'renal impairment' only as a &lt;2% event. The expected SCr rise (mean 0.14 mg/dL within 4 weeks) comes from DTG inhibiting tubular creatinine secretion (OCT2/MATE1) without affecting GFR, so it should not be read as nephrotoxicity.</t>
        </is>
      </c>
      <c r="I1369" s="3" t="inlineStr">
        <is>
          <t>US label §6.1 Changes in Serum Creatinine, §12.2; Taiwan insert §8 血清肌酸酐的變化</t>
        </is>
      </c>
      <c r="J1369" s="3" t="inlineStr">
        <is>
          <t>Open</t>
        </is>
      </c>
      <c r="K1369" s="3" t="inlineStr"/>
    </row>
    <row r="1370">
      <c r="A1370" s="3" t="n">
        <v>1231</v>
      </c>
      <c r="B1370" s="3" t="inlineStr">
        <is>
          <t>Triumeq (Dolutegravir/Abacavir/Lamivudine) (TRI05)</t>
        </is>
      </c>
      <c r="C1370" s="9" t="inlineStr">
        <is>
          <t>Low</t>
        </is>
      </c>
      <c r="D1370" s="3" t="inlineStr">
        <is>
          <t>Pharmacokinetics/other</t>
        </is>
      </c>
      <c r="E1370" s="3" t="inlineStr"/>
      <c r="F1370" s="3" t="inlineStr">
        <is>
          <t>Add TFDA insert link for 衛部藥輸字第026518號.</t>
        </is>
      </c>
      <c r="G1370" s="3" t="inlineStr">
        <is>
          <t>No 仿單 link on the page</t>
        </is>
      </c>
      <c r="H1370" s="3" t="inlineStr">
        <is>
          <t>TFDA insert available: 衛部藥輸字第026518號, v4 updated 2025-04-17</t>
        </is>
      </c>
      <c r="I1370" s="3" t="inlineStr">
        <is>
          <t>https://mcp.fda.gov.tw/im_detail_1/%E8%A1%9B%E9%83%A8%E8%97%A5%E8%BC%B8%E5%AD%97%E7%AC%AC026518%E8%99%9F</t>
        </is>
      </c>
      <c r="J1370" s="3" t="inlineStr">
        <is>
          <t>Open</t>
        </is>
      </c>
      <c r="K1370" s="3" t="inlineStr"/>
    </row>
    <row r="1371">
      <c r="A1371" s="3" t="n">
        <v>1238</v>
      </c>
      <c r="B1371" s="3" t="inlineStr">
        <is>
          <t>Triumeq (Dolutegravir/Abacavir/Lamivudine) (TRI05)</t>
        </is>
      </c>
      <c r="C1371" s="9" t="inlineStr">
        <is>
          <t>Low</t>
        </is>
      </c>
      <c r="D1371" s="3" t="inlineStr">
        <is>
          <t>Pharmacokinetics/other</t>
        </is>
      </c>
      <c r="E1371" s="3" t="inlineStr"/>
      <c r="F1371" s="3" t="inlineStr">
        <is>
          <t>Add TFDA insert link for 衛部藥輸字第026518號.</t>
        </is>
      </c>
      <c r="G1371" s="3" t="inlineStr">
        <is>
          <t>No package-insert (仿單) link on the TRI05 page</t>
        </is>
      </c>
      <c r="H1371" s="3" t="inlineStr">
        <is>
          <t>The Taiwan insert for 衛部藥輸字第026518號 (v4, 2025-04-17) is available on the TFDA platform.</t>
        </is>
      </c>
      <c r="I1371" s="3" t="inlineStr">
        <is>
          <t>https://mcp.fda.gov.tw/im_detail_1/%E8%A1%9B%E9%83%A8%E8%97%A5%E8%BC%B8%E5%AD%97%E7%AC%AC026518%E8%99%9F</t>
        </is>
      </c>
      <c r="J1371" s="3" t="inlineStr">
        <is>
          <t>Open</t>
        </is>
      </c>
      <c r="K1371" s="3" t="inlineStr"/>
    </row>
    <row r="1372">
      <c r="A1372" s="3" t="n">
        <v>1338</v>
      </c>
      <c r="B1372" s="3" t="inlineStr">
        <is>
          <t>Truvada (Emtricitabine/TDF) (TRU01, TRU03)</t>
        </is>
      </c>
      <c r="C1372" s="9" t="inlineStr">
        <is>
          <t>Low</t>
        </is>
      </c>
      <c r="D1372" s="3" t="inlineStr">
        <is>
          <t>Dosing – hepatic</t>
        </is>
      </c>
      <c r="E1372" s="3" t="inlineStr"/>
      <c r="F1372" s="3" t="inlineStr">
        <is>
          <t>Fill field: no hepatic dose adjustment required.</t>
        </is>
      </c>
      <c r="G1372" s="3" t="inlineStr">
        <is>
          <t>(empty)</t>
        </is>
      </c>
      <c r="H1372" s="3" t="inlineStr">
        <is>
          <t>No dose adjustment is required in hepatic impairment (UK 4.2). Tenofovir PK is unchanged in moderate–severe impairment (US 12.3).</t>
        </is>
      </c>
      <c r="I1372" s="3" t="inlineStr">
        <is>
          <t>https://www.medicines.org.uk/emc/product/3890/smpc (4.2)</t>
        </is>
      </c>
      <c r="J1372" s="3" t="inlineStr">
        <is>
          <t>Open</t>
        </is>
      </c>
      <c r="K1372" s="3" t="inlineStr"/>
    </row>
    <row r="1373">
      <c r="A1373" s="3" t="n">
        <v>1324</v>
      </c>
      <c r="B1373" s="3" t="inlineStr">
        <is>
          <t>Truvada (Emtricitabine/TDF) (TRU01, TRU03)</t>
        </is>
      </c>
      <c r="C1373" s="9" t="inlineStr">
        <is>
          <t>Low</t>
        </is>
      </c>
      <c r="D1373" s="3" t="inlineStr">
        <is>
          <t>Pharmacokinetics/other</t>
        </is>
      </c>
      <c r="E1373" s="3" t="inlineStr"/>
      <c r="F1373" s="3" t="inlineStr">
        <is>
          <t>Swap classes: emtricitabine nucleoside RTI; tenofovir DF nucleotide RTI.</t>
        </is>
      </c>
      <c r="G1373" s="3" t="inlineStr">
        <is>
          <t>Tenofovir: Nucleoside Reverse Transcriptase Inhibitor; Emtricitabine: Nucleotide Reverse Transcriptase Inhibitor</t>
        </is>
      </c>
      <c r="H1373" s="3" t="inlineStr">
        <is>
          <t>The other way round. Emtricitabine is a nucleoside (cytidine) analogue; tenofovir DF is a nucleotide analogue (acyclic nucleoside phosphonate of AMP; 'nucleoside monophosphate (nucleotide) analogue').</t>
        </is>
      </c>
      <c r="I1373" s="3" t="inlineStr">
        <is>
          <t>US FDA label 12.4; UK SmPC 5.1 https://www.medicines.org.uk/emc/product/3890/smpc</t>
        </is>
      </c>
      <c r="J1373" s="3" t="inlineStr">
        <is>
          <t>Open</t>
        </is>
      </c>
      <c r="K1373" s="3" t="inlineStr"/>
    </row>
    <row r="1374">
      <c r="A1374" s="3" t="n">
        <v>1326</v>
      </c>
      <c r="B1374" s="3" t="inlineStr">
        <is>
          <t>Truvada (Emtricitabine/TDF) (TRU01, TRU03)</t>
        </is>
      </c>
      <c r="C1374" s="9" t="inlineStr">
        <is>
          <t>Low</t>
        </is>
      </c>
      <c r="D1374" s="3" t="inlineStr">
        <is>
          <t>Pharmacokinetics/other</t>
        </is>
      </c>
      <c r="E1374" s="3" t="inlineStr"/>
      <c r="F1374" s="3" t="inlineStr">
        <is>
          <t>Fix typo to 'Antiretrovirals'.</t>
        </is>
      </c>
      <c r="G1374" s="3" t="inlineStr">
        <is>
          <t>Antiretrovials Antivirals</t>
        </is>
      </c>
      <c r="H1374" s="3" t="inlineStr">
        <is>
          <t>Spelling error: should be 'Antiretrovirals'.</t>
        </is>
      </c>
      <c r="I1374" s="3" t="inlineStr">
        <is>
          <t>UK SmPC 5.1 pharmacotherapeutic group 'antivirals for treatment of HIV infections, combinations'</t>
        </is>
      </c>
      <c r="J1374" s="3" t="inlineStr">
        <is>
          <t>Open</t>
        </is>
      </c>
      <c r="K1374" s="3" t="inlineStr"/>
    </row>
    <row r="1375">
      <c r="A1375" s="3" t="n">
        <v>1330</v>
      </c>
      <c r="B1375" s="3" t="inlineStr">
        <is>
          <t>Truvada (Emtricitabine/TDF) (TRU01, TRU03)</t>
        </is>
      </c>
      <c r="C1375" s="9" t="inlineStr">
        <is>
          <t>Low</t>
        </is>
      </c>
      <c r="D1375" s="3" t="inlineStr">
        <is>
          <t>Pharmacokinetics/other</t>
        </is>
      </c>
      <c r="E1375" s="3" t="inlineStr"/>
      <c r="F1375" s="3" t="inlineStr">
        <is>
          <t>Add licence 衛署藥輸字第024769號 and current TW insert PDF link.</t>
        </is>
      </c>
      <c r="G1375" s="3" t="inlineStr">
        <is>
          <t>仿單 link empty; no licence number on the P4 page</t>
        </is>
      </c>
      <c r="H1375" s="3" t="inlineStr">
        <is>
          <t>Licence 衛署藥輸字第024769號; current TW insert PDF (artwork 11 SEP 2024) at https://mcp.fda.gov.tw/insert/pdfcasefile/07360bcf-31f4-4cca-ac0a-db88549997d1</t>
        </is>
      </c>
      <c r="I1375" s="3" t="inlineStr">
        <is>
          <t>TFDA licence page https://mcp.fda.gov.tw/im_detail_1/%E8%A1%9B%E7%BD%B2%E8%97%A5%E8%BC%B8%E5%AD%97%E7%AC%AC024769%E8%99%9F</t>
        </is>
      </c>
      <c r="J1375" s="3" t="inlineStr">
        <is>
          <t>Open</t>
        </is>
      </c>
      <c r="K1375" s="3" t="inlineStr"/>
    </row>
    <row r="1376">
      <c r="A1376" s="3" t="n">
        <v>1333</v>
      </c>
      <c r="B1376" s="3" t="inlineStr">
        <is>
          <t>Truvada (Emtricitabine/TDF) (TRU01, TRU03)</t>
        </is>
      </c>
      <c r="C1376" s="9" t="inlineStr">
        <is>
          <t>Low</t>
        </is>
      </c>
      <c r="D1376" s="3" t="inlineStr">
        <is>
          <t>Pharmacokinetics/other</t>
        </is>
      </c>
      <c r="E1376" s="3" t="inlineStr"/>
      <c r="F1376" s="3" t="inlineStr">
        <is>
          <t>Swap nucleoside/nucleotide labels: FTC nucleoside, tenofovir nucleotide.</t>
        </is>
      </c>
      <c r="G1376" s="3" t="inlineStr">
        <is>
          <t>Tenofovir: Nucleoside RTI; Emtricitabine: Nucleotide RTI</t>
        </is>
      </c>
      <c r="H1376" s="3" t="inlineStr">
        <is>
          <t>The other way round: FTC is 'a synthetic nucleoside analog of cytidine' and tenofovir is 'an acyclic nucleoside phosphonate (nucleotide) analog of adenosine 5′-monophosphate'.</t>
        </is>
      </c>
      <c r="I1376" s="3" t="inlineStr">
        <is>
          <t>US label §11 Description — https://dailymed.nlm.nih.gov/dailymed/drugInfo.cfm?setid=54e82b13-a037-49ed-b4b3-030b37c0ecdd</t>
        </is>
      </c>
      <c r="J1376" s="3" t="inlineStr">
        <is>
          <t>Open</t>
        </is>
      </c>
      <c r="K1376" s="3" t="inlineStr"/>
    </row>
    <row r="1377">
      <c r="A1377" s="3" t="n">
        <v>1335</v>
      </c>
      <c r="B1377" s="3" t="inlineStr">
        <is>
          <t>Truvada (Emtricitabine/TDF) (TRU01, TRU03)</t>
        </is>
      </c>
      <c r="C1377" s="9" t="inlineStr">
        <is>
          <t>Low</t>
        </is>
      </c>
      <c r="D1377" s="3" t="inlineStr">
        <is>
          <t>Pharmacokinetics/other</t>
        </is>
      </c>
      <c r="E1377" s="3" t="inlineStr"/>
      <c r="F1377" s="3" t="inlineStr">
        <is>
          <t>Fix spelling to 'Antiretrovirals'.</t>
        </is>
      </c>
      <c r="G1377" s="3" t="inlineStr">
        <is>
          <t>Antiretrovials</t>
        </is>
      </c>
      <c r="H1377" s="3" t="inlineStr">
        <is>
          <t>Spelling should be 'Antiretrovirals'.</t>
        </is>
      </c>
      <c r="I1377" s="3" t="inlineStr">
        <is>
          <t>Spelling; UK SmPC 5.1 'antivirals for treatment of HIV infections' — https://www.medicines.org.uk/emc/product/3890/smpc</t>
        </is>
      </c>
      <c r="J1377" s="3" t="inlineStr">
        <is>
          <t>Open</t>
        </is>
      </c>
      <c r="K1377" s="3" t="inlineStr"/>
    </row>
    <row r="1378">
      <c r="A1378" s="3" t="n">
        <v>1340</v>
      </c>
      <c r="B1378" s="3" t="inlineStr">
        <is>
          <t>Truvada (Emtricitabine/TDF) (TRU01, TRU03)</t>
        </is>
      </c>
      <c r="C1378" s="9" t="inlineStr">
        <is>
          <t>Low</t>
        </is>
      </c>
      <c r="D1378" s="3" t="inlineStr">
        <is>
          <t>Pharmacokinetics/other</t>
        </is>
      </c>
      <c r="E1378" s="3" t="inlineStr"/>
      <c r="F1378" s="3" t="inlineStr">
        <is>
          <t>Add licence 024769 and TW insert link for TRU01/TRU03; add NHI code for TRU03.</t>
        </is>
      </c>
      <c r="G1378" s="3" t="inlineStr">
        <is>
          <t>仿單 field empty; no licence number on the P4 page (TRU01 and TRU03). TRU03 also has no NHI code.</t>
        </is>
      </c>
      <c r="H1378" s="3" t="inlineStr">
        <is>
          <t>Licence 衛署藥輸字第024769號. Current TW insert PDF (artwork 11 SEP 2024): https://mcp.fda.gov.tw/insert/pdfcasefile/07360bcf-31f4-4cca-ac0a-db88549997d1</t>
        </is>
      </c>
      <c r="I1378" s="3" t="inlineStr">
        <is>
          <t>https://mcp.fda.gov.tw/im_detail_1/%E8%A1%9B%E7%BD%B2%E8%97%A5%E8%BC%B8%E5%AD%97%E7%AC%AC024769%E8%99%9F</t>
        </is>
      </c>
      <c r="J1378" s="3" t="inlineStr">
        <is>
          <t>Open</t>
        </is>
      </c>
      <c r="K1378" s="3" t="inlineStr"/>
    </row>
    <row r="1379">
      <c r="A1379" s="3" t="n">
        <v>1323</v>
      </c>
      <c r="B1379" s="3" t="inlineStr">
        <is>
          <t>Truvada (Emtricitabine/TDF) (TRU01, TRU03)</t>
        </is>
      </c>
      <c r="C1379" s="9" t="inlineStr">
        <is>
          <t>Low</t>
        </is>
      </c>
      <c r="D1379" s="3" t="inlineStr">
        <is>
          <t>Pregnancy</t>
        </is>
      </c>
      <c r="E1379" s="3" t="inlineStr">
        <is>
          <t>FDA letter category</t>
        </is>
      </c>
      <c r="F1379" s="3" t="inlineStr">
        <is>
          <t>Replace 'B (FDA)' with APR narrative; PrEP may be continued or started in pregnancy.</t>
        </is>
      </c>
      <c r="G1379" s="3" t="inlineStr">
        <is>
          <t>B (FDA)</t>
        </is>
      </c>
      <c r="H1379" s="3" t="inlineStr">
        <is>
          <t>The FDA retired letter categories. The FDA 8.1 narrative says APR data show no increased risk of major birth defects (FTC 2.3–2.6%, TDF 2.1–2.4% vs 2.7% background), and PrEP may be continued or started in pregnancy. SmPC 4.6: &gt;1,000 outcomes, no malformation.</t>
        </is>
      </c>
      <c r="I1379" s="3" t="inlineStr">
        <is>
          <t>US FDA label 8.1 https://dailymed.nlm.nih.gov/dailymed/drugInfo.cfm?setid=54e82b13-a037-49ed-b4b3-030b37c0ecdd ; UK SmPC 4.6 https://www.medicines.org.uk/emc/product/3890/smpc</t>
        </is>
      </c>
      <c r="J1379" s="3" t="inlineStr">
        <is>
          <t>Open</t>
        </is>
      </c>
      <c r="K1379" s="3" t="inlineStr"/>
    </row>
    <row r="1380">
      <c r="A1380" s="3" t="n">
        <v>1332</v>
      </c>
      <c r="B1380" s="3" t="inlineStr">
        <is>
          <t>Truvada (Emtricitabine/TDF) (TRU01, TRU03)</t>
        </is>
      </c>
      <c r="C1380" s="9" t="inlineStr">
        <is>
          <t>Low</t>
        </is>
      </c>
      <c r="D1380" s="3" t="inlineStr">
        <is>
          <t>Pregnancy</t>
        </is>
      </c>
      <c r="E1380" s="3" t="inlineStr">
        <is>
          <t>FDA letter category</t>
        </is>
      </c>
      <c r="F1380" s="3" t="inlineStr">
        <is>
          <t>Replace 'B (FDA)' with APR narrative per US/TW 8.1 and UK 4.6.</t>
        </is>
      </c>
      <c r="G1380" s="3" t="inlineStr">
        <is>
          <t>B (FDA)</t>
        </is>
      </c>
      <c r="H1380" s="3" t="inlineStr">
        <is>
          <t>The FDA retired letter categories. US 8.1 / TW 8.1 now give APR narrative data (first-trimester birth-defect rates FTC 2.3%, TDF 2.1% vs 2.7% background), and UK 4.6 says use 'may be considered during pregnancy'.</t>
        </is>
      </c>
      <c r="I1380" s="3" t="inlineStr">
        <is>
          <t>https://dailymed.nlm.nih.gov/dailymed/drugInfo.cfm?setid=54e82b13-a037-49ed-b4b3-030b37c0ecdd (8.1); https://www.medicines.org.uk/emc/product/3890/smpc (4.6)</t>
        </is>
      </c>
      <c r="J1380" s="3" t="inlineStr">
        <is>
          <t>Open</t>
        </is>
      </c>
      <c r="K1380" s="3" t="inlineStr"/>
    </row>
    <row r="1381">
      <c r="A1381" s="3" t="n">
        <v>203</v>
      </c>
      <c r="B1381" s="3" t="inlineStr">
        <is>
          <t>UFO (Fosfomycin) (UFO02)</t>
        </is>
      </c>
      <c r="C1381" s="9" t="inlineStr">
        <is>
          <t>Low</t>
        </is>
      </c>
      <c r="D1381" s="3" t="inlineStr">
        <is>
          <t>Administration/compatibility</t>
        </is>
      </c>
      <c r="E1381" s="3" t="inlineStr"/>
      <c r="F1381" s="3" t="inlineStr">
        <is>
          <t>Bag storage: below 25°C (fix 15–30°C)</t>
        </is>
      </c>
      <c r="G1381" s="3" t="inlineStr">
        <is>
          <t>15–30 ℃ 乾燥處儲存 (another field says 'store under 25 degree C')</t>
        </is>
      </c>
      <c r="H1381" s="3" t="inlineStr">
        <is>
          <t>25℃以下</t>
        </is>
      </c>
      <c r="I1381" s="3" t="inlineStr">
        <is>
          <t>Taiwan insert §13.3 (reported only as a hospital inconsistency; not for Notion)</t>
        </is>
      </c>
      <c r="J1381" s="3" t="inlineStr">
        <is>
          <t>Open</t>
        </is>
      </c>
      <c r="K1381" s="3" t="inlineStr"/>
    </row>
    <row r="1382">
      <c r="A1382" s="3" t="n">
        <v>198</v>
      </c>
      <c r="B1382" s="3" t="inlineStr">
        <is>
          <t>UFO (Fosfomycin) (UFO02)</t>
        </is>
      </c>
      <c r="C1382" s="9" t="inlineStr">
        <is>
          <t>Low</t>
        </is>
      </c>
      <c r="D1382" s="3" t="inlineStr">
        <is>
          <t>Pharmacokinetics/other</t>
        </is>
      </c>
      <c r="E1382" s="3" t="inlineStr"/>
      <c r="F1382" s="3" t="inlineStr">
        <is>
          <t>Replace oral PK with IV PK (t½ ~2 h, Vd ~0.3 L/kg, 80–90% renal)</t>
        </is>
      </c>
      <c r="G1382" s="3" t="inlineStr">
        <is>
          <t>Oral PK: bioavailability fasting 37% / fed 30%, Vd 90–180 L, t½ 3–8 h</t>
        </is>
      </c>
      <c r="H1382" s="3" t="inlineStr">
        <is>
          <t>IV product: no oral bioavailability applies. IV t½ about 2 h (UK) or 2.8 h (US); Vd about 0.3 L/kg (UK) or 27 L (US); 80–90% renal elimination</t>
        </is>
      </c>
      <c r="I1382" s="3" t="inlineStr">
        <is>
          <t>UK SmPC §5.2; US Contepo §12.3</t>
        </is>
      </c>
      <c r="J1382" s="3" t="inlineStr">
        <is>
          <t>Open</t>
        </is>
      </c>
      <c r="K1382" s="3" t="inlineStr"/>
    </row>
    <row r="1383">
      <c r="A1383" s="3" t="n">
        <v>204</v>
      </c>
      <c r="B1383" s="3" t="inlineStr">
        <is>
          <t>UFO (Fosfomycin) (UFO02)</t>
        </is>
      </c>
      <c r="C1383" s="9" t="inlineStr">
        <is>
          <t>Low</t>
        </is>
      </c>
      <c r="D1383" s="3" t="inlineStr">
        <is>
          <t>Pharmacokinetics/other</t>
        </is>
      </c>
      <c r="E1383" s="3" t="inlineStr"/>
      <c r="F1383" s="3" t="inlineStr">
        <is>
          <t>Link TFDA insert 衛署藥製字第035049號 (113/01/05 v4)</t>
        </is>
      </c>
      <c r="G1383" s="3" t="inlineStr">
        <is>
          <t>Empty</t>
        </is>
      </c>
      <c r="H1383" s="3" t="inlineStr">
        <is>
          <t>The TFDA insert for 衛署藥製字第035049號 is available (updated 113/01/05, 版次4)</t>
        </is>
      </c>
      <c r="I1383" s="3" t="inlineStr">
        <is>
          <t>https://mcp.fda.gov.tw/im_detail_1/%E8%A1%9B%E7%BD%B2%E8%97%A5%E8%A3%BD%E5%AD%97%E7%AC%AC035049%E8%99%9F</t>
        </is>
      </c>
      <c r="J1383" s="3" t="inlineStr">
        <is>
          <t>Open</t>
        </is>
      </c>
      <c r="K1383" s="3" t="inlineStr"/>
    </row>
    <row r="1384">
      <c r="A1384" s="3" t="n">
        <v>209</v>
      </c>
      <c r="B1384" s="3" t="inlineStr">
        <is>
          <t>UFO (Fosfomycin) (UFO02)</t>
        </is>
      </c>
      <c r="C1384" s="9" t="inlineStr">
        <is>
          <t>Low</t>
        </is>
      </c>
      <c r="D1384" s="3" t="inlineStr">
        <is>
          <t>Pharmacokinetics/other</t>
        </is>
      </c>
      <c r="E1384" s="3" t="inlineStr"/>
      <c r="F1384" s="3" t="inlineStr">
        <is>
          <t>Replace oral PK with IV PK data</t>
        </is>
      </c>
      <c r="G1384" s="3" t="inlineStr">
        <is>
          <t>Oral PK: bioavailability 37% fasting, 30% with food; Vd 90–180 L</t>
        </is>
      </c>
      <c r="H1384" s="3" t="inlineStr">
        <is>
          <t>IV product: 100% bioavailable. Vd about 0.30 L/kg (UK) or 27 L (US CONTEPO). t½ about 2 h (UK) or 2.8 h (US). 80–90% excreted in urine within 12 h.</t>
        </is>
      </c>
      <c r="I1384" s="3" t="inlineStr">
        <is>
          <t>UK SmPC §5.2; US CONTEPO §12.3 https://dailymed.nlm.nih.gov/dailymed/drugInfo.cfm?setid=855574f2-39f8-43bc-a3d2-79dbb578cb94</t>
        </is>
      </c>
      <c r="J1384" s="3" t="inlineStr">
        <is>
          <t>Open</t>
        </is>
      </c>
      <c r="K1384" s="3" t="inlineStr"/>
    </row>
    <row r="1385">
      <c r="A1385" s="3" t="n">
        <v>197</v>
      </c>
      <c r="B1385" s="3" t="inlineStr">
        <is>
          <t>UFO (Fosfomycin) (UFO02)</t>
        </is>
      </c>
      <c r="C1385" s="9" t="inlineStr">
        <is>
          <t>Low</t>
        </is>
      </c>
      <c r="D1385" s="3" t="inlineStr">
        <is>
          <t>Pregnancy</t>
        </is>
      </c>
      <c r="E1385" s="3" t="inlineStr">
        <is>
          <t>FDA letter category</t>
        </is>
      </c>
      <c r="F1385" s="3" t="inlineStr">
        <is>
          <t>Replace B with narrative: not recommended unless benefit outweighs risk</t>
        </is>
      </c>
      <c r="G1385" s="3" t="inlineStr">
        <is>
          <t>B</t>
        </is>
      </c>
      <c r="H1385" s="3" t="inlineStr">
        <is>
          <t>Letter categories are retired. Taiwan/UK: not recommended in pregnancy unless the benefit outweighs the risk. US Contepo 8.1: narrative risk summary.</t>
        </is>
      </c>
      <c r="I1385" s="3" t="inlineStr">
        <is>
          <t>Taiwan insert §6.1; UK SmPC §4.6; US Contepo §8.1</t>
        </is>
      </c>
      <c r="J1385" s="3" t="inlineStr">
        <is>
          <t>Open</t>
        </is>
      </c>
      <c r="K1385" s="3" t="inlineStr"/>
    </row>
    <row r="1386">
      <c r="A1386" s="3" t="n">
        <v>208</v>
      </c>
      <c r="B1386" s="3" t="inlineStr">
        <is>
          <t>UFO (Fosfomycin) (UFO02)</t>
        </is>
      </c>
      <c r="C1386" s="9" t="inlineStr">
        <is>
          <t>Low</t>
        </is>
      </c>
      <c r="D1386" s="3" t="inlineStr">
        <is>
          <t>Pregnancy</t>
        </is>
      </c>
      <c r="E1386" s="3" t="inlineStr">
        <is>
          <t>FDA letter category</t>
        </is>
      </c>
      <c r="F1386" s="3" t="inlineStr">
        <is>
          <t>Remove B; narrative: not recommended unless benefit outweighs risk</t>
        </is>
      </c>
      <c r="G1386" s="3" t="inlineStr">
        <is>
          <t>B</t>
        </is>
      </c>
      <c r="H1386" s="3" t="inlineStr">
        <is>
          <t>No letter category; FDA letter categories are retired. Crosses the placenta. Not recommended in pregnancy unless the benefit outweighs the risk.</t>
        </is>
      </c>
      <c r="I1386" s="3" t="inlineStr">
        <is>
          <t>Taiwan insert UFO §6.1; UK SmPC §4.6</t>
        </is>
      </c>
      <c r="J1386" s="3" t="inlineStr">
        <is>
          <t>Open</t>
        </is>
      </c>
      <c r="K1386" s="3" t="inlineStr"/>
    </row>
    <row r="1387">
      <c r="A1387" s="3" t="n">
        <v>1006</v>
      </c>
      <c r="B1387" s="3" t="inlineStr">
        <is>
          <t>ValTREX (Valaciclovir) (VAL03)</t>
        </is>
      </c>
      <c r="C1387" s="9" t="inlineStr">
        <is>
          <t>Low</t>
        </is>
      </c>
      <c r="D1387" s="3" t="inlineStr">
        <is>
          <t>Indication/coverage</t>
        </is>
      </c>
      <c r="E1387" s="3" t="inlineStr"/>
      <c r="F1387" s="3" t="inlineStr">
        <is>
          <t>Fix 庖→疱 and specify 復發性生殖器疱疹 on bag label</t>
        </is>
      </c>
      <c r="G1387" s="3" t="inlineStr">
        <is>
          <t>帶狀庖疹、復發性庖疹</t>
        </is>
      </c>
      <c r="H1387" s="3" t="inlineStr">
        <is>
          <t>Typo: should be 疱 (帶狀疱疹、復發性生殖器疱疹), as on the TW insert. 'Recurrent herpes' should also say 'genital', per the TW indication.</t>
        </is>
      </c>
      <c r="I1387" s="3" t="inlineStr">
        <is>
          <t>TW仿單 2 適應症 https://mcp.fda.gov.tw/im_detail_1/%E8%A1%9B%E7%BD%B2%E8%97%A5%E8%BC%B8%E5%AD%97%E7%AC%AC021788%E8%99%9F</t>
        </is>
      </c>
      <c r="J1387" s="3" t="inlineStr">
        <is>
          <t>Open</t>
        </is>
      </c>
      <c r="K1387" s="3" t="inlineStr"/>
    </row>
    <row r="1388">
      <c r="A1388" s="3" t="n">
        <v>995</v>
      </c>
      <c r="B1388" s="3" t="inlineStr">
        <is>
          <t>ValTREX (Valaciclovir) (VAL03)</t>
        </is>
      </c>
      <c r="C1388" s="9" t="inlineStr">
        <is>
          <t>Low</t>
        </is>
      </c>
      <c r="D1388" s="3" t="inlineStr">
        <is>
          <t>Pharmacokinetics/other</t>
        </is>
      </c>
      <c r="E1388" s="3" t="inlineStr"/>
      <c r="F1388" s="3" t="inlineStr">
        <is>
          <t>Fix spelling 'Necleoside' to 'Nucleoside'</t>
        </is>
      </c>
      <c r="G1388" s="3" t="inlineStr">
        <is>
          <t>Necleoside &amp; Nucleotide Antivirals</t>
        </is>
      </c>
      <c r="H1388" s="3" t="inlineStr">
        <is>
          <t>Spelling: 'Nucleoside &amp; Nucleotide Antivirals' (SmPC 5.1 group: 'Nucleosides and nucleotides excluding reverse transcriptase inhibitors').</t>
        </is>
      </c>
      <c r="I1388" s="3" t="inlineStr">
        <is>
          <t>UK SmPC 5.1 https://www.medicines.org.uk/emc/product/15072/smpc</t>
        </is>
      </c>
      <c r="J1388" s="3" t="inlineStr">
        <is>
          <t>Open</t>
        </is>
      </c>
      <c r="K1388" s="3" t="inlineStr"/>
    </row>
    <row r="1389">
      <c r="A1389" s="3" t="n">
        <v>996</v>
      </c>
      <c r="B1389" s="3" t="inlineStr">
        <is>
          <t>ValTREX (Valaciclovir) (VAL03)</t>
        </is>
      </c>
      <c r="C1389" s="9" t="inlineStr">
        <is>
          <t>Low</t>
        </is>
      </c>
      <c r="D1389" s="3" t="inlineStr">
        <is>
          <t>Pharmacokinetics/other</t>
        </is>
      </c>
      <c r="E1389" s="3" t="inlineStr"/>
      <c r="F1389" s="3" t="inlineStr">
        <is>
          <t>Change storage to 'below 30℃' per TW insert</t>
        </is>
      </c>
      <c r="G1389" s="3" t="inlineStr">
        <is>
          <t>請置於 15-30℃ 乾燥處儲存</t>
        </is>
      </c>
      <c r="H1389" s="3" t="inlineStr">
        <is>
          <t>TW insert 13.3: 請於30℃以下儲存 (no lower limit stated).</t>
        </is>
      </c>
      <c r="I1389" s="3" t="inlineStr">
        <is>
          <t>Taiwan insert 13.3 https://mcp.fda.gov.tw/im_detail_1/%E8%A1%9B%E7%BD%B2%E8%97%A5%E8%BC%B8%E5%AD%97%E7%AC%AC021788%E8%99%9F</t>
        </is>
      </c>
      <c r="J1389" s="3" t="inlineStr">
        <is>
          <t>Open</t>
        </is>
      </c>
      <c r="K1389" s="3" t="inlineStr"/>
    </row>
    <row r="1390">
      <c r="A1390" s="3" t="n">
        <v>1001</v>
      </c>
      <c r="B1390" s="3" t="inlineStr">
        <is>
          <t>ValTREX (Valaciclovir) (VAL03)</t>
        </is>
      </c>
      <c r="C1390" s="9" t="inlineStr">
        <is>
          <t>Low</t>
        </is>
      </c>
      <c r="D1390" s="3" t="inlineStr">
        <is>
          <t>Pharmacokinetics/other</t>
        </is>
      </c>
      <c r="E1390" s="3" t="inlineStr"/>
      <c r="F1390" s="3" t="inlineStr">
        <is>
          <t>Fix spelling 'Necleoside' to 'Nucleoside'</t>
        </is>
      </c>
      <c r="G1390" s="3" t="inlineStr">
        <is>
          <t>Necleoside &amp; Nucleotide Antivirals</t>
        </is>
      </c>
      <c r="H1390" s="3" t="inlineStr">
        <is>
          <t>Spelling should be 'Nucleoside'. UK 5.1: 'Nucleosides and nucleotides excluding reverse transcriptase inhibitors'.</t>
        </is>
      </c>
      <c r="I1390" s="3" t="inlineStr">
        <is>
          <t>UK SmPC 5.1 https://www.medicines.org.uk/emc/product/15072/smpc</t>
        </is>
      </c>
      <c r="J1390" s="3" t="inlineStr">
        <is>
          <t>Open</t>
        </is>
      </c>
      <c r="K1390" s="3" t="inlineStr"/>
    </row>
    <row r="1391">
      <c r="A1391" s="3" t="n">
        <v>1002</v>
      </c>
      <c r="B1391" s="3" t="inlineStr">
        <is>
          <t>ValTREX (Valaciclovir) (VAL03)</t>
        </is>
      </c>
      <c r="C1391" s="9" t="inlineStr">
        <is>
          <t>Low</t>
        </is>
      </c>
      <c r="D1391" s="3" t="inlineStr">
        <is>
          <t>Pharmacokinetics/other</t>
        </is>
      </c>
      <c r="E1391" s="3" t="inlineStr"/>
      <c r="F1391" s="3" t="inlineStr">
        <is>
          <t>Correct Chinese name to 祛疹易錠５００毫克 (示-radical 祛)</t>
        </is>
      </c>
      <c r="G1391" s="3" t="inlineStr">
        <is>
          <t>袪疹易錠 (衣-radical 袪)</t>
        </is>
      </c>
      <c r="H1391" s="3" t="inlineStr">
        <is>
          <t>祛疹易錠５００毫克 (示-radical 祛), as on the TFDA licence</t>
        </is>
      </c>
      <c r="I1391" s="3" t="inlineStr">
        <is>
          <t>TFDA 藥品仿單查詢 衛署藥輸字第021788號 https://mcp.fda.gov.tw/im_detail_1/%E8%A1%9B%E7%BD%B2%E8%97%A5%E8%BC%B8%E5%AD%97%E7%AC%AC021788%E8%99%9F</t>
        </is>
      </c>
      <c r="J1391" s="3" t="inlineStr">
        <is>
          <t>Open</t>
        </is>
      </c>
      <c r="K1391" s="3" t="inlineStr"/>
    </row>
    <row r="1392">
      <c r="A1392" s="3" t="n">
        <v>988</v>
      </c>
      <c r="B1392" s="3" t="inlineStr">
        <is>
          <t>ValTREX (Valaciclovir) (VAL03)</t>
        </is>
      </c>
      <c r="C1392" s="9" t="inlineStr">
        <is>
          <t>Low</t>
        </is>
      </c>
      <c r="D1392" s="3" t="inlineStr">
        <is>
          <t>Pregnancy</t>
        </is>
      </c>
      <c r="E1392" s="3" t="inlineStr">
        <is>
          <t>FDA letter category</t>
        </is>
      </c>
      <c r="F1392" s="3" t="inlineStr">
        <is>
          <t>Replace letter B with FDA 8.1 narrative risk summary and TW benefit-risk wording</t>
        </is>
      </c>
      <c r="G1392" s="3" t="inlineStr">
        <is>
          <t>B</t>
        </is>
      </c>
      <c r="H1392" s="3" t="inlineStr">
        <is>
          <t>FDA letter categories are retired. The current FDA 8.1 risk summary reads 'Clinical data over several decades… have not identified a drug associated risk of major birth defects'. SmPC/TW insert: use only if benefit outweighs risk.</t>
        </is>
      </c>
      <c r="I1392" s="3" t="inlineStr">
        <is>
          <t>US FDA VALTREX label 8.1 https://dailymed.nlm.nih.gov/dailymed/drugInfo.cfm?setid=f8e0d8f8-cb73-4206-a484-88f5c4fbd719; Taiwan insert 6.1 https://mcp.fda.gov.tw/im_detail_1/%E8%A1%9B%E7%BD%B2%E8%97%A5%E8%BC%B8%E5%AD%97%E7%AC%AC021788%E8%99%9F</t>
        </is>
      </c>
      <c r="J1392" s="3" t="inlineStr">
        <is>
          <t>Open</t>
        </is>
      </c>
      <c r="K1392" s="3" t="inlineStr"/>
    </row>
    <row r="1393">
      <c r="A1393" s="3" t="n">
        <v>997</v>
      </c>
      <c r="B1393" s="3" t="inlineStr">
        <is>
          <t>ValTREX (Valaciclovir) (VAL03)</t>
        </is>
      </c>
      <c r="C1393" s="9" t="inlineStr">
        <is>
          <t>Low</t>
        </is>
      </c>
      <c r="D1393" s="3" t="inlineStr">
        <is>
          <t>Pregnancy</t>
        </is>
      </c>
      <c r="E1393" s="3" t="inlineStr">
        <is>
          <t>FDA letter category</t>
        </is>
      </c>
      <c r="F1393" s="3" t="inlineStr">
        <is>
          <t>Replace letter B with FDA narrative and UK/TW benefit-risk wording</t>
        </is>
      </c>
      <c r="G1393" s="3" t="inlineStr">
        <is>
          <t>B</t>
        </is>
      </c>
      <c r="H1393" s="3" t="inlineStr">
        <is>
          <t>FDA letter categories are retired. The current US label 8.1 gives a narrative risk summary (no drug-associated risk of major birth defects); UK 4.6 and TW 6.1 say use only if benefit outweighs risk.</t>
        </is>
      </c>
      <c r="I1393" s="3" t="inlineStr">
        <is>
          <t>US VALTREX label 8.1 https://dailymed.nlm.nih.gov/dailymed/drugInfo.cfm?setid=f8e0d8f8-cb73-4206-a484-88f5c4fbd719; TW仿單 6.1 https://mcp.fda.gov.tw/im_detail_1/%E8%A1%9B%E7%BD%B2%E8%97%A5%E8%BC%B8%E5%AD%97%E7%AC%AC021788%E8%99%9F</t>
        </is>
      </c>
      <c r="J1393" s="3" t="inlineStr">
        <is>
          <t>Open</t>
        </is>
      </c>
      <c r="K1393" s="3" t="inlineStr"/>
    </row>
    <row r="1394">
      <c r="A1394" s="3" t="n">
        <v>1059</v>
      </c>
      <c r="B1394" s="3" t="inlineStr">
        <is>
          <t>Valcyte (Valganciclovir) (VAL02)</t>
        </is>
      </c>
      <c r="C1394" s="9" t="inlineStr">
        <is>
          <t>Low</t>
        </is>
      </c>
      <c r="D1394" s="3" t="inlineStr">
        <is>
          <t>Breastfeeding</t>
        </is>
      </c>
      <c r="E1394" s="3" t="inlineStr"/>
      <c r="F1394" s="3" t="inlineStr">
        <is>
          <t>Add UK breastfeeding contraindication; US not recommended, TW stop drug or nursing</t>
        </is>
      </c>
      <c r="G1394" s="3" t="inlineStr">
        <is>
          <t>Breastfeeding not listed (哺乳分類 'Avoided')</t>
        </is>
      </c>
      <c r="H1394" s="3" t="inlineStr">
        <is>
          <t>The UK SmPC 4.3 lists breastfeeding as a contraindication. The US label says not recommended; the TW insert says stop the drug or stop breastfeeding.</t>
        </is>
      </c>
      <c r="I1394" s="3" t="inlineStr">
        <is>
          <t>UK SmPC 4.3 https://www.medicines.org.uk/emc/product/14226/smpc</t>
        </is>
      </c>
      <c r="J1394" s="3" t="inlineStr">
        <is>
          <t>Open</t>
        </is>
      </c>
      <c r="K1394" s="3" t="inlineStr"/>
    </row>
    <row r="1395">
      <c r="A1395" s="3" t="n">
        <v>1055</v>
      </c>
      <c r="B1395" s="3" t="inlineStr">
        <is>
          <t>Valcyte (Valganciclovir) (VAL02)</t>
        </is>
      </c>
      <c r="C1395" s="9" t="inlineStr">
        <is>
          <t>Low</t>
        </is>
      </c>
      <c r="D1395" s="3" t="inlineStr">
        <is>
          <t>Contraindication/warning</t>
        </is>
      </c>
      <c r="E1395" s="3" t="inlineStr"/>
      <c r="F1395" s="3" t="inlineStr">
        <is>
          <t>Mark NxP nephrotoxicity rating as external source; cite label acute renal failure warning</t>
        </is>
      </c>
      <c r="G1395" s="3" t="inlineStr">
        <is>
          <t>Johns Hopkins NxP list: 本品具「顯著以上腎毒性風險」</t>
        </is>
      </c>
      <c r="H1395" s="3" t="inlineStr">
        <is>
          <t>This does not come from a label. The labels warn of acute renal failure in elderly patients, with nephrotoxic co-medications, or with inadequate hydration (US §5.2). The NxP ranking is an external source that I could not verify here.</t>
        </is>
      </c>
      <c r="I1395" s="3" t="inlineStr">
        <is>
          <t>US FDA §5.2 https://dailymed.nlm.nih.gov/dailymed/drugInfo.cfm?setid=4c517a39-2ded-4c5a-8d56-276853414b31</t>
        </is>
      </c>
      <c r="J1395" s="3" t="inlineStr">
        <is>
          <t>Open</t>
        </is>
      </c>
      <c r="K1395" s="3" t="inlineStr"/>
    </row>
    <row r="1396">
      <c r="A1396" s="3" t="n">
        <v>1051</v>
      </c>
      <c r="B1396" s="3" t="inlineStr">
        <is>
          <t>Valcyte (Valganciclovir) (VAL02)</t>
        </is>
      </c>
      <c r="C1396" s="9" t="inlineStr">
        <is>
          <t>Low</t>
        </is>
      </c>
      <c r="D1396" s="3" t="inlineStr">
        <is>
          <t>Dosing – hepatic</t>
        </is>
      </c>
      <c r="E1396" s="3" t="inlineStr"/>
      <c r="F1396" s="3" t="inlineStr">
        <is>
          <t>State not studied; no specific dose recommendation</t>
        </is>
      </c>
      <c r="G1396" s="3" t="inlineStr">
        <is>
          <t>(blank)</t>
        </is>
      </c>
      <c r="H1396" s="3" t="inlineStr">
        <is>
          <t>Not studied; no specific dose recommendation (renally eliminated)</t>
        </is>
      </c>
      <c r="I1396" s="3" t="inlineStr">
        <is>
          <t>US FDA §8.7; UK SmPC §5.2; TW insert §3.3</t>
        </is>
      </c>
      <c r="J1396" s="3" t="inlineStr">
        <is>
          <t>Open</t>
        </is>
      </c>
      <c r="K1396" s="3" t="inlineStr"/>
    </row>
    <row r="1397">
      <c r="A1397" s="3" t="n">
        <v>1052</v>
      </c>
      <c r="B1397" s="3" t="inlineStr">
        <is>
          <t>Valcyte (Valganciclovir) (VAL02)</t>
        </is>
      </c>
      <c r="C1397" s="9" t="inlineStr">
        <is>
          <t>Low</t>
        </is>
      </c>
      <c r="D1397" s="3" t="inlineStr">
        <is>
          <t>Pharmacokinetics/other</t>
        </is>
      </c>
      <c r="E1397" s="3" t="inlineStr"/>
      <c r="F1397" s="3" t="inlineStr">
        <is>
          <t>Fix garbled half-life: 4.08 h HIV, 6.2–6.8 h transplant, 67.5 h at CrCl ≤10</t>
        </is>
      </c>
      <c r="G1397" s="3" t="inlineStr">
        <is>
          <t>'Half-life elimination (Ganciclovir, Mean range): (1) 1 to (2) Adults: 4.08 hours' (entry is cut off)</t>
        </is>
      </c>
      <c r="H1397" s="3" t="inlineStr">
        <is>
          <t>Ganciclovir t½ after valganciclovir: 4.08 ± 0.76 h in HIV+/CMV+ adults and 6.2–6.8 h in transplant recipients; it is prolonged in renal impairment (67.5 h at CrCl ≤10).</t>
        </is>
      </c>
      <c r="I1397" s="3" t="inlineStr">
        <is>
          <t>US FDA §12.3 Tables 10, 11, 13</t>
        </is>
      </c>
      <c r="J1397" s="3" t="inlineStr">
        <is>
          <t>Open</t>
        </is>
      </c>
      <c r="K1397" s="3" t="inlineStr"/>
    </row>
    <row r="1398">
      <c r="A1398" s="3" t="n">
        <v>1053</v>
      </c>
      <c r="B1398" s="3" t="inlineStr">
        <is>
          <t>Valcyte (Valganciclovir) (VAL02)</t>
        </is>
      </c>
      <c r="C1398" s="9" t="inlineStr">
        <is>
          <t>Low</t>
        </is>
      </c>
      <c r="D1398" s="3" t="inlineStr">
        <is>
          <t>Pharmacokinetics/other</t>
        </is>
      </c>
      <c r="E1398" s="3" t="inlineStr"/>
      <c r="F1398" s="3" t="inlineStr">
        <is>
          <t>Remove unsupported 80–90%; cite &gt;90% IV ganciclovir recovered unchanged in urine</t>
        </is>
      </c>
      <c r="G1398" s="3" t="inlineStr">
        <is>
          <t>Urine (80% to 90%; primarily as ganciclovir)</t>
        </is>
      </c>
      <c r="H1398" s="3" t="inlineStr">
        <is>
          <t>US label: % of the valganciclovir dose excreted in urine is 'Unknown'. UK SmPC: &gt;90% of IV-administered ganciclovir is recovered unchanged in urine within 24 h. The 80–90% figure is unsupported.</t>
        </is>
      </c>
      <c r="I1398" s="3" t="inlineStr">
        <is>
          <t>US FDA §12.3 Table 12; UK SmPC §5.2</t>
        </is>
      </c>
      <c r="J1398" s="3" t="inlineStr">
        <is>
          <t>Open</t>
        </is>
      </c>
      <c r="K1398" s="3" t="inlineStr"/>
    </row>
    <row r="1399">
      <c r="A1399" s="3" t="n">
        <v>1054</v>
      </c>
      <c r="B1399" s="3" t="inlineStr">
        <is>
          <t>Valcyte (Valganciclovir) (VAL02)</t>
        </is>
      </c>
      <c r="C1399" s="9" t="inlineStr">
        <is>
          <t>Low</t>
        </is>
      </c>
      <c r="D1399" s="3" t="inlineStr">
        <is>
          <t>Pharmacokinetics/other</t>
        </is>
      </c>
      <c r="E1399" s="3" t="inlineStr"/>
      <c r="F1399" s="3" t="inlineStr">
        <is>
          <t>Replace 'all herpes viruses' with listed in vitro spectrum; clinical use CMV only</t>
        </is>
      </c>
      <c r="G1399" s="3" t="inlineStr">
        <is>
          <t>'limits replication of all herpes viruses'</t>
        </is>
      </c>
      <c r="H1399" s="3" t="inlineStr">
        <is>
          <t>In vitro activity is listed for HCMV, HSV-1/2, HHV-6/7/8, EBV, VZV and HBV. The clinical indications are CMV only. 'All herpes viruses' overstates this.</t>
        </is>
      </c>
      <c r="I1399" s="3" t="inlineStr">
        <is>
          <t>TW insert §10.1</t>
        </is>
      </c>
      <c r="J1399" s="3" t="inlineStr">
        <is>
          <t>Open</t>
        </is>
      </c>
      <c r="K1399" s="3" t="inlineStr"/>
    </row>
    <row r="1400">
      <c r="A1400" s="3" t="n">
        <v>1066</v>
      </c>
      <c r="B1400" s="3" t="inlineStr">
        <is>
          <t>Valcyte (Valganciclovir) (VAL02)</t>
        </is>
      </c>
      <c r="C1400" s="9" t="inlineStr">
        <is>
          <t>Low</t>
        </is>
      </c>
      <c r="D1400" s="3" t="inlineStr">
        <is>
          <t>Pharmacokinetics/other</t>
        </is>
      </c>
      <c r="E1400" s="3" t="inlineStr"/>
      <c r="F1400" s="3" t="inlineStr">
        <is>
          <t>Fix garbled half-life text: 4.08 h HIV, 6.2–6.8 h SOT, prolonged in renal impairment</t>
        </is>
      </c>
      <c r="G1400" s="3" t="inlineStr">
        <is>
          <t>'Half-life elimination (Ganciclovir, Mean range): (1) 1 to (2) Adults: 4.08 hours' (garbled text)</t>
        </is>
      </c>
      <c r="H1400" s="3" t="inlineStr">
        <is>
          <t>Ganciclovir t½ after valganciclovir is 4.08 ± 0.76 h in HIV+/CMV+ adults and about 6.2–6.8 h in SOT recipients; it is prolonged in renal impairment.</t>
        </is>
      </c>
      <c r="I1400" s="3" t="inlineStr">
        <is>
          <t>US label 12.3 Tables 10–11; UK SmPC 5.2</t>
        </is>
      </c>
      <c r="J1400" s="3" t="inlineStr">
        <is>
          <t>Open</t>
        </is>
      </c>
      <c r="K1400" s="3" t="inlineStr"/>
    </row>
    <row r="1401">
      <c r="A1401" s="3" t="n">
        <v>1045</v>
      </c>
      <c r="B1401" s="3" t="inlineStr">
        <is>
          <t>Valcyte (Valganciclovir) (VAL02)</t>
        </is>
      </c>
      <c r="C1401" s="9" t="inlineStr">
        <is>
          <t>Low</t>
        </is>
      </c>
      <c r="D1401" s="3" t="inlineStr">
        <is>
          <t>Pregnancy</t>
        </is>
      </c>
      <c r="E1401" s="3" t="inlineStr">
        <is>
          <t>FDA letter category</t>
        </is>
      </c>
      <c r="F1401" s="3" t="inlineStr">
        <is>
          <t>Replace letter C with FDA narrative risk summary and contraception durations</t>
        </is>
      </c>
      <c r="G1401" s="3" t="inlineStr">
        <is>
          <t>C; Fetal risk cannot be ruled out</t>
        </is>
      </c>
      <c r="H1401" s="3" t="inlineStr">
        <is>
          <t>FDA retired the letter categories (PLLR). The current label has a narrative risk summary: animal teratogenicity, no human data, avoid pregnancy, contraception 30/90 days. The TW insert says avoid unless benefit &gt; risk.</t>
        </is>
      </c>
      <c r="I1401" s="3" t="inlineStr">
        <is>
          <t>US FDA label §8.1/§8.3 https://dailymed.nlm.nih.gov/dailymed/drugInfo.cfm?setid=4c517a39-2ded-4c5a-8d56-276853414b31; TW insert §6.1</t>
        </is>
      </c>
      <c r="J1401" s="3" t="inlineStr">
        <is>
          <t>Open</t>
        </is>
      </c>
      <c r="K1401" s="3" t="inlineStr"/>
    </row>
    <row r="1402">
      <c r="A1402" s="3" t="n">
        <v>446</v>
      </c>
      <c r="B1402" s="3" t="inlineStr">
        <is>
          <t>Vancomycin (UVA01)</t>
        </is>
      </c>
      <c r="C1402" s="9" t="inlineStr">
        <is>
          <t>Low</t>
        </is>
      </c>
      <c r="D1402" s="3" t="inlineStr">
        <is>
          <t>Dosing – hepatic</t>
        </is>
      </c>
      <c r="E1402" s="3" t="inlineStr"/>
      <c r="F1402" s="3" t="inlineStr">
        <is>
          <t>No change; consistent with label</t>
        </is>
      </c>
      <c r="G1402" s="3" t="inlineStr">
        <is>
          <t>No initial adjustment for Child-Pugh A, B or C</t>
        </is>
      </c>
      <c r="H1402" s="3" t="inlineStr">
        <is>
          <t>Consistent with UK SmPC 4.2 ('No dose adjustment is needed in patients with hepatic insufficiency'). No discrepancy; listed for completeness.</t>
        </is>
      </c>
      <c r="I1402" s="3" t="inlineStr">
        <is>
          <t>UK SmPC 4.2 https://www.medicines.org.uk/emc/product/15737/smpc</t>
        </is>
      </c>
      <c r="J1402" s="3" t="inlineStr">
        <is>
          <t>Open</t>
        </is>
      </c>
      <c r="K1402" s="3" t="inlineStr"/>
    </row>
    <row r="1403">
      <c r="A1403" s="3" t="n">
        <v>434</v>
      </c>
      <c r="B1403" s="3" t="inlineStr">
        <is>
          <t>Vancomycin (UVA01)</t>
        </is>
      </c>
      <c r="C1403" s="9" t="inlineStr">
        <is>
          <t>Low</t>
        </is>
      </c>
      <c r="D1403" s="3" t="inlineStr">
        <is>
          <t>Pregnancy</t>
        </is>
      </c>
      <c r="E1403" s="3" t="inlineStr">
        <is>
          <t>FDA letter category</t>
        </is>
      </c>
      <c r="F1403" s="3" t="inlineStr">
        <is>
          <t>Replace B/C letters with 'use only if clearly needed'; note higher doses/TDM may be needed</t>
        </is>
      </c>
      <c r="G1403" s="3" t="inlineStr">
        <is>
          <t>B (oral) / C (injection) — FDA letter categories (per source brief summary of the UVA01 page)</t>
        </is>
      </c>
      <c r="H1403" s="3" t="inlineStr">
        <is>
          <t>The FDA retired letter categories under PLLR. Current labels say 'should be given to a pregnant woman only if clearly needed' (FDA Mylan; SmPC 4.6), and the 仿單 says use only when 利益確實勝過對胎兒的潛在危險. The SmPC adds that higher doses may be needed and levels should be monitored.</t>
        </is>
      </c>
      <c r="I1403" s="3" t="inlineStr">
        <is>
          <t>US FDA label PRECAUTIONS-Pregnancy https://dailymed.nlm.nih.gov/dailymed/drugInfo.cfm?setid=2dc7b3d6-3874-40ac-b8aa-7bcfe2dc0cdf ; UK SmPC 4.6 https://www.medicines.org.uk/emc/product/15737/smpc ; Taiwan 仿單 6.1 https://mcp.fda.gov.tw/im_detail_1/%E8%A1%9B%E7%BD%B2%E8%97%A5%E8%A3%BD%E5%AD%97%E7%AC%AC041443%E8%99%9F</t>
        </is>
      </c>
      <c r="J1403" s="3" t="inlineStr">
        <is>
          <t>Open</t>
        </is>
      </c>
      <c r="K1403" s="3" t="inlineStr"/>
    </row>
    <row r="1404">
      <c r="A1404" s="3" t="n">
        <v>440</v>
      </c>
      <c r="B1404" s="3" t="inlineStr">
        <is>
          <t>Vancomycin (UVA01)</t>
        </is>
      </c>
      <c r="C1404" s="9" t="inlineStr">
        <is>
          <t>Low</t>
        </is>
      </c>
      <c r="D1404" s="3" t="inlineStr">
        <is>
          <t>Pregnancy</t>
        </is>
      </c>
      <c r="E1404" s="3" t="inlineStr">
        <is>
          <t>FDA letter category</t>
        </is>
      </c>
      <c r="F1404" s="3" t="inlineStr">
        <is>
          <t>Remove B/C letters; use 'only if clearly needed' risk summary</t>
        </is>
      </c>
      <c r="G1404" s="3" t="inlineStr">
        <is>
          <t>B (oral) / C (injection)</t>
        </is>
      </c>
      <c r="H1404" s="3" t="inlineStr">
        <is>
          <t>FDA letter categories are retired. US/UK/Taiwan labels: use only if clearly needed; cord-blood transfer, but no infant ototoxicity or nephrotoxicity in a 2nd/3rd-trimester study; pregnant women may need higher doses (UK).</t>
        </is>
      </c>
      <c r="I1404" s="3" t="inlineStr">
        <is>
          <t>US DailyMed Mylan PRECAUTIONS &gt; Pregnancy https://dailymed.nlm.nih.gov/dailymed/drugInfo.cfm?setid=2dc7b3d6-3874-40ac-b8aa-7bcfe2dc0cdf; UK SmPC 4.6 https://www.medicines.org.uk/emc/product/15737/smpc</t>
        </is>
      </c>
      <c r="J1404" s="3" t="inlineStr">
        <is>
          <t>Open</t>
        </is>
      </c>
      <c r="K1404" s="3" t="inlineStr"/>
    </row>
    <row r="1405">
      <c r="A1405" s="3" t="n">
        <v>1088</v>
      </c>
      <c r="B1405" s="3" t="inlineStr">
        <is>
          <t>Veklury (Remdesivir) (VEK02, VEK03)</t>
        </is>
      </c>
      <c r="C1405" s="9" t="inlineStr">
        <is>
          <t>Low</t>
        </is>
      </c>
      <c r="D1405" s="3" t="inlineStr">
        <is>
          <t>Adverse effects</t>
        </is>
      </c>
      <c r="E1405" s="3" t="inlineStr"/>
      <c r="F1405" s="3" t="inlineStr">
        <is>
          <t>Remove cardiac failure; list sinus bradycardia; hypotension/bradycardia as infusion-reaction signs</t>
        </is>
      </c>
      <c r="G1405" s="3" t="inlineStr">
        <is>
          <t>Postmarketing: bradycardia, cardiac failure, hypotension, severe bradycardia</t>
        </is>
      </c>
      <c r="H1405" s="3" t="inlineStr">
        <is>
          <t>UK SmPC post-marketing lists only sinus bradycardia (usually normalises within 4 days). TW §8.3 上市後經驗 says '不適用'. No label lists cardiac failure. Hypotension and bradycardia appear only as signs of a hypersensitivity or infusion reaction</t>
        </is>
      </c>
      <c r="I1405" s="3" t="inlineStr">
        <is>
          <t>UK SmPC §4.8 Table 7; TW仿單 §8.3, §5.1.1</t>
        </is>
      </c>
      <c r="J1405" s="3" t="inlineStr">
        <is>
          <t>Open</t>
        </is>
      </c>
      <c r="K1405" s="3" t="inlineStr"/>
    </row>
    <row r="1406">
      <c r="A1406" s="3" t="n">
        <v>1073</v>
      </c>
      <c r="B1406" s="3" t="inlineStr">
        <is>
          <t>Veklury (Remdesivir) (VEK02, VEK03)</t>
        </is>
      </c>
      <c r="C1406" s="9" t="inlineStr">
        <is>
          <t>Low</t>
        </is>
      </c>
      <c r="D1406" s="3" t="inlineStr">
        <is>
          <t>Dosing – hepatic</t>
        </is>
      </c>
      <c r="E1406" s="3" t="inlineStr"/>
      <c r="F1406" s="3" t="inlineStr">
        <is>
          <t>State no adjustment Child-Pugh A–C based on hepatic PK study</t>
        </is>
      </c>
      <c r="G1406" s="3" t="inlineStr">
        <is>
          <t>'There are no dosage adjustments provided in the manufacturer's labeling (has not been studied).'</t>
        </is>
      </c>
      <c r="H1406" s="3" t="inlineStr">
        <is>
          <t>No dose adjustment for Child-Pugh A, B or C, based on a hepatic PK study. UK notes limited data in severe impairment (single dose only).</t>
        </is>
      </c>
      <c r="I1406" s="3" t="inlineStr">
        <is>
          <t>仿單 §6.6, §11 ; US §8.7 ; UK §4.2</t>
        </is>
      </c>
      <c r="J1406" s="3" t="inlineStr">
        <is>
          <t>Open</t>
        </is>
      </c>
      <c r="K1406" s="3" t="inlineStr"/>
    </row>
    <row r="1407">
      <c r="A1407" s="3" t="n">
        <v>1086</v>
      </c>
      <c r="B1407" s="3" t="inlineStr">
        <is>
          <t>Veklury (Remdesivir) (VEK02, VEK03)</t>
        </is>
      </c>
      <c r="C1407" s="9" t="inlineStr">
        <is>
          <t>Low</t>
        </is>
      </c>
      <c r="D1407" s="3" t="inlineStr">
        <is>
          <t>Dosing – hepatic</t>
        </is>
      </c>
      <c r="E1407" s="3" t="inlineStr"/>
      <c r="F1407" s="3" t="inlineStr">
        <is>
          <t>State studied; no adjustment Child-Pugh A–C; keep ALT &gt;10× ULN stopping rule</t>
        </is>
      </c>
      <c r="G1407" s="3" t="inlineStr">
        <is>
          <t>No dosage adjustments in the manufacturer's labeling (not studied)</t>
        </is>
      </c>
      <c r="H1407" s="3" t="inlineStr">
        <is>
          <t>Studied in moderate and severe hepatic impairment (single 100 mg dose). No adjustment for Child-Pugh A, B or C. The hospital's ALT &gt;10× ULN stopping rule is correct</t>
        </is>
      </c>
      <c r="I1407" s="3" t="inlineStr">
        <is>
          <t>TW仿單 §6.6 and PK 肝功能不全病人 Table 16; FDA label §8.7, §12.3</t>
        </is>
      </c>
      <c r="J1407" s="3" t="inlineStr">
        <is>
          <t>Open</t>
        </is>
      </c>
      <c r="K1407" s="3" t="inlineStr"/>
    </row>
    <row r="1408">
      <c r="A1408" s="3" t="n">
        <v>1078</v>
      </c>
      <c r="B1408" s="3" t="inlineStr">
        <is>
          <t>Veklury (Remdesivir) (VEK02, VEK03)</t>
        </is>
      </c>
      <c r="C1408" s="9" t="inlineStr">
        <is>
          <t>Low</t>
        </is>
      </c>
      <c r="D1408" s="3" t="inlineStr">
        <is>
          <t>Pharmacokinetics/other</t>
        </is>
      </c>
      <c r="E1408" s="3" t="inlineStr"/>
      <c r="F1408" s="3" t="inlineStr">
        <is>
          <t>Add licence 衛部藥輸字第027899號 and v4 (2024-11-25) insert link</t>
        </is>
      </c>
      <c r="G1408" s="3" t="inlineStr">
        <is>
          <t>No TFDA licence number and no 仿單 link are shown.</t>
        </is>
      </c>
      <c r="H1408" s="3" t="inlineStr">
        <is>
          <t>The TFDA licence is 衛部藥輸字第027899號, and the current insert is v4 (2024-11-25).</t>
        </is>
      </c>
      <c r="I1408" s="3" t="inlineStr">
        <is>
          <t>https://mcp.fda.gov.tw/im_detail_1/%E8%A1%9B%E9%83%A8%E8%97%A5%E8%BC%B8%E5%AD%97%E7%AC%AC027899%E8%99%9F</t>
        </is>
      </c>
      <c r="J1408" s="3" t="inlineStr">
        <is>
          <t>Open</t>
        </is>
      </c>
      <c r="K1408" s="3" t="inlineStr"/>
    </row>
    <row r="1409">
      <c r="A1409" s="3" t="n">
        <v>1090</v>
      </c>
      <c r="B1409" s="3" t="inlineStr">
        <is>
          <t>Veklury (Remdesivir) (VEK02, VEK03)</t>
        </is>
      </c>
      <c r="C1409" s="9" t="inlineStr">
        <is>
          <t>Low</t>
        </is>
      </c>
      <c r="D1409" s="3" t="inlineStr">
        <is>
          <t>Pharmacokinetics/other</t>
        </is>
      </c>
      <c r="E1409" s="3" t="inlineStr"/>
      <c r="F1409" s="3" t="inlineStr">
        <is>
          <t>Add 49% excreted in urine as GS-441524 metabolite</t>
        </is>
      </c>
      <c r="G1409" s="3" t="inlineStr">
        <is>
          <t>Excretion: urine 10%, feces not detected</t>
        </is>
      </c>
      <c r="H1409" s="3" t="inlineStr">
        <is>
          <t>10% of the dose is excreted in urine as unchanged remdesivir, but 49% as GS-441524 (FDA Table 12). The main metabolite is renally eliminated</t>
        </is>
      </c>
      <c r="I1409" s="3" t="inlineStr">
        <is>
          <t>FDA label §12.3 https://dailymed.nlm.nih.gov/dailymed/drugInfo.cfm?setid=c0978fa8-53ff-4ca2-82a7-567fd3e958ca</t>
        </is>
      </c>
      <c r="J1409" s="3" t="inlineStr">
        <is>
          <t>Open</t>
        </is>
      </c>
      <c r="K1409" s="3" t="inlineStr"/>
    </row>
    <row r="1410">
      <c r="A1410" s="3" t="n">
        <v>1074</v>
      </c>
      <c r="B1410" s="3" t="inlineStr">
        <is>
          <t>Veklury (Remdesivir) (VEK02, VEK03)</t>
        </is>
      </c>
      <c r="C1410" s="9" t="inlineStr">
        <is>
          <t>Low</t>
        </is>
      </c>
      <c r="D1410" s="3" t="inlineStr">
        <is>
          <t>Pregnancy</t>
        </is>
      </c>
      <c r="E1410" s="3" t="inlineStr">
        <is>
          <t>FDA letter category</t>
        </is>
      </c>
      <c r="F1410" s="3" t="inlineStr">
        <is>
          <t>Replace letter C with FDA narrative: no risk 2nd/3rd trimester, no dose adjustment</t>
        </is>
      </c>
      <c r="G1410" s="3" t="inlineStr">
        <is>
          <t>C</t>
        </is>
      </c>
      <c r="H1410" s="3" t="inlineStr">
        <is>
          <t>The FDA retired letter categories. Current labels say 2nd/3rd-trimester data (IMPAACT 2032, COVID-PR registry) show no drug-associated risk, 1st-trimester data are insufficient, and no dose adjustment is needed in pregnancy.</t>
        </is>
      </c>
      <c r="I1410" s="3" t="inlineStr">
        <is>
          <t>US §8.1 ; 仿單 §6.1</t>
        </is>
      </c>
      <c r="J1410" s="3" t="inlineStr">
        <is>
          <t>Open</t>
        </is>
      </c>
      <c r="K1410" s="3" t="inlineStr"/>
    </row>
    <row r="1411">
      <c r="A1411" s="3" t="n">
        <v>1084</v>
      </c>
      <c r="B1411" s="3" t="inlineStr">
        <is>
          <t>Veklury (Remdesivir) (VEK02, VEK03)</t>
        </is>
      </c>
      <c r="C1411" s="9" t="inlineStr">
        <is>
          <t>Low</t>
        </is>
      </c>
      <c r="D1411" s="3" t="inlineStr">
        <is>
          <t>Pregnancy</t>
        </is>
      </c>
      <c r="E1411" s="3" t="inlineStr">
        <is>
          <t>FDA letter category</t>
        </is>
      </c>
      <c r="F1411" s="3" t="inlineStr">
        <is>
          <t>Replace letter C with FDA narrative pregnancy summary</t>
        </is>
      </c>
      <c r="G1411" s="3" t="inlineStr">
        <is>
          <t>C</t>
        </is>
      </c>
      <c r="H1411" s="3" t="inlineStr">
        <is>
          <t>FDA retired letter categories. Label: no drug-associated risk with 2nd/3rd-trimester exposure; 1st-trimester data insufficient; no dose adjustment</t>
        </is>
      </c>
      <c r="I1411" s="3" t="inlineStr">
        <is>
          <t>FDA label §8.1; TW仿單 §6.1</t>
        </is>
      </c>
      <c r="J1411" s="3" t="inlineStr">
        <is>
          <t>Open</t>
        </is>
      </c>
      <c r="K1411" s="3" t="inlineStr"/>
    </row>
    <row r="1412">
      <c r="A1412" s="3" t="n">
        <v>1408</v>
      </c>
      <c r="B1412" s="3" t="inlineStr">
        <is>
          <t>Vemlidy (Tenofovir alafenamide) (VEM01)</t>
        </is>
      </c>
      <c r="C1412" s="9" t="inlineStr">
        <is>
          <t>Low</t>
        </is>
      </c>
      <c r="D1412" s="3" t="inlineStr">
        <is>
          <t>Breastfeeding</t>
        </is>
      </c>
      <c r="E1412" s="3" t="inlineStr"/>
      <c r="F1412" s="3" t="inlineStr">
        <is>
          <t>Align with LactMed (acceptable) and labels; remove unsupported cracked-nipple caveat or cite source.</t>
        </is>
      </c>
      <c r="G1412" s="3" t="inlineStr">
        <is>
          <t>Breastfeeding is not contraindicated in women with hepatitis B; however, if nipples are cracked or bleeding, breastfeeding is not recommended</t>
        </is>
      </c>
      <c r="H1412" s="3" t="inlineStr">
        <is>
          <t>LactMed: acceptable, with trivial infant exposure. TW/US: weigh benefit against risk; no adverse infant effects reported. UK SmPC: should not be used during breastfeeding. The cracked-nipple caveat is not in any label or LactMed.</t>
        </is>
      </c>
      <c r="I1412" s="3" t="inlineStr">
        <is>
          <t>LactMed NBK621367; TW insert 6.1; US FDA 8.2; UK SmPC 4.6</t>
        </is>
      </c>
      <c r="J1412" s="3" t="inlineStr">
        <is>
          <t>Open</t>
        </is>
      </c>
      <c r="K1412" s="3" t="inlineStr"/>
    </row>
    <row r="1413">
      <c r="A1413" s="3" t="n">
        <v>1402</v>
      </c>
      <c r="B1413" s="3" t="inlineStr">
        <is>
          <t>Vemlidy (Tenofovir alafenamide) (VEM01)</t>
        </is>
      </c>
      <c r="C1413" s="9" t="inlineStr">
        <is>
          <t>Low</t>
        </is>
      </c>
      <c r="D1413" s="3" t="inlineStr">
        <is>
          <t>Contraindication/warning</t>
        </is>
      </c>
      <c r="E1413" s="3" t="inlineStr"/>
      <c r="F1413" s="3" t="inlineStr">
        <is>
          <t>TW/US contraindications are none; hypersensitivity is UK-only — align with stocked product.</t>
        </is>
      </c>
      <c r="G1413" s="3" t="inlineStr">
        <is>
          <t>Hypersensitivity</t>
        </is>
      </c>
      <c r="H1413" s="3" t="inlineStr">
        <is>
          <t>TW insert and US label: none. Only the UK SmPC lists hypersensitivity to the active substance or excipients. Minor: the hospital matches the UK, not the stocked product's TW insert.</t>
        </is>
      </c>
      <c r="I1413" s="3" t="inlineStr">
        <is>
          <t>TW insert §4 禁忌 '無'; US DailyMed §4 'None'; UK SmPC §4.3</t>
        </is>
      </c>
      <c r="J1413" s="3" t="inlineStr">
        <is>
          <t>Open</t>
        </is>
      </c>
      <c r="K1413" s="3" t="inlineStr"/>
    </row>
    <row r="1414">
      <c r="A1414" s="3" t="n">
        <v>1409</v>
      </c>
      <c r="B1414" s="3" t="inlineStr">
        <is>
          <t>Vemlidy (Tenofovir alafenamide) (VEM01)</t>
        </is>
      </c>
      <c r="C1414" s="9" t="inlineStr">
        <is>
          <t>Low</t>
        </is>
      </c>
      <c r="D1414" s="3" t="inlineStr">
        <is>
          <t>Contraindication/warning</t>
        </is>
      </c>
      <c r="E1414" s="3" t="inlineStr"/>
      <c r="F1414" s="3" t="inlineStr">
        <is>
          <t>TW/US list no contraindications; note hypersensitivity is UK SmPC only.</t>
        </is>
      </c>
      <c r="G1414" s="3" t="inlineStr">
        <is>
          <t>Hypersensitivity to tenofovir alafenamide or any component</t>
        </is>
      </c>
      <c r="H1414" s="3" t="inlineStr">
        <is>
          <t>TW insert and US label: none. UK SmPC: hypersensitivity. A minor difference; the hospital text follows the UK label.</t>
        </is>
      </c>
      <c r="I1414" s="3" t="inlineStr">
        <is>
          <t>TW insert 4; US FDA 4; UK SmPC 4.3</t>
        </is>
      </c>
      <c r="J1414" s="3" t="inlineStr">
        <is>
          <t>Open</t>
        </is>
      </c>
      <c r="K1414" s="3" t="inlineStr"/>
    </row>
    <row r="1415">
      <c r="A1415" s="3" t="n">
        <v>21</v>
      </c>
      <c r="B1415" s="3" t="inlineStr">
        <is>
          <t>Vfend (Voriconazole) (VFE01, VFE02, VOR03)</t>
        </is>
      </c>
      <c r="C1415" s="9" t="inlineStr">
        <is>
          <t>Low</t>
        </is>
      </c>
      <c r="D1415" s="3" t="inlineStr">
        <is>
          <t>Breastfeeding</t>
        </is>
      </c>
      <c r="E1415" s="3" t="inlineStr"/>
      <c r="F1415" s="3" t="inlineStr">
        <is>
          <t>Keep 'avoid' (TW/UK) but note LactMed view that breastfeeding need not stop</t>
        </is>
      </c>
      <c r="G1415" s="3" t="inlineStr">
        <is>
          <t>'avoided'</t>
        </is>
      </c>
      <c r="H1415" s="3" t="inlineStr">
        <is>
          <t>The official sources disagree. TW and UK labels require stopping breastfeeding when treatment starts. LactMed says voriconazole is not a reason to discontinue breastfeeding, though an alternative may be preferred for a newborn or preterm infant. The US label says to weigh the benefits. The hospital entry is consistent with TW/UK but does not mention the LactMed view.</t>
        </is>
      </c>
      <c r="I1415" s="3" t="inlineStr">
        <is>
          <t>TW insert 哺乳; UK SmPC 4.6; LactMed NBK575380 https://www.ncbi.nlm.nih.gov/books/NBK575380/; US label 8.2</t>
        </is>
      </c>
      <c r="J1415" s="3" t="inlineStr">
        <is>
          <t>Open</t>
        </is>
      </c>
      <c r="K1415" s="3" t="inlineStr"/>
    </row>
    <row r="1416">
      <c r="A1416" s="3" t="n">
        <v>26</v>
      </c>
      <c r="B1416" s="3" t="inlineStr">
        <is>
          <t>Vfend (Voriconazole) (VFE01, VFE02, VOR03)</t>
        </is>
      </c>
      <c r="C1416" s="9" t="inlineStr">
        <is>
          <t>Low</t>
        </is>
      </c>
      <c r="D1416" s="3" t="inlineStr">
        <is>
          <t>Breastfeeding</t>
        </is>
      </c>
      <c r="E1416" s="3" t="inlineStr"/>
      <c r="F1416" s="3" t="inlineStr">
        <is>
          <t>Keep avoid per TW/UK; add US benefit-risk and LactMed alternative view</t>
        </is>
      </c>
      <c r="G1416" s="3" t="inlineStr">
        <is>
          <t>哺乳分類: avoided</t>
        </is>
      </c>
      <c r="H1416" s="3" t="inlineStr">
        <is>
          <t>This is consistent with Taiwan 仿單 §6.2 AND UK SmPC §4.6, which both say stop breastfeeding at the start of treatment. The US label §8.2 says weigh benefit against risk, and LactMed says it is not a reason to stop breastfeeding but an alternative may be preferred. The official sources genuinely differ, so this is not purely a hospital error. Unlike the brief, I found that UK also requires stopping.</t>
        </is>
      </c>
      <c r="I1416" s="3" t="inlineStr">
        <is>
          <t>Taiwan 仿單 §6.2; UK SmPC §4.6 https://www.medicines.org.uk/emc/product/7976/smpc; US §8.2; LactMed NBK575380 https://www.ncbi.nlm.nih.gov/books/NBK575380/</t>
        </is>
      </c>
      <c r="J1416" s="3" t="inlineStr">
        <is>
          <t>Open</t>
        </is>
      </c>
      <c r="K1416" s="3" t="inlineStr"/>
    </row>
    <row r="1417">
      <c r="A1417" s="3" t="n">
        <v>23</v>
      </c>
      <c r="B1417" s="3" t="inlineStr">
        <is>
          <t>Vfend (Voriconazole) (VFE01, VFE02, VOR03)</t>
        </is>
      </c>
      <c r="C1417" s="9" t="inlineStr">
        <is>
          <t>Low</t>
        </is>
      </c>
      <c r="D1417" s="3" t="inlineStr">
        <is>
          <t>Dosing – renal/dialysis</t>
        </is>
      </c>
      <c r="E1417" s="3" t="inlineStr"/>
      <c r="F1417" s="3" t="inlineStr">
        <is>
          <t>Add SBECD accumulation rationale and close SCr monitoring with switch to oral</t>
        </is>
      </c>
      <c r="G1417" s="3" t="inlineStr">
        <is>
          <t>CrCl &lt;50 and haemodialysis: 'No dosage adjustment necessary; however, use of oral voriconazole or alternative antifungals is preferred'. CRRT/PIRRT: oral or an alternative is preferred.</t>
        </is>
      </c>
      <c r="H1417" s="3" t="inlineStr">
        <is>
          <t>Broadly consistent with the labels. However, the labels say IV should be used only when an assessment of benefit/risk justifies it, because the SBECD vehicle accumulates, and that serum creatinine must be closely monitored, with a switch to oral if it rises. The hospital text leaves out the SCr monitoring and the reason. Labels say nothing about CRRT. This is a minor wording gap, not a contradiction.</t>
        </is>
      </c>
      <c r="I1417" s="3" t="inlineStr">
        <is>
          <t>TW insert 3.3 腎功能不全; US label 2.6; UK SmPC 4.2 Renal impairment</t>
        </is>
      </c>
      <c r="J1417" s="3" t="inlineStr">
        <is>
          <t>Open</t>
        </is>
      </c>
      <c r="K1417" s="3" t="inlineStr"/>
    </row>
    <row r="1418">
      <c r="A1418" s="3" t="n">
        <v>24</v>
      </c>
      <c r="B1418" s="3" t="inlineStr">
        <is>
          <t>Vfend (Voriconazole) (VFE01, VFE02, VOR03)</t>
        </is>
      </c>
      <c r="C1418" s="9" t="inlineStr">
        <is>
          <t>Low</t>
        </is>
      </c>
      <c r="D1418" s="3" t="inlineStr">
        <is>
          <t>Pharmacokinetics/other</t>
        </is>
      </c>
      <c r="E1418" s="3" t="inlineStr"/>
      <c r="F1418" s="3" t="inlineStr">
        <is>
          <t>Replace fixed 6 h half-life with note on non-linear, dose-dependent PK</t>
        </is>
      </c>
      <c r="G1418" s="3" t="inlineStr">
        <is>
          <t>'The elimination half-life is about 6 hours'</t>
        </is>
      </c>
      <c r="H1418" s="3" t="inlineStr">
        <is>
          <t>Because of non-linear pharmacokinetics, the terminal half-life is dose-dependent and is not useful for predicting accumulation or elimination.</t>
        </is>
      </c>
      <c r="I1418" s="3" t="inlineStr">
        <is>
          <t>US label 12.3 Pharmacokinetics https://dailymed.nlm.nih.gov/dailymed/drugInfo.cfm?setid=ce3ef5cf-3087-4d92-9d94-9eb8287228db</t>
        </is>
      </c>
      <c r="J1418" s="3" t="inlineStr">
        <is>
          <t>Open</t>
        </is>
      </c>
      <c r="K1418" s="3" t="inlineStr"/>
    </row>
    <row r="1419">
      <c r="A1419" s="3" t="n">
        <v>34</v>
      </c>
      <c r="B1419" s="3" t="inlineStr">
        <is>
          <t>Vfend (Voriconazole) (VFE01, VFE02, VOR03)</t>
        </is>
      </c>
      <c r="C1419" s="9" t="inlineStr">
        <is>
          <t>Low</t>
        </is>
      </c>
      <c r="D1419" s="3" t="inlineStr">
        <is>
          <t>Pharmacokinetics/other</t>
        </is>
      </c>
      <c r="E1419" s="3" t="inlineStr"/>
      <c r="F1419" s="3" t="inlineStr">
        <is>
          <t>Confirm whether VOR03 (temporary purchase) is still in use</t>
        </is>
      </c>
      <c r="G1419" s="3" t="inlineStr">
        <is>
          <t>Generic voriconazole 200 mg tab marked 臨採 (temporary purchase)</t>
        </is>
      </c>
      <c r="H1419" s="3" t="inlineStr">
        <is>
          <t>Not a label issue. The pharmacist should confirm whether VOR03 is still in use before it is referenced.</t>
        </is>
      </c>
      <c r="I1419" s="3" t="inlineStr">
        <is>
          <t>pharmacy.fjuh.fju.edu.tw Key_Search/P4?query=VOR03 (identification only)</t>
        </is>
      </c>
      <c r="J1419" s="3" t="inlineStr">
        <is>
          <t>Open</t>
        </is>
      </c>
      <c r="K1419" s="3" t="inlineStr"/>
    </row>
    <row r="1420">
      <c r="A1420" s="3" t="n">
        <v>1381</v>
      </c>
      <c r="B1420" s="3" t="inlineStr">
        <is>
          <t>Viread (Tenofovir disoproxil) (VIR04)</t>
        </is>
      </c>
      <c r="C1420" s="9" t="inlineStr">
        <is>
          <t>Low</t>
        </is>
      </c>
      <c r="D1420" s="3" t="inlineStr">
        <is>
          <t>Contraindication/warning</t>
        </is>
      </c>
      <c r="E1420" s="3" t="inlineStr"/>
      <c r="F1420" s="3" t="inlineStr">
        <is>
          <t>Contraindications per US/TW label are none; fix 'Hypersensitive' wording or cite UK SmPC.</t>
        </is>
      </c>
      <c r="G1420" s="3" t="inlineStr">
        <is>
          <t>Hypersensitive to tenofovir</t>
        </is>
      </c>
      <c r="H1420" s="3" t="inlineStr">
        <is>
          <t>US §4 and TW insert §4: none. Only the UK SmPC §4.3 lists hypersensitivity to the active substance or excipients. Also a grammar error: 'Hypersensitive' should be 'Hypersensitivity'.</t>
        </is>
      </c>
      <c r="I1420" s="3" t="inlineStr">
        <is>
          <t>US label §4 https://dailymed.nlm.nih.gov/dailymed/drugInfo.cfm?setid=33fd6418-fbdc-42ca-a50d-ce2a476a5418; TW insert §4 禁忌症 '無' https://mcp.fda.gov.tw/insert/pdfcasefile/e379214d-0838-4728-9c89-c2356353a2a4</t>
        </is>
      </c>
      <c r="J1420" s="3" t="inlineStr">
        <is>
          <t>Open</t>
        </is>
      </c>
      <c r="K1420" s="3" t="inlineStr"/>
    </row>
    <row r="1421">
      <c r="A1421" s="3" t="n">
        <v>1391</v>
      </c>
      <c r="B1421" s="3" t="inlineStr">
        <is>
          <t>Viread (Tenofovir disoproxil) (VIR04)</t>
        </is>
      </c>
      <c r="C1421" s="9" t="inlineStr">
        <is>
          <t>Low</t>
        </is>
      </c>
      <c r="D1421" s="3" t="inlineStr">
        <is>
          <t>Contraindication/warning</t>
        </is>
      </c>
      <c r="E1421" s="3" t="inlineStr"/>
      <c r="F1421" s="3" t="inlineStr">
        <is>
          <t>Set contraindications to 'none' per TW/US label for stocked product.</t>
        </is>
      </c>
      <c r="G1421" s="3" t="inlineStr">
        <is>
          <t>Hypersensitive to tenofovir</t>
        </is>
      </c>
      <c r="H1421" s="3" t="inlineStr">
        <is>
          <t>US §4: 'None.' TW §4 禁忌症: '無'. Only the UK SmPC §4.3 lists hypersensitivity to the active substance or excipients. The hospital stocks the TW product, so its contraindication field is 'none'.</t>
        </is>
      </c>
      <c r="I1421" s="3" t="inlineStr">
        <is>
          <t>US §4 ; TW 仿單 §4 https://mcp.fda.gov.tw/im_detail_pdf/%E8%A1%9B%E7%BD%B2%E8%97%A5%E8%BC%B8%E5%AD%97%E7%AC%AC024690%E8%99%9F ; UK §4.3</t>
        </is>
      </c>
      <c r="J1421" s="3" t="inlineStr">
        <is>
          <t>Open</t>
        </is>
      </c>
      <c r="K1421" s="3" t="inlineStr"/>
    </row>
    <row r="1422">
      <c r="A1422" s="3" t="n">
        <v>1384</v>
      </c>
      <c r="B1422" s="3" t="inlineStr">
        <is>
          <t>Viread (Tenofovir disoproxil) (VIR04)</t>
        </is>
      </c>
      <c r="C1422" s="9" t="inlineStr">
        <is>
          <t>Low</t>
        </is>
      </c>
      <c r="D1422" s="3" t="inlineStr">
        <is>
          <t>Pharmacokinetics/other</t>
        </is>
      </c>
      <c r="E1422" s="3" t="inlineStr"/>
      <c r="F1422" s="3" t="inlineStr">
        <is>
          <t>Fix spelling: 'Antiretrovirals' and 'Hemodialysis'.</t>
        </is>
      </c>
      <c r="G1422" s="3" t="inlineStr">
        <is>
          <t>'Antiretrovials Antivirals'; renal item 4 'Hemodialys:'</t>
        </is>
      </c>
      <c r="H1422" s="3" t="inlineStr">
        <is>
          <t>Should read 'Antiretrovirals' and 'Hemodialysis'</t>
        </is>
      </c>
      <c r="I1422" s="3" t="inlineStr">
        <is>
          <t>Spelling only; label terminology in US label §2.4 https://dailymed.nlm.nih.gov/dailymed/drugInfo.cfm?setid=33fd6418-fbdc-42ca-a50d-ce2a476a5418</t>
        </is>
      </c>
      <c r="J1422" s="3" t="inlineStr">
        <is>
          <t>Open</t>
        </is>
      </c>
      <c r="K1422" s="3" t="inlineStr"/>
    </row>
    <row r="1423">
      <c r="A1423" s="3" t="n">
        <v>1386</v>
      </c>
      <c r="B1423" s="3" t="inlineStr">
        <is>
          <t>Viread (Tenofovir disoproxil) (VIR04)</t>
        </is>
      </c>
      <c r="C1423" s="9" t="inlineStr">
        <is>
          <t>Low</t>
        </is>
      </c>
      <c r="D1423" s="3" t="inlineStr">
        <is>
          <t>Pharmacokinetics/other</t>
        </is>
      </c>
      <c r="E1423" s="3" t="inlineStr"/>
      <c r="F1423" s="3" t="inlineStr">
        <is>
          <t>Add TFDA insert link for 衛署藥輸字第024690號.</t>
        </is>
      </c>
      <c r="G1423" s="3" t="inlineStr">
        <is>
          <t>Empty</t>
        </is>
      </c>
      <c r="H1423" s="3" t="inlineStr">
        <is>
          <t>TFDA insert for 衛署藥輸字第024690號 is available (PDF uploaded 2024-12-24, artwork 06 SEP 2024)</t>
        </is>
      </c>
      <c r="I1423" s="3" t="inlineStr">
        <is>
          <t>https://mcp.fda.gov.tw/im_detail_pdf/%E8%A1%9B%E7%BD%B2%E8%97%A5%E8%BC%B8%E5%AD%97%E7%AC%AC024690%E8%99%9F</t>
        </is>
      </c>
      <c r="J1423" s="3" t="inlineStr">
        <is>
          <t>Open</t>
        </is>
      </c>
      <c r="K1423" s="3" t="inlineStr"/>
    </row>
    <row r="1424">
      <c r="A1424" s="3" t="n">
        <v>1395</v>
      </c>
      <c r="B1424" s="3" t="inlineStr">
        <is>
          <t>Viread (Tenofovir disoproxil) (VIR04)</t>
        </is>
      </c>
      <c r="C1424" s="9" t="inlineStr">
        <is>
          <t>Low</t>
        </is>
      </c>
      <c r="D1424" s="3" t="inlineStr">
        <is>
          <t>Pharmacokinetics/other</t>
        </is>
      </c>
      <c r="E1424" s="3" t="inlineStr"/>
      <c r="F1424" s="3" t="inlineStr">
        <is>
          <t>Fix spelling: 'Antiretrovirals' and 'Hemodialysis'.</t>
        </is>
      </c>
      <c r="G1424" s="3" t="inlineStr">
        <is>
          <t>'Antiretrovials'; 'Hemodialys:'</t>
        </is>
      </c>
      <c r="H1424" s="3" t="inlineStr">
        <is>
          <t>Should read 'Antiretrovirals' and 'Hemodialysis'.</t>
        </is>
      </c>
      <c r="I1424" s="3" t="inlineStr">
        <is>
          <t>US §1 (class wording) https://dailymed.nlm.nih.gov/dailymed/drugInfo.cfm?setid=33fd6418-fbdc-42ca-a50d-ce2a476a5418</t>
        </is>
      </c>
      <c r="J1424" s="3" t="inlineStr">
        <is>
          <t>Open</t>
        </is>
      </c>
      <c r="K1424" s="3" t="inlineStr"/>
    </row>
    <row r="1425">
      <c r="A1425" s="3" t="n">
        <v>1396</v>
      </c>
      <c r="B1425" s="3" t="inlineStr">
        <is>
          <t>Viread (Tenofovir disoproxil) (VIR04)</t>
        </is>
      </c>
      <c r="C1425" s="9" t="inlineStr">
        <is>
          <t>Low</t>
        </is>
      </c>
      <c r="D1425" s="3" t="inlineStr">
        <is>
          <t>Pharmacokinetics/other</t>
        </is>
      </c>
      <c r="E1425" s="3" t="inlineStr"/>
      <c r="F1425" s="3" t="inlineStr">
        <is>
          <t>Add TFDA insert link and licence 衛署藥輸字第024690號.</t>
        </is>
      </c>
      <c r="G1425" s="3" t="inlineStr">
        <is>
          <t>(empty; no link and no licence number shown, only NHI BC24690100)</t>
        </is>
      </c>
      <c r="H1425" s="3" t="inlineStr">
        <is>
          <t>The TFDA insert for 衛署藥輸字第024690號 (惠立妥錠劑) exists; the latest upload is dated 2024-12-24.</t>
        </is>
      </c>
      <c r="I1425" s="3" t="inlineStr">
        <is>
          <t>https://mcp.fda.gov.tw/im_detail_pdf/%E8%A1%9B%E7%BD%B2%E8%97%A5%E8%BC%B8%E5%AD%97%E7%AC%AC024690%E8%99%9F</t>
        </is>
      </c>
      <c r="J1425" s="3" t="inlineStr">
        <is>
          <t>Open</t>
        </is>
      </c>
      <c r="K1425" s="3" t="inlineStr"/>
    </row>
    <row r="1426">
      <c r="A1426" s="3" t="n">
        <v>1379</v>
      </c>
      <c r="B1426" s="3" t="inlineStr">
        <is>
          <t>Viread (Tenofovir disoproxil) (VIR04)</t>
        </is>
      </c>
      <c r="C1426" s="9" t="inlineStr">
        <is>
          <t>Low</t>
        </is>
      </c>
      <c r="D1426" s="3" t="inlineStr">
        <is>
          <t>Pregnancy</t>
        </is>
      </c>
      <c r="E1426" s="3" t="inlineStr">
        <is>
          <t>FDA letter category</t>
        </is>
      </c>
      <c r="F1426" s="3" t="inlineStr">
        <is>
          <t>Replace retired FDA Category B with narrative APR pregnancy data (no increased birth defects).</t>
        </is>
      </c>
      <c r="G1426" s="3" t="inlineStr">
        <is>
          <t>B</t>
        </is>
      </c>
      <c r="H1426" s="3" t="inlineStr">
        <is>
          <t>The FDA retired letter categories. Current US §8.1 gives narrative APR data: first-trimester TDF 2.1% vs 2.7% background, no increase. The TW insert still prints the outdated 'Category B'.</t>
        </is>
      </c>
      <c r="I1426" s="3" t="inlineStr">
        <is>
          <t>US label §8.1 https://dailymed.nlm.nih.gov/dailymed/drugInfo.cfm?setid=33fd6418-fbdc-42ca-a50d-ce2a476a5418</t>
        </is>
      </c>
      <c r="J1426" s="3" t="inlineStr">
        <is>
          <t>Open</t>
        </is>
      </c>
      <c r="K1426" s="3" t="inlineStr"/>
    </row>
    <row r="1427">
      <c r="A1427" s="3" t="n">
        <v>1389</v>
      </c>
      <c r="B1427" s="3" t="inlineStr">
        <is>
          <t>Viread (Tenofovir disoproxil) (VIR04)</t>
        </is>
      </c>
      <c r="C1427" s="9" t="inlineStr">
        <is>
          <t>Low</t>
        </is>
      </c>
      <c r="D1427" s="3" t="inlineStr">
        <is>
          <t>Pregnancy</t>
        </is>
      </c>
      <c r="E1427" s="3" t="inlineStr">
        <is>
          <t>FDA letter category</t>
        </is>
      </c>
      <c r="F1427" s="3" t="inlineStr">
        <is>
          <t>Replace retired Category B with APR narrative: no increase in major birth defects.</t>
        </is>
      </c>
      <c r="G1427" s="3" t="inlineStr">
        <is>
          <t>B</t>
        </is>
      </c>
      <c r="H1427" s="3" t="inlineStr">
        <is>
          <t>The FDA retired letter categories (PLLR). The US 8.1 risk summary is based on APR data: no increase in major birth defects (2.3% first trimester / 2.1% second-third trimester vs 2.7% background). UK 4.6: &gt;1,000 outcomes, no malformations; may be used if necessary. Only the older-format TW insert still prints Category B.</t>
        </is>
      </c>
      <c r="I1427" s="3" t="inlineStr">
        <is>
          <t>US §8.1 https://dailymed.nlm.nih.gov/dailymed/drugInfo.cfm?setid=33fd6418-fbdc-42ca-a50d-ce2a476a5418 ; UK SmPC §4.6 https://www.medicines.org.uk/emc/product/1615/smpc</t>
        </is>
      </c>
      <c r="J1427" s="3" t="inlineStr">
        <is>
          <t>Open</t>
        </is>
      </c>
      <c r="K1427" s="3" t="inlineStr"/>
    </row>
    <row r="1428">
      <c r="A1428" s="3" t="n">
        <v>1355</v>
      </c>
      <c r="B1428" s="3" t="inlineStr">
        <is>
          <t>Vocabria + Rekambys (Cabotegravir + Rilpivirine LA) (VOC02, REK01)</t>
        </is>
      </c>
      <c r="C1428" s="9" t="inlineStr">
        <is>
          <t>Low</t>
        </is>
      </c>
      <c r="D1428" s="3" t="inlineStr">
        <is>
          <t>Adverse effects</t>
        </is>
      </c>
      <c r="E1428" s="3" t="inlineStr"/>
      <c r="F1428" s="3" t="inlineStr">
        <is>
          <t>Field is populated; optionally add depression, DRESS, post-injection reactions, weight gain.</t>
        </is>
      </c>
      <c r="G1428" s="3" t="inlineStr">
        <is>
          <t>The field is populated: 極常見 injection-site reactions, headache, fever; 常見 nausea, insomnia, rash, myalgia; 少見 hepatotoxicity, hypersensitivity, vasovagal reactions. The 主要副作用 field lists decreased appetite, headache, nausea, vomiting, abdominal pain, injection-site pain, rash.</t>
        </is>
      </c>
      <c r="H1428" s="3" t="inlineStr">
        <is>
          <t>Brief item 5 says the REK01 side-effect field is empty. It is not empty: re-fetched 2026-10-06 and found populated. Its content is broadly consistent with UK REKAMBYS §4.8, but it omits depression/depressive disorders, DRESS, post-injection reactions and weight gain. No correction is needed for an 'empty' field; at most, adding those omitted items could be suggested.</t>
        </is>
      </c>
      <c r="I1428" s="3" t="inlineStr">
        <is>
          <t>UK SmPC REKAMBYS §4.8; US CABENUVA §5.1–5.4, §6.1</t>
        </is>
      </c>
      <c r="J1428" s="3" t="inlineStr">
        <is>
          <t>Open</t>
        </is>
      </c>
      <c r="K1428" s="3" t="inlineStr"/>
    </row>
    <row r="1429">
      <c r="A1429" s="3" t="n">
        <v>1349</v>
      </c>
      <c r="B1429" s="3" t="inlineStr">
        <is>
          <t>Vocabria + Rekambys (Cabotegravir + Rilpivirine LA) (VOC02, REK01)</t>
        </is>
      </c>
      <c r="C1429" s="9" t="inlineStr">
        <is>
          <t>Low</t>
        </is>
      </c>
      <c r="D1429" s="3" t="inlineStr">
        <is>
          <t>Breastfeeding</t>
        </is>
      </c>
      <c r="E1429" s="3" t="inlineStr">
        <is>
          <t>LactMed outdated</t>
        </is>
      </c>
      <c r="F1429" s="3" t="inlineStr">
        <is>
          <t>Add LactMed shared-decision wording; note prolonged drug presence in milk.</t>
        </is>
      </c>
      <c r="G1429" s="3" t="inlineStr">
        <is>
          <t>Advise women with HIV to avoid breastfeeding</t>
        </is>
      </c>
      <c r="H1429" s="3" t="inlineStr">
        <is>
          <t>Matches UK SmPC and TW insert. However, LactMed (rev 2025-12-15) now says people with a sustained undetectable viral load on ART who choose to breastfeed should be supported. Residual drug in milk may last ≥12 mo (CAB) and up to 4 y (RPV). Consider adding the shared-decision wording</t>
        </is>
      </c>
      <c r="I1429" s="3" t="inlineStr">
        <is>
          <t>LactMed NBK576871 / NBK501818; UK SmPC Vocabria/Rekambys §4.6; TW仿單 §6.2</t>
        </is>
      </c>
      <c r="J1429" s="3" t="inlineStr">
        <is>
          <t>Open</t>
        </is>
      </c>
      <c r="K1429" s="3" t="inlineStr"/>
    </row>
    <row r="1430">
      <c r="A1430" s="3" t="n">
        <v>1356</v>
      </c>
      <c r="B1430" s="3" t="inlineStr">
        <is>
          <t>Vocabria + Rekambys (Cabotegravir + Rilpivirine LA) (VOC02, REK01)</t>
        </is>
      </c>
      <c r="C1430" s="9" t="inlineStr">
        <is>
          <t>Low</t>
        </is>
      </c>
      <c r="D1430" s="3" t="inlineStr">
        <is>
          <t>Breastfeeding</t>
        </is>
      </c>
      <c r="E1430" s="3" t="inlineStr">
        <is>
          <t>LactMed outdated</t>
        </is>
      </c>
      <c r="F1430" s="3" t="inlineStr">
        <is>
          <t>Optionally add LactMed support for breastfeeding with undetectable viral load.</t>
        </is>
      </c>
      <c r="G1430" s="3" t="inlineStr">
        <is>
          <t>HIV-infected women should avoid breastfeeding</t>
        </is>
      </c>
      <c r="H1430" s="3" t="inlineStr">
        <is>
          <t>This is consistent with the TW/UK labels. LactMed (rev. 2025-12-15) additionally states that people with a sustained undetectable viral load who choose to breastfeed should be supported. Informational only; it is not a label conflict.</t>
        </is>
      </c>
      <c r="I1430" s="3" t="inlineStr">
        <is>
          <t>TW 仿單 §6.2 (both); LactMed NBK576871, NBK501818</t>
        </is>
      </c>
      <c r="J1430" s="3" t="inlineStr">
        <is>
          <t>Open</t>
        </is>
      </c>
      <c r="K1430" s="3" t="inlineStr"/>
    </row>
    <row r="1431">
      <c r="A1431" s="3" t="n">
        <v>1348</v>
      </c>
      <c r="B1431" s="3" t="inlineStr">
        <is>
          <t>Vocabria + Rekambys (Cabotegravir + Rilpivirine LA) (VOC02, REK01)</t>
        </is>
      </c>
      <c r="C1431" s="9" t="inlineStr">
        <is>
          <t>Low</t>
        </is>
      </c>
      <c r="D1431" s="3" t="inlineStr">
        <is>
          <t>Pharmacokinetics/other</t>
        </is>
      </c>
      <c r="E1431" s="3" t="inlineStr"/>
      <c r="F1431" s="3" t="inlineStr">
        <is>
          <t>Correct RPV IM Tmax to 3–4 days; add t½ 13–28 weeks.</t>
        </is>
      </c>
      <c r="G1431" s="3" t="inlineStr">
        <is>
          <t>肌肉注射後於3-10天達到血漿峰值濃度</t>
        </is>
      </c>
      <c r="H1431" s="3" t="inlineStr">
        <is>
          <t>Median Tmax of rilpivirine after IM injection is 3–4 days (cabotegravir 7 days); apparent t½ 13–28 weeks</t>
        </is>
      </c>
      <c r="I1431" s="3" t="inlineStr">
        <is>
          <t>US FDA CABENUVA §12.3 PK table; UK SmPC Rekambys §5.2</t>
        </is>
      </c>
      <c r="J1431" s="3" t="inlineStr">
        <is>
          <t>Open</t>
        </is>
      </c>
      <c r="K1431" s="3" t="inlineStr"/>
    </row>
    <row r="1432">
      <c r="A1432" s="3" t="n">
        <v>986</v>
      </c>
      <c r="B1432" s="3" t="inlineStr">
        <is>
          <t>Xofluza (Baloxavir) (XOF01)</t>
        </is>
      </c>
      <c r="C1432" s="9" t="inlineStr">
        <is>
          <t>Low</t>
        </is>
      </c>
      <c r="D1432" s="3" t="inlineStr">
        <is>
          <t>Dosing – hepatic</t>
        </is>
      </c>
      <c r="E1432" s="3" t="inlineStr"/>
      <c r="F1432" s="3" t="inlineStr">
        <is>
          <t>State no adjustment Child-Pugh A–B (studied); Child-Pugh C not studied, use caution</t>
        </is>
      </c>
      <c r="G1432" s="3" t="inlineStr">
        <is>
          <t>No dosage adjustments (no studies proved)</t>
        </is>
      </c>
      <c r="H1432" s="3" t="inlineStr">
        <is>
          <t>No adjustment for Child-Pugh A–B (studied: moderate HI PK). Severe (Child-Pugh C) not studied, use with caution. 'No studies proved' is inaccurate for Child-Pugh B, which was studied.</t>
        </is>
      </c>
      <c r="I1432" s="3" t="inlineStr">
        <is>
          <t>Taiwan insert §5.1.1, §6.6, §11.2 https://mcp.fda.gov.tw/im_detail_1/%E8%A1%9B%E9%83%A8%E8%97%A5%E8%BC%B8%E5%AD%97%E7%AC%AC027693%E8%99%9F</t>
        </is>
      </c>
      <c r="J1432" s="3" t="inlineStr">
        <is>
          <t>Open</t>
        </is>
      </c>
      <c r="K1432" s="3" t="inlineStr"/>
    </row>
    <row r="1433">
      <c r="A1433" s="3" t="n">
        <v>971</v>
      </c>
      <c r="B1433" s="3" t="inlineStr">
        <is>
          <t>Xofluza (Baloxavir) (XOF01)</t>
        </is>
      </c>
      <c r="C1433" s="9" t="inlineStr">
        <is>
          <t>Low</t>
        </is>
      </c>
      <c r="D1433" s="3" t="inlineStr">
        <is>
          <t>Pharmacokinetics/other</t>
        </is>
      </c>
      <c r="E1433" s="3" t="inlineStr"/>
      <c r="F1433" s="3" t="inlineStr">
        <is>
          <t>Change class to cap-dependent endonuclease inhibitor (J05AX25), not adamantane</t>
        </is>
      </c>
      <c r="G1433" s="3" t="inlineStr">
        <is>
          <t>Adamantane Antivirals</t>
        </is>
      </c>
      <c r="H1433" s="3" t="inlineStr">
        <is>
          <t>Cap-dependent (PA) endonuclease inhibitor, ATC J05AX25 'other antivirals'. It is not an adamantane (M2 inhibitor).</t>
        </is>
      </c>
      <c r="I1433" s="3" t="inlineStr">
        <is>
          <t>UK SmPC §5.1 https://www.medicines.org.uk/emc/product/14764/smpc; DailyMed XOFLUZA §1 https://dailymed.nlm.nih.gov/dailymed/drugInfo.cfm?setid=e49e1a61-1b7c-4be5-ac84-af6240b511e7</t>
        </is>
      </c>
      <c r="J1433" s="3" t="inlineStr">
        <is>
          <t>Open</t>
        </is>
      </c>
      <c r="K1433" s="3" t="inlineStr"/>
    </row>
    <row r="1434">
      <c r="A1434" s="3" t="n">
        <v>974</v>
      </c>
      <c r="B1434" s="3" t="inlineStr">
        <is>
          <t>Xofluza (Baloxavir) (XOF01)</t>
        </is>
      </c>
      <c r="C1434" s="9" t="inlineStr">
        <is>
          <t>Low</t>
        </is>
      </c>
      <c r="D1434" s="3" t="inlineStr">
        <is>
          <t>Pharmacokinetics/other</t>
        </is>
      </c>
      <c r="E1434" s="3" t="inlineStr"/>
      <c r="F1434" s="3" t="inlineStr">
        <is>
          <t>Correct: 14.7% total radioactivity in urine; 3.3% as baloxavir</t>
        </is>
      </c>
      <c r="G1434" s="3" t="inlineStr">
        <is>
          <t>Renal excretion: 14.7% (Baloxavir marboxil); 3.3% (baloxavir)</t>
        </is>
      </c>
      <c r="H1434" s="3" t="inlineStr">
        <is>
          <t>14.7% is total radioactivity recovered in urine, not baloxavir marboxil. Only 3.3% of the dose appears in urine as baloxavir.</t>
        </is>
      </c>
      <c r="I1434" s="3" t="inlineStr">
        <is>
          <t>DailyMed §12.3 Table 6 'Urine: 14.7 (total radioactivity); 3.3 (baloxavir)'; Taiwan insert §11.6</t>
        </is>
      </c>
      <c r="J1434" s="3" t="inlineStr">
        <is>
          <t>Open</t>
        </is>
      </c>
      <c r="K1434" s="3" t="inlineStr"/>
    </row>
    <row r="1435">
      <c r="A1435" s="3" t="n">
        <v>980</v>
      </c>
      <c r="B1435" s="3" t="inlineStr">
        <is>
          <t>Xofluza (Baloxavir) (XOF01)</t>
        </is>
      </c>
      <c r="C1435" s="9" t="inlineStr">
        <is>
          <t>Low</t>
        </is>
      </c>
      <c r="D1435" s="3" t="inlineStr">
        <is>
          <t>Pharmacokinetics/other</t>
        </is>
      </c>
      <c r="E1435" s="3" t="inlineStr"/>
      <c r="F1435" s="3" t="inlineStr">
        <is>
          <t>Change class to PA endonuclease inhibitor (J05AX25), not adamantane</t>
        </is>
      </c>
      <c r="G1435" s="3" t="inlineStr">
        <is>
          <t>Adamantane Antivirals</t>
        </is>
      </c>
      <c r="H1435" s="3" t="inlineStr">
        <is>
          <t>Cap-dependent endonuclease (PA) inhibitor; ATC J05AX25 'other antivirals'. Baloxavir is not an adamantane (amantadine/rimantadine are M2 inhibitors).</t>
        </is>
      </c>
      <c r="I1435" s="3" t="inlineStr">
        <is>
          <t>UK SmPC §5.1 https://www.medicines.org.uk/emc/product/14764/smpc ; US label §1 'polymerase acidic (PA) endonuclease inhibitor' https://dailymed.nlm.nih.gov/dailymed/drugInfo.cfm?setid=e49e1a61-1b7c-4be5-ac84-af6240b511e7</t>
        </is>
      </c>
      <c r="J1435" s="3" t="inlineStr">
        <is>
          <t>Open</t>
        </is>
      </c>
      <c r="K1435" s="3" t="inlineStr"/>
    </row>
    <row r="1436">
      <c r="A1436" s="3" t="n">
        <v>983</v>
      </c>
      <c r="B1436" s="3" t="inlineStr">
        <is>
          <t>Xofluza (Baloxavir) (XOF01)</t>
        </is>
      </c>
      <c r="C1436" s="9" t="inlineStr">
        <is>
          <t>Low</t>
        </is>
      </c>
      <c r="D1436" s="3" t="inlineStr">
        <is>
          <t>Pharmacokinetics/other</t>
        </is>
      </c>
      <c r="E1436" s="3" t="inlineStr"/>
      <c r="F1436" s="3" t="inlineStr">
        <is>
          <t>Correct: 14.7% is total urinary radioactivity; 3.3% as baloxavir</t>
        </is>
      </c>
      <c r="G1436" s="3" t="inlineStr">
        <is>
          <t>Renal excretion: 14.7% (Baloxavir marboxil); 3.3% (baloxavir)</t>
        </is>
      </c>
      <c r="H1436" s="3" t="inlineStr">
        <is>
          <t>14.7% is total radioactivity in urine after [14C]-baloxavir marboxil, not unchanged baloxavir marboxil, which is essentially undetectable in plasma. Only 3.3% is excreted as baloxavir.</t>
        </is>
      </c>
      <c r="I1436" s="3" t="inlineStr">
        <is>
          <t>US label §12.3 Table 6 https://dailymed.nlm.nih.gov/dailymed/drugInfo.cfm?setid=e49e1a61-1b7c-4be5-ac84-af6240b511e7 ; TW insert §11.6</t>
        </is>
      </c>
      <c r="J1436" s="3" t="inlineStr">
        <is>
          <t>Open</t>
        </is>
      </c>
      <c r="K1436" s="3" t="inlineStr"/>
    </row>
    <row r="1437">
      <c r="A1437" s="3" t="n">
        <v>59</v>
      </c>
      <c r="B1437" s="3" t="inlineStr">
        <is>
          <t>Zavicefta (Ceftazidime-Avibactam) (ZAV04)</t>
        </is>
      </c>
      <c r="C1437" s="9" t="inlineStr">
        <is>
          <t>Low</t>
        </is>
      </c>
      <c r="D1437" s="3" t="inlineStr">
        <is>
          <t>Administration/compatibility</t>
        </is>
      </c>
      <c r="E1437" s="3" t="inlineStr"/>
      <c r="F1437" s="3" t="inlineStr">
        <is>
          <t>State label infusion 2 h; cite IDSA if 3 h extended infusion retained</t>
        </is>
      </c>
      <c r="G1437" s="3" t="inlineStr">
        <is>
          <t>2-3 h extended infusion</t>
        </is>
      </c>
      <c r="H1437" s="3" t="inlineStr">
        <is>
          <t>Infuse over 2 hours (120 min) in all labels (US 2.1, SmPC 4.2, TW 3.1). 3 h is not labelled.</t>
        </is>
      </c>
      <c r="I1437" s="3" t="inlineStr">
        <is>
          <t>TW 3.1 用法 'Zavicefta 的給藥方式為以120分鐘...'; US 2.1</t>
        </is>
      </c>
      <c r="J1437" s="3" t="inlineStr">
        <is>
          <t>Open</t>
        </is>
      </c>
      <c r="K1437" s="3" t="inlineStr"/>
    </row>
    <row r="1438">
      <c r="A1438" s="3" t="n">
        <v>67</v>
      </c>
      <c r="B1438" s="3" t="inlineStr">
        <is>
          <t>Zavicefta (Ceftazidime-Avibactam) (ZAV04)</t>
        </is>
      </c>
      <c r="C1438" s="9" t="inlineStr">
        <is>
          <t>Low</t>
        </is>
      </c>
      <c r="D1438" s="3" t="inlineStr">
        <is>
          <t>Administration/compatibility</t>
        </is>
      </c>
      <c r="E1438" s="3" t="inlineStr"/>
      <c r="F1438" s="3" t="inlineStr">
        <is>
          <t>State label 2 h infusion; cite IDSA 2026 for 3 h</t>
        </is>
      </c>
      <c r="G1438" s="3" t="inlineStr">
        <is>
          <t>Extended Infusion time: 2~3 hours</t>
        </is>
      </c>
      <c r="H1438" s="3" t="inlineStr">
        <is>
          <t>Label: 120-minute infusion. IDSA 2026 AMR guidance Table 1 suggests 3 h for resistant infections. Cite the guideline if 3 h is kept; the label value is 2 h.</t>
        </is>
      </c>
      <c r="I1438" s="3" t="inlineStr">
        <is>
          <t>Taiwan 仿單 §3.1; IDSA 2026 Table 1 https://www.idsociety.org/globalassets/idsa/practice-guidelines/amr-guidance/5.0/table-1.pdf</t>
        </is>
      </c>
      <c r="J1438" s="3" t="inlineStr">
        <is>
          <t>Open</t>
        </is>
      </c>
      <c r="K1438" s="3" t="inlineStr"/>
    </row>
    <row r="1439">
      <c r="A1439" s="3" t="n">
        <v>58</v>
      </c>
      <c r="B1439" s="3" t="inlineStr">
        <is>
          <t>Zavicefta (Ceftazidime-Avibactam) (ZAV04)</t>
        </is>
      </c>
      <c r="C1439" s="9" t="inlineStr">
        <is>
          <t>Low</t>
        </is>
      </c>
      <c r="D1439" s="3" t="inlineStr">
        <is>
          <t>Pharmacokinetics/other</t>
        </is>
      </c>
      <c r="E1439" s="3" t="inlineStr"/>
      <c r="F1439" s="3" t="inlineStr">
        <is>
          <t>Fill protein binding (ceftazidime &lt;10%, avibactam 5.7–8.2%); fix stray line</t>
        </is>
      </c>
      <c r="G1439" s="3" t="inlineStr">
        <is>
          <t>Cut off: protein binding blank; stray line numbered '10'</t>
        </is>
      </c>
      <c r="H1439" s="3" t="inlineStr">
        <is>
          <t>Protein binding &lt;10% for ceftazidime and 5.7-8.2% for avibactam; Vss 17 L / 22.2 L (US 12.3)</t>
        </is>
      </c>
      <c r="I1439" s="3" t="inlineStr">
        <is>
          <t>US 12.3 https://dailymed.nlm.nih.gov/dailymed/drugInfo.cfm?setid=d9c2803f-dc9c-4b19-b4a3-8303bc8c15fd</t>
        </is>
      </c>
      <c r="J1439" s="3" t="inlineStr">
        <is>
          <t>Open</t>
        </is>
      </c>
      <c r="K1439" s="3" t="inlineStr"/>
    </row>
    <row r="1440">
      <c r="A1440" s="3" t="n">
        <v>71</v>
      </c>
      <c r="B1440" s="3" t="inlineStr">
        <is>
          <t>Zavicefta (Ceftazidime-Avibactam) (ZAV04)</t>
        </is>
      </c>
      <c r="C1440" s="9" t="inlineStr">
        <is>
          <t>Low</t>
        </is>
      </c>
      <c r="D1440" s="3" t="inlineStr">
        <is>
          <t>Pharmacokinetics/other</t>
        </is>
      </c>
      <c r="E1440" s="3" t="inlineStr"/>
      <c r="F1440" s="3" t="inlineStr">
        <is>
          <t>Fill protein binding: ceftazidime &lt;10%, avibactam 5.7–8.2%</t>
        </is>
      </c>
      <c r="G1440" s="3" t="inlineStr">
        <is>
          <t>'Protein binding: (Ceftazidime)' is blank and runs into 'Metabolism'; the avibactam half-life line is numbered '10'</t>
        </is>
      </c>
      <c r="H1440" s="3" t="inlineStr">
        <is>
          <t>Protein binding: ceftazidime ~10% (&lt;10%), avibactam ~8% (5.7–8.2%)</t>
        </is>
      </c>
      <c r="I1440" s="3" t="inlineStr">
        <is>
          <t>UK SmPC §5.2; Taiwan 仿單 §11; US AVYCAZ §12.3</t>
        </is>
      </c>
      <c r="J1440" s="3" t="inlineStr">
        <is>
          <t>Open</t>
        </is>
      </c>
      <c r="K1440" s="3" t="inlineStr"/>
    </row>
    <row r="1441">
      <c r="A1441" s="3" t="n">
        <v>166</v>
      </c>
      <c r="B1441" s="3" t="inlineStr">
        <is>
          <t>Zerbaxa (Ceftolozane-tazobactam) (ZER01)</t>
        </is>
      </c>
      <c r="C1441" s="9" t="inlineStr">
        <is>
          <t>Low</t>
        </is>
      </c>
      <c r="D1441" s="3" t="inlineStr">
        <is>
          <t>Dosing – pediatric</t>
        </is>
      </c>
      <c r="E1441" s="3" t="inlineStr"/>
      <c r="F1441" s="3" t="inlineStr">
        <is>
          <t>State pediatric use not established in TW; optionally note US pediatric dosing ≥32 wk GA</t>
        </is>
      </c>
      <c r="G1441" s="3" t="inlineStr">
        <is>
          <t>(empty)</t>
        </is>
      </c>
      <c r="H1441" s="3" t="inlineStr">
        <is>
          <t>The US label has full pediatric dosing (≥32 weeks gestational age) for cIAI, cUTI and HABP/VABP. The Taiwan insert says pediatric use is not established. The hospital's empty field is consistent with the Taiwan insert but not with the current US label.</t>
        </is>
      </c>
      <c r="I1441" s="3" t="inlineStr">
        <is>
          <t>US label §2.2; Taiwan insert §8.4</t>
        </is>
      </c>
      <c r="J1441" s="3" t="inlineStr">
        <is>
          <t>Open</t>
        </is>
      </c>
      <c r="K1441" s="3" t="inlineStr"/>
    </row>
    <row r="1442">
      <c r="A1442" s="3" t="n">
        <v>167</v>
      </c>
      <c r="B1442" s="3" t="inlineStr">
        <is>
          <t>Zerbaxa (Ceftolozane-tazobactam) (ZER01)</t>
        </is>
      </c>
      <c r="C1442" s="9" t="inlineStr">
        <is>
          <t>Low</t>
        </is>
      </c>
      <c r="D1442" s="3" t="inlineStr">
        <is>
          <t>Pharmacokinetics/other</t>
        </is>
      </c>
      <c r="E1442" s="3" t="inlineStr"/>
      <c r="F1442" s="3" t="inlineStr">
        <is>
          <t>Re-verify ZER01 page directly; current values taken from brief</t>
        </is>
      </c>
      <c r="G1442" s="3" t="inlineStr">
        <is>
          <t>Content as described in the source brief for ZER01</t>
        </is>
      </c>
      <c r="H1442" s="3" t="inlineStr">
        <is>
          <t>I could not re-open the ZER01 detail page myself; the site's search page loads but needs a dynamic query. The hospital-side values above come from the brief, and I checked each one against the official labels.</t>
        </is>
      </c>
      <c r="I1442" s="3" t="inlineStr">
        <is>
          <t>https://pharmacy.fjuh.fju.edu.tw/Look_Search</t>
        </is>
      </c>
      <c r="J1442" s="3" t="inlineStr">
        <is>
          <t>Open</t>
        </is>
      </c>
      <c r="K1442" s="3" t="inlineStr"/>
    </row>
    <row r="1443">
      <c r="A1443" s="3" t="n">
        <v>164</v>
      </c>
      <c r="B1443" s="3" t="inlineStr">
        <is>
          <t>Zerbaxa (Ceftolozane-tazobactam) (ZER01)</t>
        </is>
      </c>
      <c r="C1443" s="9" t="inlineStr">
        <is>
          <t>Low</t>
        </is>
      </c>
      <c r="D1443" s="3" t="inlineStr">
        <is>
          <t>Pregnancy</t>
        </is>
      </c>
      <c r="E1443" s="3" t="inlineStr">
        <is>
          <t>FDA letter category</t>
        </is>
      </c>
      <c r="F1443" s="3" t="inlineStr">
        <is>
          <t>Replace category B with PLLR narrative</t>
        </is>
      </c>
      <c r="G1443" s="3" t="inlineStr">
        <is>
          <t>B</t>
        </is>
      </c>
      <c r="H1443" s="3" t="inlineStr">
        <is>
          <t>The US label uses the PLLR narrative and has no letter category, because FDA retired the letter categories. The Taiwan insert (2019) still prints '妊娠用藥分級B', so the hospital value matches the old local insert but should not be shown as a current category.</t>
        </is>
      </c>
      <c r="I1443" s="3" t="inlineStr">
        <is>
          <t>US label §8.1; Taiwan insert §8.1</t>
        </is>
      </c>
      <c r="J1443" s="3" t="inlineStr">
        <is>
          <t>Open</t>
        </is>
      </c>
      <c r="K1443" s="3" t="inlineStr"/>
    </row>
    <row r="1444">
      <c r="A1444" s="3" t="n">
        <v>174</v>
      </c>
      <c r="B1444" s="3" t="inlineStr">
        <is>
          <t>Zerbaxa (Ceftolozane-tazobactam) (ZER01)</t>
        </is>
      </c>
      <c r="C1444" s="9" t="inlineStr">
        <is>
          <t>Low</t>
        </is>
      </c>
      <c r="D1444" s="3" t="inlineStr">
        <is>
          <t>Pregnancy</t>
        </is>
      </c>
      <c r="E1444" s="3" t="inlineStr">
        <is>
          <t>FDA letter category</t>
        </is>
      </c>
      <c r="F1444" s="3" t="inlineStr">
        <is>
          <t>Remove category B; use narrative pregnancy text</t>
        </is>
      </c>
      <c r="G1444" s="3" t="inlineStr">
        <is>
          <t>B</t>
        </is>
      </c>
      <c r="H1444" s="3" t="inlineStr">
        <is>
          <t>The FDA retired letter categories (US §8.1 is narrative, with no human data). The Taiwan 2019 insert still prints 妊娠用藥分級B, but this should not be shown as a current category.</t>
        </is>
      </c>
      <c r="I1444" s="3" t="inlineStr">
        <is>
          <t>US FDA label §8.1 — https://dailymed.nlm.nih.gov/dailymed/drugInfo.cfm?setid=70ac1d90-eff3-4f0b-9f46-5846c571b32f</t>
        </is>
      </c>
      <c r="J1444" s="3" t="inlineStr">
        <is>
          <t>Open</t>
        </is>
      </c>
      <c r="K1444" s="3" t="inlineStr"/>
    </row>
    <row r="1445">
      <c r="A1445" s="3" t="n">
        <v>98</v>
      </c>
      <c r="B1445" s="3" t="inlineStr">
        <is>
          <t>Zinforo (Ceftaroline) (ZIN04)</t>
        </is>
      </c>
      <c r="C1445" s="9" t="inlineStr">
        <is>
          <t>Low</t>
        </is>
      </c>
      <c r="D1445" s="3" t="inlineStr">
        <is>
          <t>Administration/compatibility</t>
        </is>
      </c>
      <c r="E1445" s="3" t="inlineStr"/>
      <c r="F1445" s="3" t="inlineStr">
        <is>
          <t>Storage: below 30 °C, original package, protect from light</t>
        </is>
      </c>
      <c r="G1445" s="3" t="inlineStr">
        <is>
          <t>Store at 30°C (drug-bag info says 15-30℃)</t>
        </is>
      </c>
      <c r="H1445" s="3" t="inlineStr">
        <is>
          <t>請存放於 30°C 以下 (store below 30°C), in the original package, protected from light</t>
        </is>
      </c>
      <c r="I1445" s="3" t="inlineStr">
        <is>
          <t>Taiwan insert 13.3, 13.4 — https://mcp.fda.gov.tw/im_detail_1/%E8%A1%9B%E9%83%A8%E8%97%A5%E8%BC%B8%E5%AD%97%E7%AC%AC026611%E8%99%9F</t>
        </is>
      </c>
      <c r="J1445" s="3" t="inlineStr">
        <is>
          <t>Open</t>
        </is>
      </c>
      <c r="K1445" s="3" t="inlineStr"/>
    </row>
    <row r="1446">
      <c r="A1446" s="3" t="n">
        <v>89</v>
      </c>
      <c r="B1446" s="3" t="inlineStr">
        <is>
          <t>Zinforo (Ceftaroline) (ZIN04)</t>
        </is>
      </c>
      <c r="C1446" s="9" t="inlineStr">
        <is>
          <t>Low</t>
        </is>
      </c>
      <c r="D1446" s="3" t="inlineStr">
        <is>
          <t>Adverse effects</t>
        </is>
      </c>
      <c r="E1446" s="3" t="inlineStr"/>
      <c r="F1446" s="3" t="inlineStr">
        <is>
          <t>Reassign ADR frequencies per TW insert; SCAR frequency unknown, seizure/renal failure not common</t>
        </is>
      </c>
      <c r="G1446" s="3" t="inlineStr">
        <is>
          <t>Common: rash, SCAR (SJS, TEN, DRESS, AGEP), diarrhea, nausea, vomiting, fever, C. difficile diarrhea, ALT/AST raised, hepatitis, anaphylaxis, hypersensitivity reaction, seizure, renal failure</t>
        </is>
      </c>
      <c r="H1446" s="3" t="inlineStr">
        <is>
          <t>Common: rash, pruritus, diarrhoea, nausea, vomiting, abdominal pain, headache, dizziness, phlebitis, raised transaminases, fever. Uncommon: C. difficile colitis, hypersensitivity/anaphylaxis, encephalopathy, anaemia/leukopenia/thrombocytopenia, raised creatinine. Frequency unknown: SJS/TEN/DRESS/AGEP. Seizure, renal failure and hepatitis are not in the TW table (US lists them at &lt;2%).</t>
        </is>
      </c>
      <c r="I1446" s="3" t="inlineStr">
        <is>
          <t>Taiwan insert 8.2 表3 — https://mcp.fda.gov.tw/im_detail_1/%E8%A1%9B%E9%83%A8%E8%97%A5%E8%BC%B8%E5%AD%97%E7%AC%AC026611%E8%99%9F</t>
        </is>
      </c>
      <c r="J1446" s="3" t="inlineStr">
        <is>
          <t>Open</t>
        </is>
      </c>
      <c r="K1446" s="3" t="inlineStr"/>
    </row>
    <row r="1447">
      <c r="A1447" s="3" t="n">
        <v>101</v>
      </c>
      <c r="B1447" s="3" t="inlineStr">
        <is>
          <t>Zinforo (Ceftaroline) (ZIN04)</t>
        </is>
      </c>
      <c r="C1447" s="9" t="inlineStr">
        <is>
          <t>Low</t>
        </is>
      </c>
      <c r="D1447" s="3" t="inlineStr">
        <is>
          <t>Adverse effects</t>
        </is>
      </c>
      <c r="E1447" s="3" t="inlineStr"/>
      <c r="F1447" s="3" t="inlineStr">
        <is>
          <t>Correct ADR frequency classes (SCAR unknown, anaphylaxis uncommon, seizure/renal failure US &lt;2%)</t>
        </is>
      </c>
      <c r="G1447" s="3" t="inlineStr">
        <is>
          <t>Common: … SCAR (SJS, TEN, DRESS, AGEP) … hepatitis, anaphylaxis, hypersensitivity reaction, seizure, renal failure</t>
        </is>
      </c>
      <c r="H1447" s="3" t="inlineStr">
        <is>
          <t>SJS/TEN/DRESS/AGEP = frequency unknown (post-marketing); hypersensitivity/anaphylaxis = uncommon; blood creatinine increased = uncommon; hepatitis, convulsion and renal failure appear only in the US label's '&lt;2%' list, not as common</t>
        </is>
      </c>
      <c r="I1447" s="3" t="inlineStr">
        <is>
          <t>Taiwan insert 8.2 表3; US label 6.1 'Other adverse reactions … &lt;2%'</t>
        </is>
      </c>
      <c r="J1447" s="3" t="inlineStr">
        <is>
          <t>Open</t>
        </is>
      </c>
      <c r="K1447" s="3" t="inlineStr"/>
    </row>
    <row r="1448">
      <c r="A1448" s="3" t="n">
        <v>87</v>
      </c>
      <c r="B1448" s="3" t="inlineStr">
        <is>
          <t>Zinforo (Ceftaroline) (ZIN04)</t>
        </is>
      </c>
      <c r="C1448" s="9" t="inlineStr">
        <is>
          <t>Low</t>
        </is>
      </c>
      <c r="D1448" s="3" t="inlineStr">
        <is>
          <t>Dosing – adult</t>
        </is>
      </c>
      <c r="E1448" s="3" t="inlineStr"/>
      <c r="F1448" s="3" t="inlineStr">
        <is>
          <t>Correct MIC unit to mg/L</t>
        </is>
      </c>
      <c r="G1448" s="3" t="inlineStr">
        <is>
          <t>MIC for ceftaroline = 2 to 4 mL/L</t>
        </is>
      </c>
      <c r="H1448" s="3" t="inlineStr">
        <is>
          <t>MIC = 2 mg/L or 4 mg/L (對ceftaroline的MIC = 2毫克/升或4毫克/升)</t>
        </is>
      </c>
      <c r="I1448" s="3" t="inlineStr">
        <is>
          <t>Taiwan insert 3.1 — https://mcp.fda.gov.tw/im_detail_1/%E8%A1%9B%E9%83%A8%E8%97%A5%E8%BC%B8%E5%AD%97%E7%AC%AC026611%E8%99%9F</t>
        </is>
      </c>
      <c r="J1448" s="3" t="inlineStr">
        <is>
          <t>Open</t>
        </is>
      </c>
      <c r="K1448" s="3" t="inlineStr"/>
    </row>
    <row r="1449">
      <c r="A1449" s="3" t="n">
        <v>99</v>
      </c>
      <c r="B1449" s="3" t="inlineStr">
        <is>
          <t>Zinforo (Ceftaroline) (ZIN04)</t>
        </is>
      </c>
      <c r="C1449" s="9" t="inlineStr">
        <is>
          <t>Low</t>
        </is>
      </c>
      <c r="D1449" s="3" t="inlineStr">
        <is>
          <t>Dosing – adult</t>
        </is>
      </c>
      <c r="E1449" s="3" t="inlineStr"/>
      <c r="F1449" s="3" t="inlineStr">
        <is>
          <t>Correct MIC unit from mL/L to mg/L</t>
        </is>
      </c>
      <c r="G1449" s="3" t="inlineStr">
        <is>
          <t>MIC for ceftaroline = 2 to 4 mL/L</t>
        </is>
      </c>
      <c r="H1449" s="3" t="inlineStr">
        <is>
          <t>MIC = 2 毫克/升 或 4 毫克/升 (mg/L)</t>
        </is>
      </c>
      <c r="I1449" s="3" t="inlineStr">
        <is>
          <t>Taiwan insert 3.1 https://mcp.fda.gov.tw/im_detail_1/%E8%A1%9B%E9%83%A8%E8%97%A5%E8%BC%B8%E5%AD%97%E7%AC%AC026611%E8%99%9F</t>
        </is>
      </c>
      <c r="J1449" s="3" t="inlineStr">
        <is>
          <t>Open</t>
        </is>
      </c>
      <c r="K1449" s="3" t="inlineStr"/>
    </row>
    <row r="1450">
      <c r="A1450" s="3" t="n">
        <v>97</v>
      </c>
      <c r="B1450" s="3" t="inlineStr">
        <is>
          <t>Zinforo (Ceftaroline) (ZIN04)</t>
        </is>
      </c>
      <c r="C1450" s="9" t="inlineStr">
        <is>
          <t>Low</t>
        </is>
      </c>
      <c r="D1450" s="3" t="inlineStr">
        <is>
          <t>Dosing – hepatic</t>
        </is>
      </c>
      <c r="E1450" s="3" t="inlineStr"/>
      <c r="F1450" s="3" t="inlineStr">
        <is>
          <t>State explicitly no adjustment needed in hepatic impairment</t>
        </is>
      </c>
      <c r="G1450" s="3" t="inlineStr">
        <is>
          <t>There are no dosage adjustments provided in the manufacturer's labeling.</t>
        </is>
      </c>
      <c r="H1450" s="3" t="inlineStr">
        <is>
          <t>肝功能不全病人無需調整劑量 (the label explicitly says no adjustment is needed)</t>
        </is>
      </c>
      <c r="I1450" s="3" t="inlineStr">
        <is>
          <t>Taiwan insert 3.3 — https://mcp.fda.gov.tw/im_detail_1/%E8%A1%9B%E9%83%A8%E8%97%A5%E8%BC%B8%E5%AD%97%E7%AC%AC026611%E8%99%9F</t>
        </is>
      </c>
      <c r="J1450" s="3" t="inlineStr">
        <is>
          <t>Open</t>
        </is>
      </c>
      <c r="K1450" s="3" t="inlineStr"/>
    </row>
    <row r="1451">
      <c r="A1451" s="3" t="n">
        <v>107</v>
      </c>
      <c r="B1451" s="3" t="inlineStr">
        <is>
          <t>Zinforo (Ceftaroline) (ZIN04)</t>
        </is>
      </c>
      <c r="C1451" s="9" t="inlineStr">
        <is>
          <t>Low</t>
        </is>
      </c>
      <c r="D1451" s="3" t="inlineStr">
        <is>
          <t>Dosing – hepatic</t>
        </is>
      </c>
      <c r="E1451" s="3" t="inlineStr"/>
      <c r="F1451" s="3" t="inlineStr">
        <is>
          <t>State label explicitly: no hepatic adjustment needed</t>
        </is>
      </c>
      <c r="G1451" s="3" t="inlineStr">
        <is>
          <t>There are no dosage adjustments provided in the manufacturer's labeling</t>
        </is>
      </c>
      <c r="H1451" s="3" t="inlineStr">
        <is>
          <t>肝功能不全病人無需調整劑量 (an explicit statement that no adjustment is needed)</t>
        </is>
      </c>
      <c r="I1451" s="3" t="inlineStr">
        <is>
          <t>Taiwan insert 3.1 肝功能不全病人</t>
        </is>
      </c>
      <c r="J1451" s="3" t="inlineStr">
        <is>
          <t>Open</t>
        </is>
      </c>
      <c r="K1451" s="3" t="inlineStr"/>
    </row>
    <row r="1452">
      <c r="A1452" s="3" t="n">
        <v>96</v>
      </c>
      <c r="B1452" s="3" t="inlineStr">
        <is>
          <t>Zinforo (Ceftaroline) (ZIN04)</t>
        </is>
      </c>
      <c r="C1452" s="9" t="inlineStr">
        <is>
          <t>Low</t>
        </is>
      </c>
      <c r="D1452" s="3" t="inlineStr">
        <is>
          <t>Pregnancy</t>
        </is>
      </c>
      <c r="E1452" s="3" t="inlineStr"/>
      <c r="F1452" s="3" t="inlineStr">
        <is>
          <t>Use TW wording: animal data no harmful effects; avoid unless clinically needed</t>
        </is>
      </c>
      <c r="G1452" s="3" t="inlineStr">
        <is>
          <t>Adverse events have been observed in some animal reproduction studies.</t>
        </is>
      </c>
      <c r="H1452" s="3" t="inlineStr">
        <is>
          <t>Taiwan insert: no human data, animal studies show no harmful reproductive effects apart from minor fetal weight changes and delayed ossification in rats; 懷孕期間應避免使用，除非臨床確實需要 (avoid unless clinically needed). The hospital text omits this recommendation.</t>
        </is>
      </c>
      <c r="I1452" s="3" t="inlineStr">
        <is>
          <t>Taiwan insert 6.1 — https://mcp.fda.gov.tw/im_detail_1/%E8%A1%9B%E9%83%A8%E8%97%A5%E8%BC%B8%E5%AD%97%E7%AC%AC026611%E8%99%9F</t>
        </is>
      </c>
      <c r="J1452" s="3" t="inlineStr">
        <is>
          <t>Open</t>
        </is>
      </c>
      <c r="K1452" s="3" t="inlineStr"/>
    </row>
    <row r="1453">
      <c r="A1453" s="3" t="n">
        <v>106</v>
      </c>
      <c r="B1453" s="3" t="inlineStr">
        <is>
          <t>Zinforo (Ceftaroline) (ZIN04)</t>
        </is>
      </c>
      <c r="C1453" s="9" t="inlineStr">
        <is>
          <t>Low</t>
        </is>
      </c>
      <c r="D1453" s="3" t="inlineStr">
        <is>
          <t>Pregnancy</t>
        </is>
      </c>
      <c r="E1453" s="3" t="inlineStr"/>
      <c r="F1453" s="3" t="inlineStr">
        <is>
          <t>Correct animal data statement; avoid unless clinically needed</t>
        </is>
      </c>
      <c r="G1453" s="3" t="inlineStr">
        <is>
          <t>Adverse events have been observed in some animal reproduction studies</t>
        </is>
      </c>
      <c r="H1453" s="3" t="inlineStr">
        <is>
          <t>Animal studies showed no harmful reproductive effects (minor fetal weight change and delayed ossification in rats); avoid in pregnancy unless clinically needed</t>
        </is>
      </c>
      <c r="I1453" s="3" t="inlineStr">
        <is>
          <t>Taiwan insert 6.1; UK SmPC 4.6</t>
        </is>
      </c>
      <c r="J1453" s="3" t="inlineStr">
        <is>
          <t>Open</t>
        </is>
      </c>
      <c r="K1453" s="3" t="inlineStr"/>
    </row>
    <row r="1454">
      <c r="A1454" s="3" t="n">
        <v>704</v>
      </c>
      <c r="B1454" s="3" t="inlineStr">
        <is>
          <t>Zirocin (Azithromycin) (ZIR01, AZI01)</t>
        </is>
      </c>
      <c r="C1454" s="9" t="inlineStr">
        <is>
          <t>Low</t>
        </is>
      </c>
      <c r="D1454" s="3" t="inlineStr">
        <is>
          <t>Dosing – hepatic</t>
        </is>
      </c>
      <c r="E1454" s="3" t="inlineStr"/>
      <c r="F1454" s="3" t="inlineStr">
        <is>
          <t>State label: no adjustment Child-Pugh A/B; caution in severe hepatic disease</t>
        </is>
      </c>
      <c r="G1454" s="3" t="inlineStr">
        <is>
          <t>"no dosage adjustment provided in the manufacturer's labeling"</t>
        </is>
      </c>
      <c r="H1454" s="3" t="inlineStr">
        <is>
          <t>The labels do give hepatic guidance: no adjustment in mild–moderate (Child-Pugh A/B), caution in severe (Zirocin 仿單 §6.6; UK SmPC 4.2). The US label says PK has not been established.</t>
        </is>
      </c>
      <c r="I1454" s="3" t="inlineStr">
        <is>
          <t>Zirocin TW 仿單 §6.6; UK SmPC 4.2</t>
        </is>
      </c>
      <c r="J1454" s="3" t="inlineStr">
        <is>
          <t>Open</t>
        </is>
      </c>
      <c r="K1454" s="3" t="inlineStr"/>
    </row>
    <row r="1455">
      <c r="A1455" s="3" t="n">
        <v>706</v>
      </c>
      <c r="B1455" s="3" t="inlineStr">
        <is>
          <t>Zirocin (Azithromycin) (ZIR01, AZI01)</t>
        </is>
      </c>
      <c r="C1455" s="9" t="inlineStr">
        <is>
          <t>Low</t>
        </is>
      </c>
      <c r="D1455" s="3" t="inlineStr">
        <is>
          <t>Pharmacokinetics/other</t>
        </is>
      </c>
      <c r="E1455" s="3" t="inlineStr"/>
      <c r="F1455" s="3" t="inlineStr">
        <is>
          <t>Add licence 衛署藥製字第057842號 and TFDA insert link</t>
        </is>
      </c>
      <c r="G1455" s="3" t="inlineStr">
        <is>
          <t>The P4 page has no licence number or insert link for Zirocin, though the 仿單 field exists.</t>
        </is>
      </c>
      <c r="H1455" s="3" t="inlineStr">
        <is>
          <t>The TFDA lists licence 衛署藥製字第057842號 (美妥欣膜衣錠250毫克, 南光化學製藥) with a current insert (113/02/26).</t>
        </is>
      </c>
      <c r="I1455" s="3" t="inlineStr">
        <is>
          <t>https://mcp.fda.gov.tw/im_detail_1/%E8%A1%9B%E7%BD%B2%E8%97%A5%E8%A3%BD%E5%AD%97%E7%AC%AC057842%E8%99%9F</t>
        </is>
      </c>
      <c r="J1455" s="3" t="inlineStr">
        <is>
          <t>Open</t>
        </is>
      </c>
      <c r="K1455" s="3" t="inlineStr"/>
    </row>
    <row r="1456">
      <c r="A1456" s="3" t="n">
        <v>713</v>
      </c>
      <c r="B1456" s="3" t="inlineStr">
        <is>
          <t>Zirocin (Azithromycin) (ZIR01, AZI01)</t>
        </is>
      </c>
      <c r="C1456" s="9" t="inlineStr">
        <is>
          <t>Low</t>
        </is>
      </c>
      <c r="D1456" s="3" t="inlineStr">
        <is>
          <t>Pharmacokinetics/other</t>
        </is>
      </c>
      <c r="E1456" s="3" t="inlineStr"/>
      <c r="F1456" s="3" t="inlineStr">
        <is>
          <t>Add Zirocin licence and TFDA insert link</t>
        </is>
      </c>
      <c r="G1456" s="3" t="inlineStr">
        <is>
          <t>No 仿單 or licence link on the P4 page. The 仿單 field links nowhere; only NHI code AC57842100 is shown.</t>
        </is>
      </c>
      <c r="H1456" s="3" t="inlineStr">
        <is>
          <t>A TFDA insert exists: Zirocin F.C. Tablets 250 mg, 衛署藥製字第057842號 (南光), insert updated 113/02/26 (v2). The AZI01 page links its 仿單 correctly.</t>
        </is>
      </c>
      <c r="I1456" s="3" t="inlineStr">
        <is>
          <t>https://mcp.fda.gov.tw/im_detail_1/%E8%A1%9B%E7%BD%B2%E8%97%A5%E8%A3%BD%E5%AD%97%E7%AC%AC057842%E8%99%9F</t>
        </is>
      </c>
      <c r="J1456" s="3" t="inlineStr">
        <is>
          <t>Open</t>
        </is>
      </c>
      <c r="K1456" s="3" t="inlineStr"/>
    </row>
    <row r="1457">
      <c r="A1457" s="3" t="n">
        <v>696</v>
      </c>
      <c r="B1457" s="3" t="inlineStr">
        <is>
          <t>Zirocin (Azithromycin) (ZIR01, AZI01)</t>
        </is>
      </c>
      <c r="C1457" s="9" t="inlineStr">
        <is>
          <t>Low</t>
        </is>
      </c>
      <c r="D1457" s="3" t="inlineStr">
        <is>
          <t>Pregnancy</t>
        </is>
      </c>
      <c r="E1457" s="3" t="inlineStr">
        <is>
          <t>FDA letter category</t>
        </is>
      </c>
      <c r="F1457" s="3" t="inlineStr">
        <is>
          <t>Replace category B with PLLR narrative: no drug-associated risk identified</t>
        </is>
      </c>
      <c r="G1457" s="3" t="inlineStr">
        <is>
          <t>懷孕分類 B on both product pages</t>
        </is>
      </c>
      <c r="H1457" s="3" t="inlineStr">
        <is>
          <t>The FDA retired letter categories. The US label 8.1 is in PLLR narrative form: no drug-associated risk identified over decades of data. TW inserts: use only if clinically needed and the benefit outweighs possible risk.</t>
        </is>
      </c>
      <c r="I1457" s="3" t="inlineStr">
        <is>
          <t>US FDA 8.1: https://dailymed.nlm.nih.gov/dailymed/drugInfo.cfm?setid=db52b91e-79f7-4cc1-9564-f2eee8e31c45</t>
        </is>
      </c>
      <c r="J1457" s="3" t="inlineStr">
        <is>
          <t>Open</t>
        </is>
      </c>
      <c r="K1457" s="3" t="inlineStr"/>
    </row>
    <row r="1458">
      <c r="A1458" s="3" t="n">
        <v>707</v>
      </c>
      <c r="B1458" s="3" t="inlineStr">
        <is>
          <t>Zirocin (Azithromycin) (ZIR01, AZI01)</t>
        </is>
      </c>
      <c r="C1458" s="9" t="inlineStr">
        <is>
          <t>Low</t>
        </is>
      </c>
      <c r="D1458" s="3" t="inlineStr">
        <is>
          <t>Pregnancy</t>
        </is>
      </c>
      <c r="E1458" s="3" t="inlineStr">
        <is>
          <t>FDA letter category</t>
        </is>
      </c>
      <c r="F1458" s="3" t="inlineStr">
        <is>
          <t>Replace category B with PLLR narrative and 'use only if clearly needed'</t>
        </is>
      </c>
      <c r="G1458" s="3" t="inlineStr">
        <is>
          <t>懷孕分類 B</t>
        </is>
      </c>
      <c r="H1458" s="3" t="inlineStr">
        <is>
          <t>FDA retired letter categories (PLLR). US 8.1 now says published data have not identified a drug-associated risk of major birth defects, miscarriage or adverse outcomes. UK SmPC 4.6 and both 仿單 §6.1: use only if clinically needed.</t>
        </is>
      </c>
      <c r="I1458" s="3" t="inlineStr">
        <is>
          <t>US FDA ZITHROMAX 8.1: https://dailymed.nlm.nih.gov/dailymed/drugInfo.cfm?setid=db52b91e-79f7-4cc1-9564-f2eee8e31c45; Zirocin 仿單 §6.1: https://mcp.fda.gov.tw/im_detail_1/%E8%A1%9B%E7%BD%B2%E8%97%A5%E8%A3%BD%E5%AD%97%E7%AC%AC057842%E8%99%9F</t>
        </is>
      </c>
      <c r="J1458" s="3" t="inlineStr">
        <is>
          <t>Open</t>
        </is>
      </c>
      <c r="K1458" s="3" t="inlineStr"/>
    </row>
    <row r="1459">
      <c r="A1459" s="3" t="n">
        <v>112</v>
      </c>
      <c r="B1459" s="3" t="inlineStr">
        <is>
          <t>Zovirax (Acyclovir) (ZOV01, ACY01)</t>
        </is>
      </c>
      <c r="C1459" s="9" t="inlineStr">
        <is>
          <t>Low</t>
        </is>
      </c>
      <c r="D1459" s="3" t="inlineStr">
        <is>
          <t>Adverse effects</t>
        </is>
      </c>
      <c r="E1459" s="3" t="inlineStr"/>
      <c r="F1459" s="3" t="inlineStr">
        <is>
          <t>Remove injection-site reactions from oral tablet ADRs; use tablet label list</t>
        </is>
      </c>
      <c r="G1459" s="3" t="inlineStr">
        <is>
          <t>Local: Inflammation at injection site, injection site phlebitis</t>
        </is>
      </c>
      <c r="H1459" s="3" t="inlineStr">
        <is>
          <t>Injection-site reactions do not apply to an oral tablet. Neither the FDA tablet label nor the Acylete insert lists them; the insert lists rash, N/V, diarrhoea, abdominal pain, bilirubin/LFT/BUN/creatinine rises, haematological decreases, neurological reactions and fatigue.</t>
        </is>
      </c>
      <c r="I1459" s="3" t="inlineStr">
        <is>
          <t>https://dailymed.nlm.nih.gov/dailymed/drugInfo.cfm?setid=05f42300-2a06-45f1-a9b9-6e5c84ae58ec ; https://mcp.fda.gov.tw/insert/pdfcasefile/i_846aed79-8984-4d2b-8863-39852b6a0175</t>
        </is>
      </c>
      <c r="J1459" s="3" t="inlineStr">
        <is>
          <t>Open</t>
        </is>
      </c>
      <c r="K1459" s="3" t="inlineStr"/>
    </row>
    <row r="1460">
      <c r="A1460" s="3" t="n">
        <v>115</v>
      </c>
      <c r="B1460" s="3" t="inlineStr">
        <is>
          <t>Zovirax (Acyclovir) (ZOV01, ACY01)</t>
        </is>
      </c>
      <c r="C1460" s="9" t="inlineStr">
        <is>
          <t>Low</t>
        </is>
      </c>
      <c r="D1460" s="3" t="inlineStr">
        <is>
          <t>Dosing – adult</t>
        </is>
      </c>
      <c r="E1460" s="3" t="inlineStr"/>
      <c r="F1460" s="3" t="inlineStr">
        <is>
          <t>Note label duration 10 days; 14–21 days per IDSA/NHI (informational)</t>
        </is>
      </c>
      <c r="G1460" s="3" t="inlineStr">
        <is>
          <t>duration for encephalitis is 14 to 21 days</t>
        </is>
      </c>
      <c r="H1460" s="3" t="inlineStr">
        <is>
          <t>Labels (TW insert, UK SmPC, FDA): usually 10 days. The 14–21 days matches the IDSA 2008 guideline and the Taiwan NHI reimbursement rule, so this is informational and not an error.</t>
        </is>
      </c>
      <c r="I1460" s="3" t="inlineStr">
        <is>
          <t>https://mcp.fda.gov.tw/insert/pdfcasefile/i_43ee63d3-02bb-4b8b-956a-0d7296e71d7e ; https://pubmed.ncbi.nlm.nih.gov/18582201/</t>
        </is>
      </c>
      <c r="J1460" s="3" t="inlineStr">
        <is>
          <t>Open</t>
        </is>
      </c>
      <c r="K1460" s="3" t="inlineStr"/>
    </row>
    <row r="1461">
      <c r="A1461" s="3" t="n">
        <v>122</v>
      </c>
      <c r="B1461" s="3" t="inlineStr">
        <is>
          <t>Zovirax (Acyclovir) (ZOV01, ACY01)</t>
        </is>
      </c>
      <c r="C1461" s="9" t="inlineStr">
        <is>
          <t>Low</t>
        </is>
      </c>
      <c r="D1461" s="3" t="inlineStr">
        <is>
          <t>Dosing – adult</t>
        </is>
      </c>
      <c r="E1461" s="3" t="inlineStr"/>
      <c r="F1461" s="3" t="inlineStr">
        <is>
          <t>Varicella adult: 800 mg four times daily for 5 days per FDA label</t>
        </is>
      </c>
      <c r="G1461" s="3" t="inlineStr">
        <is>
          <t>800 mg 5 times daily for &gt;5 to 7 days and until all lesions have crusted</t>
        </is>
      </c>
      <c r="H1461" s="3" t="inlineStr">
        <is>
          <t>FDA tablet label: adults and children &gt;40 kg, 800 mg 4 times daily for 5 days (minor difference)</t>
        </is>
      </c>
      <c r="I1461" s="3" t="inlineStr">
        <is>
          <t>https://dailymed.nlm.nih.gov/dailymed/drugInfo.cfm?setid=05f42300-2a06-45f1-a9b9-6e5c84ae58ec</t>
        </is>
      </c>
      <c r="J1461" s="3" t="inlineStr">
        <is>
          <t>Open</t>
        </is>
      </c>
      <c r="K1461" s="3" t="inlineStr"/>
    </row>
    <row r="1462">
      <c r="A1462" s="3" t="n">
        <v>124</v>
      </c>
      <c r="B1462" s="3" t="inlineStr">
        <is>
          <t>Zovirax (Acyclovir) (ZOV01, ACY01)</t>
        </is>
      </c>
      <c r="C1462" s="9" t="inlineStr">
        <is>
          <t>Low</t>
        </is>
      </c>
      <c r="D1462" s="3" t="inlineStr">
        <is>
          <t>Dosing – adult</t>
        </is>
      </c>
      <c r="E1462" s="3" t="inlineStr"/>
      <c r="F1462" s="3" t="inlineStr">
        <is>
          <t>Annotate HSE 14–21 days as NHI/guideline-based; label says usually 10 days</t>
        </is>
      </c>
      <c r="G1462" s="3" t="inlineStr">
        <is>
          <t>duration for encephalitis is 14 to 21 days</t>
        </is>
      </c>
      <c r="H1462" s="3" t="inlineStr">
        <is>
          <t>Labels say usually 10 days (FDA, SmPC, TW 仿單). 14–21 days matches the NHI rule (疱疹性腦炎得使用14至21天) and guideline practice, so this is acceptable but should be marked as guideline/NHI-based.</t>
        </is>
      </c>
      <c r="I1462" s="3" t="inlineStr">
        <is>
          <t>https://mcp.fda.gov.tw/insert/pdfcasefile/i_43ee63d3-02bb-4b8b-956a-0d7296e71d7e ; https://www.cth.org.tw/?aid=606&amp;pid=0&amp;page_name=detail&amp;iid=1012</t>
        </is>
      </c>
      <c r="J1462" s="3" t="inlineStr">
        <is>
          <t>Open</t>
        </is>
      </c>
      <c r="K1462" s="3" t="inlineStr"/>
    </row>
    <row r="1463">
      <c r="A1463" s="3" t="n">
        <v>460</v>
      </c>
      <c r="B1463" s="3" t="inlineStr">
        <is>
          <t>Zyvox (Linezolid) (ZYV01, ZYV02)</t>
        </is>
      </c>
      <c r="C1463" s="9" t="inlineStr">
        <is>
          <t>Low</t>
        </is>
      </c>
      <c r="D1463" s="3" t="inlineStr">
        <is>
          <t>Dosing – adult</t>
        </is>
      </c>
      <c r="E1463" s="3" t="inlineStr"/>
      <c r="F1463" s="3" t="inlineStr">
        <is>
          <t>No change needed; note uSSSI 400 mg if indication added</t>
        </is>
      </c>
      <c r="G1463" s="3" t="inlineStr">
        <is>
          <t>600 mg q12h for all listed indications</t>
        </is>
      </c>
      <c r="H1463" s="3" t="inlineStr">
        <is>
          <t>Correct for the listed indications (pneumonia, cSSTI, VRE). If uncomplicated SSSI is ever added, the adult dose is 400 mg PO q12h for 10–14 days; adolescents get 600 mg.</t>
        </is>
      </c>
      <c r="I1463" s="3" t="inlineStr">
        <is>
          <t>US label §2.1 Table 1; Taiwan 仿單 §3.1 表一</t>
        </is>
      </c>
      <c r="J1463" s="3" t="inlineStr">
        <is>
          <t>Open</t>
        </is>
      </c>
      <c r="K1463" s="3" t="inlineStr"/>
    </row>
    <row r="1464">
      <c r="A1464" s="3" t="n">
        <v>447</v>
      </c>
      <c r="B1464" s="3" t="inlineStr">
        <is>
          <t>Zyvox (Linezolid) (ZYV01, ZYV02)</t>
        </is>
      </c>
      <c r="C1464" s="9" t="inlineStr">
        <is>
          <t>Low</t>
        </is>
      </c>
      <c r="D1464" s="3" t="inlineStr">
        <is>
          <t>Pregnancy</t>
        </is>
      </c>
      <c r="E1464" s="3" t="inlineStr">
        <is>
          <t>FDA letter category</t>
        </is>
      </c>
      <c r="F1464" s="3" t="inlineStr">
        <is>
          <t>Replace category C with PLLR narrative risk summary</t>
        </is>
      </c>
      <c r="G1464" s="3" t="inlineStr">
        <is>
          <t>Pregnancy category C</t>
        </is>
      </c>
      <c r="H1464" s="3" t="inlineStr">
        <is>
          <t>FDA letter categories are retired. The US label §8.1 now gives a narrative risk summary: human case data have not identified a drug-associated risk of major birth defects or miscarriage; animal studies showed embryo-fetal lethality in mice at 6.5× exposure and reduced pup survival in rats. The Taiwan insert 懷孕 section is the same.</t>
        </is>
      </c>
      <c r="I1464" s="3" t="inlineStr">
        <is>
          <t>US FDA label §8.1 - https://dailymed.nlm.nih.gov/dailymed/drugInfo.cfm?setid=6e70e63b-bfd5-478d-a8ee-8ba22c9efabd; Taiwan insert - https://mcp.fda.gov.tw/im_detail_1/%E8%A1%9B%E7%BD%B2%E8%97%A5%E8%BC%B8%E5%AD%97%E7%AC%AC023186%E8%99%9F</t>
        </is>
      </c>
      <c r="J1464" s="3" t="inlineStr">
        <is>
          <t>Open</t>
        </is>
      </c>
      <c r="K1464" s="3" t="inlineStr"/>
    </row>
    <row r="1465">
      <c r="A1465" s="3" t="n">
        <v>454</v>
      </c>
      <c r="B1465" s="3" t="inlineStr">
        <is>
          <t>Zyvox (Linezolid) (ZYV01, ZYV02)</t>
        </is>
      </c>
      <c r="C1465" s="9" t="inlineStr">
        <is>
          <t>Low</t>
        </is>
      </c>
      <c r="D1465" s="3" t="inlineStr">
        <is>
          <t>Pregnancy</t>
        </is>
      </c>
      <c r="E1465" s="3" t="inlineStr">
        <is>
          <t>FDA letter category</t>
        </is>
      </c>
      <c r="F1465" s="3" t="inlineStr">
        <is>
          <t>Replace category C with PLLR narrative</t>
        </is>
      </c>
      <c r="G1465" s="3" t="inlineStr">
        <is>
          <t>C</t>
        </is>
      </c>
      <c r="H1465" s="3" t="inlineStr">
        <is>
          <t>FDA letter categories are retired (PLLR). The current label narrative: published and postmarketing data have not identified a drug-associated risk of major birth defects, miscarriage or adverse outcomes; animal studies showed no malformations. The UK SmPC says avoid unless clearly necessary.</t>
        </is>
      </c>
      <c r="I1465" s="3" t="inlineStr">
        <is>
          <t>US label §8.1 (DailyMed setid 6e70e63b…, 2026); Taiwan 仿單 §6.1; UK SmPC 4.6</t>
        </is>
      </c>
      <c r="J1465" s="3" t="inlineStr">
        <is>
          <t>Open</t>
        </is>
      </c>
      <c r="K1465" s="3"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80" customWidth="1" min="2" max="2"/>
    <col width="18" customWidth="1" min="3" max="3"/>
    <col width="14" customWidth="1" min="4" max="4"/>
  </cols>
  <sheetData>
    <row r="1">
      <c r="A1" s="10" t="inlineStr">
        <is>
          <t>Pattern</t>
        </is>
      </c>
      <c r="B1" s="10" t="inlineStr">
        <is>
          <t>What it means</t>
        </is>
      </c>
      <c r="C1" s="10" t="inlineStr">
        <is>
          <t>Rows (All issues)</t>
        </is>
      </c>
      <c r="D1" s="10" t="inlineStr">
        <is>
          <t>of which High</t>
        </is>
      </c>
    </row>
    <row r="2">
      <c r="A2" s="3" t="inlineStr">
        <is>
          <t>Renal table outdated</t>
        </is>
      </c>
      <c r="B2" s="3" t="inlineStr">
        <is>
          <t>Renal dose bands do not match the current label (CrCl bands, HD/CRRT rows missing or different).</t>
        </is>
      </c>
      <c r="C2" s="3">
        <f>COUNTIF('All issues'!$E$2:$E$1465,A2)</f>
        <v/>
      </c>
      <c r="D2" s="3">
        <f>COUNTIFS('All issues'!$E$2:$E$1465,A2,'All issues'!$C$2:$C$1465,"High")</f>
        <v/>
      </c>
    </row>
    <row r="3">
      <c r="A3" s="3" t="inlineStr">
        <is>
          <t>FDA letter category</t>
        </is>
      </c>
      <c r="B3" s="3" t="inlineStr">
        <is>
          <t>Pregnancy shown as an FDA letter (A/B/C/D/X). The FDA retired these in 2015 (PLLR); replace with the label narrative.</t>
        </is>
      </c>
      <c r="C3" s="3">
        <f>COUNTIF('All issues'!$E$2:$E$1465,A3)</f>
        <v/>
      </c>
      <c r="D3" s="3">
        <f>COUNTIFS('All issues'!$E$2:$E$1465,A3,'All issues'!$C$2:$C$1465,"High")</f>
        <v/>
      </c>
    </row>
    <row r="4">
      <c r="A4" s="3" t="inlineStr">
        <is>
          <t>LactMed outdated</t>
        </is>
      </c>
      <c r="B4" s="3" t="inlineStr">
        <is>
          <t>Breastfeeding text is older or more restrictive than current LactMed.</t>
        </is>
      </c>
      <c r="C4" s="3">
        <f>COUNTIF('All issues'!$E$2:$E$1465,A4)</f>
        <v/>
      </c>
      <c r="D4" s="3">
        <f>COUNTIFS('All issues'!$E$2:$E$1465,A4,'All issues'!$C$2:$C$1465,"High")</f>
        <v/>
      </c>
    </row>
    <row r="5">
      <c r="A5" s="3" t="inlineStr">
        <is>
          <t>Missing SCAR (SJS/TEN/DRESS)</t>
        </is>
      </c>
      <c r="B5" s="3" t="inlineStr">
        <is>
          <t>Severe cutaneous adverse reactions listed in the label are missing.</t>
        </is>
      </c>
      <c r="C5" s="3">
        <f>COUNTIF('All issues'!$E$2:$E$1465,A5)</f>
        <v/>
      </c>
      <c r="D5" s="3">
        <f>COUNTIFS('All issues'!$E$2:$E$1465,A5,'All issues'!$C$2:$C$1465,"High")</f>
        <v/>
      </c>
    </row>
    <row r="6">
      <c r="A6" s="3" t="inlineStr">
        <is>
          <t>Interaction list incomplete</t>
        </is>
      </c>
      <c r="B6" s="3" t="inlineStr">
        <is>
          <t>Interaction or contraindicated co-medication list is shorter than the label.</t>
        </is>
      </c>
      <c r="C6" s="3">
        <f>COUNTIF('All issues'!$E$2:$E$1465,A6)</f>
        <v/>
      </c>
      <c r="D6" s="3">
        <f>COUNTIFS('All issues'!$E$2:$E$1465,A6,'All issues'!$C$2:$C$1465,"High")</f>
        <v/>
      </c>
    </row>
    <row r="7">
      <c r="A7" s="3" t="inlineStr">
        <is>
          <t>Missing boxed warning</t>
        </is>
      </c>
      <c r="B7" s="3" t="inlineStr">
        <is>
          <t>A US boxed warning is not mentioned.</t>
        </is>
      </c>
      <c r="C7" s="3">
        <f>COUNTIF('All issues'!$E$2:$E$1465,A7)</f>
        <v/>
      </c>
      <c r="D7" s="3">
        <f>COUNTIFS('All issues'!$E$2:$E$1465,A7,'All issues'!$C$2:$C$1465,"High")</f>
        <v/>
      </c>
    </row>
    <row r="8">
      <c r="A8" s="3" t="inlineStr">
        <is>
          <t>Missing C. difficile warning</t>
        </is>
      </c>
      <c r="B8" s="3" t="inlineStr">
        <is>
          <t>The C. difficile-associated diarrhoea warning in the label is missing.</t>
        </is>
      </c>
      <c r="C8" s="3">
        <f>COUNTIF('All issues'!$E$2:$E$1465,A8)</f>
        <v/>
      </c>
      <c r="D8" s="3">
        <f>COUNTIFS('All issues'!$E$2:$E$1465,A8,'All issues'!$C$2:$C$1465,"High")</f>
        <v/>
      </c>
    </row>
    <row r="9">
      <c r="A9" s="3" t="inlineStr">
        <is>
          <t>Tip</t>
        </is>
      </c>
      <c r="B9" s="3" t="inlineStr">
        <is>
          <t>Fixing these as one batch across all drugs is faster than drug by drug.</t>
        </is>
      </c>
      <c r="C9" s="3" t="inlineStr"/>
      <c r="D9"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s>
  <sheetData>
    <row r="1">
      <c r="A1" s="11" t="inlineStr">
        <is>
          <t>Drug (hospital code)</t>
        </is>
      </c>
      <c r="B1" s="11" t="inlineStr">
        <is>
          <t>High</t>
        </is>
      </c>
      <c r="C1" s="11" t="inlineStr">
        <is>
          <t>Medium</t>
        </is>
      </c>
      <c r="D1" s="11" t="inlineStr">
        <is>
          <t>Low</t>
        </is>
      </c>
      <c r="E1" s="11" t="inlineStr">
        <is>
          <t>Total</t>
        </is>
      </c>
    </row>
    <row r="2">
      <c r="A2" s="4" t="inlineStr">
        <is>
          <t>Akurit-4 / Akurit-3 (TB fixed-dose combinations) (AKU02, AKU01)</t>
        </is>
      </c>
      <c r="B2" s="4">
        <f>COUNTIFS('All issues'!$B$2:$B$1465,A2,'All issues'!$C$2:$C$1465,"High")</f>
        <v/>
      </c>
      <c r="C2" s="4">
        <f>COUNTIFS('All issues'!$B$2:$B$1465,A2,'All issues'!$C$2:$C$1465,"Medium")</f>
        <v/>
      </c>
      <c r="D2" s="4">
        <f>COUNTIFS('All issues'!$B$2:$B$1465,A2,'All issues'!$C$2:$C$1465,"Low")</f>
        <v/>
      </c>
      <c r="E2" s="4">
        <f>SUM(B2:D2)</f>
        <v/>
      </c>
    </row>
    <row r="3">
      <c r="A3" s="4" t="inlineStr">
        <is>
          <t>Amikacin (AMI12)</t>
        </is>
      </c>
      <c r="B3" s="4">
        <f>COUNTIFS('All issues'!$B$2:$B$1465,A3,'All issues'!$C$2:$C$1465,"High")</f>
        <v/>
      </c>
      <c r="C3" s="4">
        <f>COUNTIFS('All issues'!$B$2:$B$1465,A3,'All issues'!$C$2:$C$1465,"Medium")</f>
        <v/>
      </c>
      <c r="D3" s="4">
        <f>COUNTIFS('All issues'!$B$2:$B$1465,A3,'All issues'!$C$2:$C$1465,"Low")</f>
        <v/>
      </c>
      <c r="E3" s="4">
        <f>SUM(B3:D3)</f>
        <v/>
      </c>
    </row>
    <row r="4">
      <c r="A4" s="4" t="inlineStr">
        <is>
          <t>AmoClav (Amoxicillin/clavulanate) (AMO04, AMO08)</t>
        </is>
      </c>
      <c r="B4" s="4">
        <f>COUNTIFS('All issues'!$B$2:$B$1465,A4,'All issues'!$C$2:$C$1465,"High")</f>
        <v/>
      </c>
      <c r="C4" s="4">
        <f>COUNTIFS('All issues'!$B$2:$B$1465,A4,'All issues'!$C$2:$C$1465,"Medium")</f>
        <v/>
      </c>
      <c r="D4" s="4">
        <f>COUNTIFS('All issues'!$B$2:$B$1465,A4,'All issues'!$C$2:$C$1465,"Low")</f>
        <v/>
      </c>
      <c r="E4" s="4">
        <f>SUM(B4:D4)</f>
        <v/>
      </c>
    </row>
    <row r="5">
      <c r="A5" s="4" t="inlineStr">
        <is>
          <t>Amoxicillin (AMO02)</t>
        </is>
      </c>
      <c r="B5" s="4">
        <f>COUNTIFS('All issues'!$B$2:$B$1465,A5,'All issues'!$C$2:$C$1465,"High")</f>
        <v/>
      </c>
      <c r="C5" s="4">
        <f>COUNTIFS('All issues'!$B$2:$B$1465,A5,'All issues'!$C$2:$C$1465,"Medium")</f>
        <v/>
      </c>
      <c r="D5" s="4">
        <f>COUNTIFS('All issues'!$B$2:$B$1465,A5,'All issues'!$C$2:$C$1465,"Low")</f>
        <v/>
      </c>
      <c r="E5" s="4">
        <f>SUM(B5:D5)</f>
        <v/>
      </c>
    </row>
    <row r="6">
      <c r="A6" s="4" t="inlineStr">
        <is>
          <t>Ampolin (Ampicillin) (AMP01)</t>
        </is>
      </c>
      <c r="B6" s="4">
        <f>COUNTIFS('All issues'!$B$2:$B$1465,A6,'All issues'!$C$2:$C$1465,"High")</f>
        <v/>
      </c>
      <c r="C6" s="4">
        <f>COUNTIFS('All issues'!$B$2:$B$1465,A6,'All issues'!$C$2:$C$1465,"Medium")</f>
        <v/>
      </c>
      <c r="D6" s="4">
        <f>COUNTIFS('All issues'!$B$2:$B$1465,A6,'All issues'!$C$2:$C$1465,"Low")</f>
        <v/>
      </c>
      <c r="E6" s="4">
        <f>SUM(B6:D6)</f>
        <v/>
      </c>
    </row>
    <row r="7">
      <c r="A7" s="4" t="inlineStr">
        <is>
          <t>Antifect (Cefepime) (ANT10)</t>
        </is>
      </c>
      <c r="B7" s="4">
        <f>COUNTIFS('All issues'!$B$2:$B$1465,A7,'All issues'!$C$2:$C$1465,"High")</f>
        <v/>
      </c>
      <c r="C7" s="4">
        <f>COUNTIFS('All issues'!$B$2:$B$1465,A7,'All issues'!$C$2:$C$1465,"Medium")</f>
        <v/>
      </c>
      <c r="D7" s="4">
        <f>COUNTIFS('All issues'!$B$2:$B$1465,A7,'All issues'!$C$2:$C$1465,"Low")</f>
        <v/>
      </c>
      <c r="E7" s="4">
        <f>SUM(B7:D7)</f>
        <v/>
      </c>
    </row>
    <row r="8">
      <c r="A8" s="4" t="inlineStr">
        <is>
          <t>Baraclude / Envir (Entecavir) (BAR03, ENV01, ENV02)</t>
        </is>
      </c>
      <c r="B8" s="4">
        <f>COUNTIFS('All issues'!$B$2:$B$1465,A8,'All issues'!$C$2:$C$1465,"High")</f>
        <v/>
      </c>
      <c r="C8" s="4">
        <f>COUNTIFS('All issues'!$B$2:$B$1465,A8,'All issues'!$C$2:$C$1465,"Medium")</f>
        <v/>
      </c>
      <c r="D8" s="4">
        <f>COUNTIFS('All issues'!$B$2:$B$1465,A8,'All issues'!$C$2:$C$1465,"Low")</f>
        <v/>
      </c>
      <c r="E8" s="4">
        <f>SUM(B8:D8)</f>
        <v/>
      </c>
    </row>
    <row r="9">
      <c r="A9" s="4" t="inlineStr">
        <is>
          <t>Bicillin (Penicillin G benzathine) (PEN11, BIC02)</t>
        </is>
      </c>
      <c r="B9" s="4">
        <f>COUNTIFS('All issues'!$B$2:$B$1465,A9,'All issues'!$C$2:$C$1465,"High")</f>
        <v/>
      </c>
      <c r="C9" s="4">
        <f>COUNTIFS('All issues'!$B$2:$B$1465,A9,'All issues'!$C$2:$C$1465,"Medium")</f>
        <v/>
      </c>
      <c r="D9" s="4">
        <f>COUNTIFS('All issues'!$B$2:$B$1465,A9,'All issues'!$C$2:$C$1465,"Low")</f>
        <v/>
      </c>
      <c r="E9" s="4">
        <f>SUM(B9:D9)</f>
        <v/>
      </c>
    </row>
    <row r="10">
      <c r="A10" s="4" t="inlineStr">
        <is>
          <t>Biktarvy (Bictegravir/Emtricitabine/TAF) (BIK01, BIK02)</t>
        </is>
      </c>
      <c r="B10" s="4">
        <f>COUNTIFS('All issues'!$B$2:$B$1465,A10,'All issues'!$C$2:$C$1465,"High")</f>
        <v/>
      </c>
      <c r="C10" s="4">
        <f>COUNTIFS('All issues'!$B$2:$B$1465,A10,'All issues'!$C$2:$C$1465,"Medium")</f>
        <v/>
      </c>
      <c r="D10" s="4">
        <f>COUNTIFS('All issues'!$B$2:$B$1465,A10,'All issues'!$C$2:$C$1465,"Low")</f>
        <v/>
      </c>
      <c r="E10" s="4">
        <f>SUM(B10:D10)</f>
        <v/>
      </c>
    </row>
    <row r="11">
      <c r="A11" s="4" t="inlineStr">
        <is>
          <t>Bobimixyn (Polymyxin B) (BOB01)</t>
        </is>
      </c>
      <c r="B11" s="4">
        <f>COUNTIFS('All issues'!$B$2:$B$1465,A11,'All issues'!$C$2:$C$1465,"High")</f>
        <v/>
      </c>
      <c r="C11" s="4">
        <f>COUNTIFS('All issues'!$B$2:$B$1465,A11,'All issues'!$C$2:$C$1465,"Medium")</f>
        <v/>
      </c>
      <c r="D11" s="4">
        <f>COUNTIFS('All issues'!$B$2:$B$1465,A11,'All issues'!$C$2:$C$1465,"Low")</f>
        <v/>
      </c>
      <c r="E11" s="4">
        <f>SUM(B11:D11)</f>
        <v/>
      </c>
    </row>
    <row r="12">
      <c r="A12" s="4" t="inlineStr">
        <is>
          <t>Brosym (cefoperazone-sulbactam) (BRO04, BUR01)</t>
        </is>
      </c>
      <c r="B12" s="4">
        <f>COUNTIFS('All issues'!$B$2:$B$1465,A12,'All issues'!$C$2:$C$1465,"High")</f>
        <v/>
      </c>
      <c r="C12" s="4">
        <f>COUNTIFS('All issues'!$B$2:$B$1465,A12,'All issues'!$C$2:$C$1465,"Medium")</f>
        <v/>
      </c>
      <c r="D12" s="4">
        <f>COUNTIFS('All issues'!$B$2:$B$1465,A12,'All issues'!$C$2:$C$1465,"Low")</f>
        <v/>
      </c>
      <c r="E12" s="4">
        <f>SUM(B12:D12)</f>
        <v/>
      </c>
    </row>
    <row r="13">
      <c r="A13" s="4" t="inlineStr">
        <is>
          <t>Cefa (Cefazolin) (CEF01)</t>
        </is>
      </c>
      <c r="B13" s="4">
        <f>COUNTIFS('All issues'!$B$2:$B$1465,A13,'All issues'!$C$2:$C$1465,"High")</f>
        <v/>
      </c>
      <c r="C13" s="4">
        <f>COUNTIFS('All issues'!$B$2:$B$1465,A13,'All issues'!$C$2:$C$1465,"Medium")</f>
        <v/>
      </c>
      <c r="D13" s="4">
        <f>COUNTIFS('All issues'!$B$2:$B$1465,A13,'All issues'!$C$2:$C$1465,"Low")</f>
        <v/>
      </c>
      <c r="E13" s="4">
        <f>SUM(B13:D13)</f>
        <v/>
      </c>
    </row>
    <row r="14">
      <c r="A14" s="4" t="inlineStr">
        <is>
          <t>Cefin (Ceftriaxone) (CEF10)</t>
        </is>
      </c>
      <c r="B14" s="4">
        <f>COUNTIFS('All issues'!$B$2:$B$1465,A14,'All issues'!$C$2:$C$1465,"High")</f>
        <v/>
      </c>
      <c r="C14" s="4">
        <f>COUNTIFS('All issues'!$B$2:$B$1465,A14,'All issues'!$C$2:$C$1465,"Medium")</f>
        <v/>
      </c>
      <c r="D14" s="4">
        <f>COUNTIFS('All issues'!$B$2:$B$1465,A14,'All issues'!$C$2:$C$1465,"Low")</f>
        <v/>
      </c>
      <c r="E14" s="4">
        <f>SUM(B14:D14)</f>
        <v/>
      </c>
    </row>
    <row r="15">
      <c r="A15" s="4" t="inlineStr">
        <is>
          <t>Cefmore (Cefoxitin) (CEF08)</t>
        </is>
      </c>
      <c r="B15" s="4">
        <f>COUNTIFS('All issues'!$B$2:$B$1465,A15,'All issues'!$C$2:$C$1465,"High")</f>
        <v/>
      </c>
      <c r="C15" s="4">
        <f>COUNTIFS('All issues'!$B$2:$B$1465,A15,'All issues'!$C$2:$C$1465,"Medium")</f>
        <v/>
      </c>
      <c r="D15" s="4">
        <f>COUNTIFS('All issues'!$B$2:$B$1465,A15,'All issues'!$C$2:$C$1465,"Low")</f>
        <v/>
      </c>
      <c r="E15" s="4">
        <f>SUM(B15:D15)</f>
        <v/>
      </c>
    </row>
    <row r="16">
      <c r="A16" s="4" t="inlineStr">
        <is>
          <t>Cephalexin (CEP02, ULE02)</t>
        </is>
      </c>
      <c r="B16" s="4">
        <f>COUNTIFS('All issues'!$B$2:$B$1465,A16,'All issues'!$C$2:$C$1465,"High")</f>
        <v/>
      </c>
      <c r="C16" s="4">
        <f>COUNTIFS('All issues'!$B$2:$B$1465,A16,'All issues'!$C$2:$C$1465,"Medium")</f>
        <v/>
      </c>
      <c r="D16" s="4">
        <f>COUNTIFS('All issues'!$B$2:$B$1465,A16,'All issues'!$C$2:$C$1465,"Low")</f>
        <v/>
      </c>
      <c r="E16" s="4">
        <f>SUM(B16:D16)</f>
        <v/>
      </c>
    </row>
    <row r="17">
      <c r="A17" s="4" t="inlineStr">
        <is>
          <t>Cetazone (Cefmetazole) (CET03)</t>
        </is>
      </c>
      <c r="B17" s="4">
        <f>COUNTIFS('All issues'!$B$2:$B$1465,A17,'All issues'!$C$2:$C$1465,"High")</f>
        <v/>
      </c>
      <c r="C17" s="4">
        <f>COUNTIFS('All issues'!$B$2:$B$1465,A17,'All issues'!$C$2:$C$1465,"Medium")</f>
        <v/>
      </c>
      <c r="D17" s="4">
        <f>COUNTIFS('All issues'!$B$2:$B$1465,A17,'All issues'!$C$2:$C$1465,"Low")</f>
        <v/>
      </c>
      <c r="E17" s="4">
        <f>SUM(B17:D17)</f>
        <v/>
      </c>
    </row>
    <row r="18">
      <c r="A18" s="4" t="inlineStr">
        <is>
          <t>Cexime (Cefixime) (CEX02)</t>
        </is>
      </c>
      <c r="B18" s="4">
        <f>COUNTIFS('All issues'!$B$2:$B$1465,A18,'All issues'!$C$2:$C$1465,"High")</f>
        <v/>
      </c>
      <c r="C18" s="4">
        <f>COUNTIFS('All issues'!$B$2:$B$1465,A18,'All issues'!$C$2:$C$1465,"Medium")</f>
        <v/>
      </c>
      <c r="D18" s="4">
        <f>COUNTIFS('All issues'!$B$2:$B$1465,A18,'All issues'!$C$2:$C$1465,"Low")</f>
        <v/>
      </c>
      <c r="E18" s="4">
        <f>SUM(B18:D18)</f>
        <v/>
      </c>
    </row>
    <row r="19">
      <c r="A19" s="4" t="inlineStr">
        <is>
          <t>Claforan (Cefotaxime) (CLA01)</t>
        </is>
      </c>
      <c r="B19" s="4">
        <f>COUNTIFS('All issues'!$B$2:$B$1465,A19,'All issues'!$C$2:$C$1465,"High")</f>
        <v/>
      </c>
      <c r="C19" s="4">
        <f>COUNTIFS('All issues'!$B$2:$B$1465,A19,'All issues'!$C$2:$C$1465,"Medium")</f>
        <v/>
      </c>
      <c r="D19" s="4">
        <f>COUNTIFS('All issues'!$B$2:$B$1465,A19,'All issues'!$C$2:$C$1465,"Low")</f>
        <v/>
      </c>
      <c r="E19" s="4">
        <f>SUM(B19:D19)</f>
        <v/>
      </c>
    </row>
    <row r="20">
      <c r="A20" s="4" t="inlineStr">
        <is>
          <t>Colistin (COL04)</t>
        </is>
      </c>
      <c r="B20" s="4">
        <f>COUNTIFS('All issues'!$B$2:$B$1465,A20,'All issues'!$C$2:$C$1465,"High")</f>
        <v/>
      </c>
      <c r="C20" s="4">
        <f>COUNTIFS('All issues'!$B$2:$B$1465,A20,'All issues'!$C$2:$C$1465,"Medium")</f>
        <v/>
      </c>
      <c r="D20" s="4">
        <f>COUNTIFS('All issues'!$B$2:$B$1465,A20,'All issues'!$C$2:$C$1465,"Low")</f>
        <v/>
      </c>
      <c r="E20" s="4">
        <f>SUM(B20:D20)</f>
        <v/>
      </c>
    </row>
    <row r="21">
      <c r="A21" s="4" t="inlineStr">
        <is>
          <t>Cravit (levofloxacin) (CRA03, LEV08)</t>
        </is>
      </c>
      <c r="B21" s="4">
        <f>COUNTIFS('All issues'!$B$2:$B$1465,A21,'All issues'!$C$2:$C$1465,"High")</f>
        <v/>
      </c>
      <c r="C21" s="4">
        <f>COUNTIFS('All issues'!$B$2:$B$1465,A21,'All issues'!$C$2:$C$1465,"Medium")</f>
        <v/>
      </c>
      <c r="D21" s="4">
        <f>COUNTIFS('All issues'!$B$2:$B$1465,A21,'All issues'!$C$2:$C$1465,"Low")</f>
        <v/>
      </c>
      <c r="E21" s="4">
        <f>SUM(B21:D21)</f>
        <v/>
      </c>
    </row>
    <row r="22">
      <c r="A22" s="4" t="inlineStr">
        <is>
          <t>Cresemba (Isavuconazonium) (CRE02, CRE03)</t>
        </is>
      </c>
      <c r="B22" s="4">
        <f>COUNTIFS('All issues'!$B$2:$B$1465,A22,'All issues'!$C$2:$C$1465,"High")</f>
        <v/>
      </c>
      <c r="C22" s="4">
        <f>COUNTIFS('All issues'!$B$2:$B$1465,A22,'All issues'!$C$2:$C$1465,"Medium")</f>
        <v/>
      </c>
      <c r="D22" s="4">
        <f>COUNTIFS('All issues'!$B$2:$B$1465,A22,'All issues'!$C$2:$C$1465,"Low")</f>
        <v/>
      </c>
      <c r="E22" s="4">
        <f>SUM(B22:D22)</f>
        <v/>
      </c>
    </row>
    <row r="23">
      <c r="A23" s="4" t="inlineStr">
        <is>
          <t>Cubicin (Daptomycin) (CUB01)</t>
        </is>
      </c>
      <c r="B23" s="4">
        <f>COUNTIFS('All issues'!$B$2:$B$1465,A23,'All issues'!$C$2:$C$1465,"High")</f>
        <v/>
      </c>
      <c r="C23" s="4">
        <f>COUNTIFS('All issues'!$B$2:$B$1465,A23,'All issues'!$C$2:$C$1465,"Medium")</f>
        <v/>
      </c>
      <c r="D23" s="4">
        <f>COUNTIFS('All issues'!$B$2:$B$1465,A23,'All issues'!$C$2:$C$1465,"Low")</f>
        <v/>
      </c>
      <c r="E23" s="4">
        <f>SUM(B23:D23)</f>
        <v/>
      </c>
    </row>
    <row r="24">
      <c r="A24" s="4" t="inlineStr">
        <is>
          <t>Delstrigo (Doravirine/Lamivudine/TDF) (DEL01)</t>
        </is>
      </c>
      <c r="B24" s="4">
        <f>COUNTIFS('All issues'!$B$2:$B$1465,A24,'All issues'!$C$2:$C$1465,"High")</f>
        <v/>
      </c>
      <c r="C24" s="4">
        <f>COUNTIFS('All issues'!$B$2:$B$1465,A24,'All issues'!$C$2:$C$1465,"Medium")</f>
        <v/>
      </c>
      <c r="D24" s="4">
        <f>COUNTIFS('All issues'!$B$2:$B$1465,A24,'All issues'!$C$2:$C$1465,"Low")</f>
        <v/>
      </c>
      <c r="E24" s="4">
        <f>SUM(B24:D24)</f>
        <v/>
      </c>
    </row>
    <row r="25">
      <c r="A25" s="4" t="inlineStr">
        <is>
          <t>Diflucan (Fluconazole) (DIF02, FLU22)</t>
        </is>
      </c>
      <c r="B25" s="4">
        <f>COUNTIFS('All issues'!$B$2:$B$1465,A25,'All issues'!$C$2:$C$1465,"High")</f>
        <v/>
      </c>
      <c r="C25" s="4">
        <f>COUNTIFS('All issues'!$B$2:$B$1465,A25,'All issues'!$C$2:$C$1465,"Medium")</f>
        <v/>
      </c>
      <c r="D25" s="4">
        <f>COUNTIFS('All issues'!$B$2:$B$1465,A25,'All issues'!$C$2:$C$1465,"Low")</f>
        <v/>
      </c>
      <c r="E25" s="4">
        <f>SUM(B25:D25)</f>
        <v/>
      </c>
    </row>
    <row r="26">
      <c r="A26" s="4" t="inlineStr">
        <is>
          <t>Disfect (Fusidic acid) (DIS01)</t>
        </is>
      </c>
      <c r="B26" s="4">
        <f>COUNTIFS('All issues'!$B$2:$B$1465,A26,'All issues'!$C$2:$C$1465,"High")</f>
        <v/>
      </c>
      <c r="C26" s="4">
        <f>COUNTIFS('All issues'!$B$2:$B$1465,A26,'All issues'!$C$2:$C$1465,"Medium")</f>
        <v/>
      </c>
      <c r="D26" s="4">
        <f>COUNTIFS('All issues'!$B$2:$B$1465,A26,'All issues'!$C$2:$C$1465,"Low")</f>
        <v/>
      </c>
      <c r="E26" s="4">
        <f>SUM(B26:D26)</f>
        <v/>
      </c>
    </row>
    <row r="27">
      <c r="A27" s="4" t="inlineStr">
        <is>
          <t>Dovato (Dolutegravir/Lamivudine) (DOV01)</t>
        </is>
      </c>
      <c r="B27" s="4">
        <f>COUNTIFS('All issues'!$B$2:$B$1465,A27,'All issues'!$C$2:$C$1465,"High")</f>
        <v/>
      </c>
      <c r="C27" s="4">
        <f>COUNTIFS('All issues'!$B$2:$B$1465,A27,'All issues'!$C$2:$C$1465,"Medium")</f>
        <v/>
      </c>
      <c r="D27" s="4">
        <f>COUNTIFS('All issues'!$B$2:$B$1465,A27,'All issues'!$C$2:$C$1465,"Low")</f>
        <v/>
      </c>
      <c r="E27" s="4">
        <f>SUM(B27:D27)</f>
        <v/>
      </c>
    </row>
    <row r="28">
      <c r="A28" s="4" t="inlineStr">
        <is>
          <t>Doxycycline (DOX04)</t>
        </is>
      </c>
      <c r="B28" s="4">
        <f>COUNTIFS('All issues'!$B$2:$B$1465,A28,'All issues'!$C$2:$C$1465,"High")</f>
        <v/>
      </c>
      <c r="C28" s="4">
        <f>COUNTIFS('All issues'!$B$2:$B$1465,A28,'All issues'!$C$2:$C$1465,"Medium")</f>
        <v/>
      </c>
      <c r="D28" s="4">
        <f>COUNTIFS('All issues'!$B$2:$B$1465,A28,'All issues'!$C$2:$C$1465,"Low")</f>
        <v/>
      </c>
      <c r="E28" s="4">
        <f>SUM(B28:D28)</f>
        <v/>
      </c>
    </row>
    <row r="29">
      <c r="A29" s="4" t="inlineStr">
        <is>
          <t>Emblaveo (Aztreonam-avibactam) (EMB01)</t>
        </is>
      </c>
      <c r="B29" s="4">
        <f>COUNTIFS('All issues'!$B$2:$B$1465,A29,'All issues'!$C$2:$C$1465,"High")</f>
        <v/>
      </c>
      <c r="C29" s="4">
        <f>COUNTIFS('All issues'!$B$2:$B$1465,A29,'All issues'!$C$2:$C$1465,"Medium")</f>
        <v/>
      </c>
      <c r="D29" s="4">
        <f>COUNTIFS('All issues'!$B$2:$B$1465,A29,'All issues'!$C$2:$C$1465,"Low")</f>
        <v/>
      </c>
      <c r="E29" s="4">
        <f>SUM(B29:D29)</f>
        <v/>
      </c>
    </row>
    <row r="30">
      <c r="A30" s="4" t="inlineStr">
        <is>
          <t>Epbutol (Ethambutol) (EPB01)</t>
        </is>
      </c>
      <c r="B30" s="4">
        <f>COUNTIFS('All issues'!$B$2:$B$1465,A30,'All issues'!$C$2:$C$1465,"High")</f>
        <v/>
      </c>
      <c r="C30" s="4">
        <f>COUNTIFS('All issues'!$B$2:$B$1465,A30,'All issues'!$C$2:$C$1465,"Medium")</f>
        <v/>
      </c>
      <c r="D30" s="4">
        <f>COUNTIFS('All issues'!$B$2:$B$1465,A30,'All issues'!$C$2:$C$1465,"Low")</f>
        <v/>
      </c>
      <c r="E30" s="4">
        <f>SUM(B30:D30)</f>
        <v/>
      </c>
    </row>
    <row r="31">
      <c r="A31" s="4" t="inlineStr">
        <is>
          <t>Epclusa (Sofosbuvir/Velpatasvir) (EPC01)</t>
        </is>
      </c>
      <c r="B31" s="4">
        <f>COUNTIFS('All issues'!$B$2:$B$1465,A31,'All issues'!$C$2:$C$1465,"High")</f>
        <v/>
      </c>
      <c r="C31" s="4">
        <f>COUNTIFS('All issues'!$B$2:$B$1465,A31,'All issues'!$C$2:$C$1465,"Medium")</f>
        <v/>
      </c>
      <c r="D31" s="4">
        <f>COUNTIFS('All issues'!$B$2:$B$1465,A31,'All issues'!$C$2:$C$1465,"Low")</f>
        <v/>
      </c>
      <c r="E31" s="4">
        <f>SUM(B31:D31)</f>
        <v/>
      </c>
    </row>
    <row r="32">
      <c r="A32" s="4" t="inlineStr">
        <is>
          <t>Eraxis (Anidulafungin) (ERA01)</t>
        </is>
      </c>
      <c r="B32" s="4">
        <f>COUNTIFS('All issues'!$B$2:$B$1465,A32,'All issues'!$C$2:$C$1465,"High")</f>
        <v/>
      </c>
      <c r="C32" s="4">
        <f>COUNTIFS('All issues'!$B$2:$B$1465,A32,'All issues'!$C$2:$C$1465,"Medium")</f>
        <v/>
      </c>
      <c r="D32" s="4">
        <f>COUNTIFS('All issues'!$B$2:$B$1465,A32,'All issues'!$C$2:$C$1465,"Low")</f>
        <v/>
      </c>
      <c r="E32" s="4">
        <f>SUM(B32:D32)</f>
        <v/>
      </c>
    </row>
    <row r="33">
      <c r="A33" s="4" t="inlineStr">
        <is>
          <t>Ertapenem (ERT01)</t>
        </is>
      </c>
      <c r="B33" s="4">
        <f>COUNTIFS('All issues'!$B$2:$B$1465,A33,'All issues'!$C$2:$C$1465,"High")</f>
        <v/>
      </c>
      <c r="C33" s="4">
        <f>COUNTIFS('All issues'!$B$2:$B$1465,A33,'All issues'!$C$2:$C$1465,"Medium")</f>
        <v/>
      </c>
      <c r="D33" s="4">
        <f>COUNTIFS('All issues'!$B$2:$B$1465,A33,'All issues'!$C$2:$C$1465,"Low")</f>
        <v/>
      </c>
      <c r="E33" s="4">
        <f>SUM(B33:D33)</f>
        <v/>
      </c>
    </row>
    <row r="34">
      <c r="A34" s="4" t="inlineStr">
        <is>
          <t>Erythromycin (ERY03)</t>
        </is>
      </c>
      <c r="B34" s="4">
        <f>COUNTIFS('All issues'!$B$2:$B$1465,A34,'All issues'!$C$2:$C$1465,"High")</f>
        <v/>
      </c>
      <c r="C34" s="4">
        <f>COUNTIFS('All issues'!$B$2:$B$1465,A34,'All issues'!$C$2:$C$1465,"Medium")</f>
        <v/>
      </c>
      <c r="D34" s="4">
        <f>COUNTIFS('All issues'!$B$2:$B$1465,A34,'All issues'!$C$2:$C$1465,"Low")</f>
        <v/>
      </c>
      <c r="E34" s="4">
        <f>SUM(B34:D34)</f>
        <v/>
      </c>
    </row>
    <row r="35">
      <c r="A35" s="4" t="inlineStr">
        <is>
          <t>Famvir (Famciclovir) (FAM01)</t>
        </is>
      </c>
      <c r="B35" s="4">
        <f>COUNTIFS('All issues'!$B$2:$B$1465,A35,'All issues'!$C$2:$C$1465,"High")</f>
        <v/>
      </c>
      <c r="C35" s="4">
        <f>COUNTIFS('All issues'!$B$2:$B$1465,A35,'All issues'!$C$2:$C$1465,"Medium")</f>
        <v/>
      </c>
      <c r="D35" s="4">
        <f>COUNTIFS('All issues'!$B$2:$B$1465,A35,'All issues'!$C$2:$C$1465,"Low")</f>
        <v/>
      </c>
      <c r="E35" s="4">
        <f>SUM(B35:D35)</f>
        <v/>
      </c>
    </row>
    <row r="36">
      <c r="A36" s="4" t="inlineStr">
        <is>
          <t>Fetroja (Cefiderocol) (FET01)</t>
        </is>
      </c>
      <c r="B36" s="4">
        <f>COUNTIFS('All issues'!$B$2:$B$1465,A36,'All issues'!$C$2:$C$1465,"High")</f>
        <v/>
      </c>
      <c r="C36" s="4">
        <f>COUNTIFS('All issues'!$B$2:$B$1465,A36,'All issues'!$C$2:$C$1465,"Medium")</f>
        <v/>
      </c>
      <c r="D36" s="4">
        <f>COUNTIFS('All issues'!$B$2:$B$1465,A36,'All issues'!$C$2:$C$1465,"Low")</f>
        <v/>
      </c>
      <c r="E36" s="4">
        <f>SUM(B36:D36)</f>
        <v/>
      </c>
    </row>
    <row r="37">
      <c r="A37" s="4" t="inlineStr">
        <is>
          <t>Flumarin (Flomoxef) (FLU05)</t>
        </is>
      </c>
      <c r="B37" s="4">
        <f>COUNTIFS('All issues'!$B$2:$B$1465,A37,'All issues'!$C$2:$C$1465,"High")</f>
        <v/>
      </c>
      <c r="C37" s="4">
        <f>COUNTIFS('All issues'!$B$2:$B$1465,A37,'All issues'!$C$2:$C$1465,"Medium")</f>
        <v/>
      </c>
      <c r="D37" s="4">
        <f>COUNTIFS('All issues'!$B$2:$B$1465,A37,'All issues'!$C$2:$C$1465,"Low")</f>
        <v/>
      </c>
      <c r="E37" s="4">
        <f>SUM(B37:D37)</f>
        <v/>
      </c>
    </row>
    <row r="38">
      <c r="A38" s="4" t="inlineStr">
        <is>
          <t>Flusine (Flucytosine) (FLU07)</t>
        </is>
      </c>
      <c r="B38" s="4">
        <f>COUNTIFS('All issues'!$B$2:$B$1465,A38,'All issues'!$C$2:$C$1465,"High")</f>
        <v/>
      </c>
      <c r="C38" s="4">
        <f>COUNTIFS('All issues'!$B$2:$B$1465,A38,'All issues'!$C$2:$C$1465,"Medium")</f>
        <v/>
      </c>
      <c r="D38" s="4">
        <f>COUNTIFS('All issues'!$B$2:$B$1465,A38,'All issues'!$C$2:$C$1465,"Low")</f>
        <v/>
      </c>
      <c r="E38" s="4">
        <f>SUM(B38:D38)</f>
        <v/>
      </c>
    </row>
    <row r="39">
      <c r="A39" s="4" t="inlineStr">
        <is>
          <t>Fungizone (Amphotericin B deoxycholate) (FUN01)</t>
        </is>
      </c>
      <c r="B39" s="4">
        <f>COUNTIFS('All issues'!$B$2:$B$1465,A39,'All issues'!$C$2:$C$1465,"High")</f>
        <v/>
      </c>
      <c r="C39" s="4">
        <f>COUNTIFS('All issues'!$B$2:$B$1465,A39,'All issues'!$C$2:$C$1465,"Medium")</f>
        <v/>
      </c>
      <c r="D39" s="4">
        <f>COUNTIFS('All issues'!$B$2:$B$1465,A39,'All issues'!$C$2:$C$1465,"Low")</f>
        <v/>
      </c>
      <c r="E39" s="4">
        <f>SUM(B39:D39)</f>
        <v/>
      </c>
    </row>
    <row r="40">
      <c r="A40" s="4" t="inlineStr">
        <is>
          <t>Ganciclovir (GAN03)</t>
        </is>
      </c>
      <c r="B40" s="4">
        <f>COUNTIFS('All issues'!$B$2:$B$1465,A40,'All issues'!$C$2:$C$1465,"High")</f>
        <v/>
      </c>
      <c r="C40" s="4">
        <f>COUNTIFS('All issues'!$B$2:$B$1465,A40,'All issues'!$C$2:$C$1465,"Medium")</f>
        <v/>
      </c>
      <c r="D40" s="4">
        <f>COUNTIFS('All issues'!$B$2:$B$1465,A40,'All issues'!$C$2:$C$1465,"Low")</f>
        <v/>
      </c>
      <c r="E40" s="4">
        <f>SUM(B40:D40)</f>
        <v/>
      </c>
    </row>
    <row r="41">
      <c r="A41" s="4" t="inlineStr">
        <is>
          <t>Gentamicin (GEN04)</t>
        </is>
      </c>
      <c r="B41" s="4">
        <f>COUNTIFS('All issues'!$B$2:$B$1465,A41,'All issues'!$C$2:$C$1465,"High")</f>
        <v/>
      </c>
      <c r="C41" s="4">
        <f>COUNTIFS('All issues'!$B$2:$B$1465,A41,'All issues'!$C$2:$C$1465,"Medium")</f>
        <v/>
      </c>
      <c r="D41" s="4">
        <f>COUNTIFS('All issues'!$B$2:$B$1465,A41,'All issues'!$C$2:$C$1465,"Low")</f>
        <v/>
      </c>
      <c r="E41" s="4">
        <f>SUM(B41:D41)</f>
        <v/>
      </c>
    </row>
    <row r="42">
      <c r="A42" s="4" t="inlineStr">
        <is>
          <t>Icomein (Itraconazole) (ICO01)</t>
        </is>
      </c>
      <c r="B42" s="4">
        <f>COUNTIFS('All issues'!$B$2:$B$1465,A42,'All issues'!$C$2:$C$1465,"High")</f>
        <v/>
      </c>
      <c r="C42" s="4">
        <f>COUNTIFS('All issues'!$B$2:$B$1465,A42,'All issues'!$C$2:$C$1465,"Medium")</f>
        <v/>
      </c>
      <c r="D42" s="4">
        <f>COUNTIFS('All issues'!$B$2:$B$1465,A42,'All issues'!$C$2:$C$1465,"Low")</f>
        <v/>
      </c>
      <c r="E42" s="4">
        <f>SUM(B42:D42)</f>
        <v/>
      </c>
    </row>
    <row r="43">
      <c r="A43" s="4" t="inlineStr">
        <is>
          <t>Imipenem/Cilastatin (CUL01)</t>
        </is>
      </c>
      <c r="B43" s="4">
        <f>COUNTIFS('All issues'!$B$2:$B$1465,A43,'All issues'!$C$2:$C$1465,"High")</f>
        <v/>
      </c>
      <c r="C43" s="4">
        <f>COUNTIFS('All issues'!$B$2:$B$1465,A43,'All issues'!$C$2:$C$1465,"Medium")</f>
        <v/>
      </c>
      <c r="D43" s="4">
        <f>COUNTIFS('All issues'!$B$2:$B$1465,A43,'All issues'!$C$2:$C$1465,"Low")</f>
        <v/>
      </c>
      <c r="E43" s="4">
        <f>SUM(B43:D43)</f>
        <v/>
      </c>
    </row>
    <row r="44">
      <c r="A44" s="4" t="inlineStr">
        <is>
          <t>Isoniazid (INAH) (ISO06, ISO07)</t>
        </is>
      </c>
      <c r="B44" s="4">
        <f>COUNTIFS('All issues'!$B$2:$B$1465,A44,'All issues'!$C$2:$C$1465,"High")</f>
        <v/>
      </c>
      <c r="C44" s="4">
        <f>COUNTIFS('All issues'!$B$2:$B$1465,A44,'All issues'!$C$2:$C$1465,"Medium")</f>
        <v/>
      </c>
      <c r="D44" s="4">
        <f>COUNTIFS('All issues'!$B$2:$B$1465,A44,'All issues'!$C$2:$C$1465,"Low")</f>
        <v/>
      </c>
      <c r="E44" s="4">
        <f>SUM(B44:D44)</f>
        <v/>
      </c>
    </row>
    <row r="45">
      <c r="A45" s="4" t="inlineStr">
        <is>
          <t>Juluca (Dolutegravir/Rilpivirine) (JUL01)</t>
        </is>
      </c>
      <c r="B45" s="4">
        <f>COUNTIFS('All issues'!$B$2:$B$1465,A45,'All issues'!$C$2:$C$1465,"High")</f>
        <v/>
      </c>
      <c r="C45" s="4">
        <f>COUNTIFS('All issues'!$B$2:$B$1465,A45,'All issues'!$C$2:$C$1465,"Medium")</f>
        <v/>
      </c>
      <c r="D45" s="4">
        <f>COUNTIFS('All issues'!$B$2:$B$1465,A45,'All issues'!$C$2:$C$1465,"Low")</f>
        <v/>
      </c>
      <c r="E45" s="4">
        <f>SUM(B45:D45)</f>
        <v/>
      </c>
    </row>
    <row r="46">
      <c r="A46" s="4" t="inlineStr">
        <is>
          <t>Klaricid (Clarithromycin) (KLA02, KLA03)</t>
        </is>
      </c>
      <c r="B46" s="4">
        <f>COUNTIFS('All issues'!$B$2:$B$1465,A46,'All issues'!$C$2:$C$1465,"High")</f>
        <v/>
      </c>
      <c r="C46" s="4">
        <f>COUNTIFS('All issues'!$B$2:$B$1465,A46,'All issues'!$C$2:$C$1465,"Medium")</f>
        <v/>
      </c>
      <c r="D46" s="4">
        <f>COUNTIFS('All issues'!$B$2:$B$1465,A46,'All issues'!$C$2:$C$1465,"Low")</f>
        <v/>
      </c>
      <c r="E46" s="4">
        <f>SUM(B46:D46)</f>
        <v/>
      </c>
    </row>
    <row r="47">
      <c r="A47" s="4" t="inlineStr">
        <is>
          <t>LinDACIN (Clindamycin) (LIN01, BB901)</t>
        </is>
      </c>
      <c r="B47" s="4">
        <f>COUNTIFS('All issues'!$B$2:$B$1465,A47,'All issues'!$C$2:$C$1465,"High")</f>
        <v/>
      </c>
      <c r="C47" s="4">
        <f>COUNTIFS('All issues'!$B$2:$B$1465,A47,'All issues'!$C$2:$C$1465,"Medium")</f>
        <v/>
      </c>
      <c r="D47" s="4">
        <f>COUNTIFS('All issues'!$B$2:$B$1465,A47,'All issues'!$C$2:$C$1465,"Low")</f>
        <v/>
      </c>
      <c r="E47" s="4">
        <f>SUM(B47:D47)</f>
        <v/>
      </c>
    </row>
    <row r="48">
      <c r="A48" s="4" t="inlineStr">
        <is>
          <t>Liposomal Amphotericin B (AmBisome / Ampholipad) (AMB02, AMB10)</t>
        </is>
      </c>
      <c r="B48" s="4">
        <f>COUNTIFS('All issues'!$B$2:$B$1465,A48,'All issues'!$C$2:$C$1465,"High")</f>
        <v/>
      </c>
      <c r="C48" s="4">
        <f>COUNTIFS('All issues'!$B$2:$B$1465,A48,'All issues'!$C$2:$C$1465,"Medium")</f>
        <v/>
      </c>
      <c r="D48" s="4">
        <f>COUNTIFS('All issues'!$B$2:$B$1465,A48,'All issues'!$C$2:$C$1465,"Low")</f>
        <v/>
      </c>
      <c r="E48" s="4">
        <f>SUM(B48:D48)</f>
        <v/>
      </c>
    </row>
    <row r="49">
      <c r="A49" s="4" t="inlineStr">
        <is>
          <t>Maviret (Glecaprevir/Pibrentasvir) (MAV01)</t>
        </is>
      </c>
      <c r="B49" s="4">
        <f>COUNTIFS('All issues'!$B$2:$B$1465,A49,'All issues'!$C$2:$C$1465,"High")</f>
        <v/>
      </c>
      <c r="C49" s="4">
        <f>COUNTIFS('All issues'!$B$2:$B$1465,A49,'All issues'!$C$2:$C$1465,"Medium")</f>
        <v/>
      </c>
      <c r="D49" s="4">
        <f>COUNTIFS('All issues'!$B$2:$B$1465,A49,'All issues'!$C$2:$C$1465,"Low")</f>
        <v/>
      </c>
      <c r="E49" s="4">
        <f>SUM(B49:D49)</f>
        <v/>
      </c>
    </row>
    <row r="50">
      <c r="A50" s="4" t="inlineStr">
        <is>
          <t>Menocik (minocycline) (MEN04, MER01)</t>
        </is>
      </c>
      <c r="B50" s="4">
        <f>COUNTIFS('All issues'!$B$2:$B$1465,A50,'All issues'!$C$2:$C$1465,"High")</f>
        <v/>
      </c>
      <c r="C50" s="4">
        <f>COUNTIFS('All issues'!$B$2:$B$1465,A50,'All issues'!$C$2:$C$1465,"Medium")</f>
        <v/>
      </c>
      <c r="D50" s="4">
        <f>COUNTIFS('All issues'!$B$2:$B$1465,A50,'All issues'!$C$2:$C$1465,"Low")</f>
        <v/>
      </c>
      <c r="E50" s="4">
        <f>SUM(B50:D50)</f>
        <v/>
      </c>
    </row>
    <row r="51">
      <c r="A51" s="4" t="inlineStr">
        <is>
          <t>Meropenem (MER02)</t>
        </is>
      </c>
      <c r="B51" s="4">
        <f>COUNTIFS('All issues'!$B$2:$B$1465,A51,'All issues'!$C$2:$C$1465,"High")</f>
        <v/>
      </c>
      <c r="C51" s="4">
        <f>COUNTIFS('All issues'!$B$2:$B$1465,A51,'All issues'!$C$2:$C$1465,"Medium")</f>
        <v/>
      </c>
      <c r="D51" s="4">
        <f>COUNTIFS('All issues'!$B$2:$B$1465,A51,'All issues'!$C$2:$C$1465,"Low")</f>
        <v/>
      </c>
      <c r="E51" s="4">
        <f>SUM(B51:D51)</f>
        <v/>
      </c>
    </row>
    <row r="52">
      <c r="A52" s="4" t="inlineStr">
        <is>
          <t>Mosflow (Moxifloxacin) (MOS04, FLO02)</t>
        </is>
      </c>
      <c r="B52" s="4">
        <f>COUNTIFS('All issues'!$B$2:$B$1465,A52,'All issues'!$C$2:$C$1465,"High")</f>
        <v/>
      </c>
      <c r="C52" s="4">
        <f>COUNTIFS('All issues'!$B$2:$B$1465,A52,'All issues'!$C$2:$C$1465,"Medium")</f>
        <v/>
      </c>
      <c r="D52" s="4">
        <f>COUNTIFS('All issues'!$B$2:$B$1465,A52,'All issues'!$C$2:$C$1465,"Low")</f>
        <v/>
      </c>
      <c r="E52" s="4">
        <f>SUM(B52:D52)</f>
        <v/>
      </c>
    </row>
    <row r="53">
      <c r="A53" s="4" t="inlineStr">
        <is>
          <t>Mycobutin (Rifabutin) (MYC07)</t>
        </is>
      </c>
      <c r="B53" s="4">
        <f>COUNTIFS('All issues'!$B$2:$B$1465,A53,'All issues'!$C$2:$C$1465,"High")</f>
        <v/>
      </c>
      <c r="C53" s="4">
        <f>COUNTIFS('All issues'!$B$2:$B$1465,A53,'All issues'!$C$2:$C$1465,"Medium")</f>
        <v/>
      </c>
      <c r="D53" s="4">
        <f>COUNTIFS('All issues'!$B$2:$B$1465,A53,'All issues'!$C$2:$C$1465,"Low")</f>
        <v/>
      </c>
      <c r="E53" s="4">
        <f>SUM(B53:D53)</f>
        <v/>
      </c>
    </row>
    <row r="54">
      <c r="A54" s="4" t="inlineStr">
        <is>
          <t>Myfungin (Micafungin) (MYF02)</t>
        </is>
      </c>
      <c r="B54" s="4">
        <f>COUNTIFS('All issues'!$B$2:$B$1465,A54,'All issues'!$C$2:$C$1465,"High")</f>
        <v/>
      </c>
      <c r="C54" s="4">
        <f>COUNTIFS('All issues'!$B$2:$B$1465,A54,'All issues'!$C$2:$C$1465,"Medium")</f>
        <v/>
      </c>
      <c r="D54" s="4">
        <f>COUNTIFS('All issues'!$B$2:$B$1465,A54,'All issues'!$C$2:$C$1465,"Low")</f>
        <v/>
      </c>
      <c r="E54" s="4">
        <f>SUM(B54:D54)</f>
        <v/>
      </c>
    </row>
    <row r="55">
      <c r="A55" s="4" t="inlineStr">
        <is>
          <t>Odefsey (Rilpivirine/Emtricitabine/TAF) (ODE01)</t>
        </is>
      </c>
      <c r="B55" s="4">
        <f>COUNTIFS('All issues'!$B$2:$B$1465,A55,'All issues'!$C$2:$C$1465,"High")</f>
        <v/>
      </c>
      <c r="C55" s="4">
        <f>COUNTIFS('All issues'!$B$2:$B$1465,A55,'All issues'!$C$2:$C$1465,"Medium")</f>
        <v/>
      </c>
      <c r="D55" s="4">
        <f>COUNTIFS('All issues'!$B$2:$B$1465,A55,'All issues'!$C$2:$C$1465,"Low")</f>
        <v/>
      </c>
      <c r="E55" s="4">
        <f>SUM(B55:D55)</f>
        <v/>
      </c>
    </row>
    <row r="56">
      <c r="A56" s="4" t="inlineStr">
        <is>
          <t>Oxacillin (OXA10)</t>
        </is>
      </c>
      <c r="B56" s="4">
        <f>COUNTIFS('All issues'!$B$2:$B$1465,A56,'All issues'!$C$2:$C$1465,"High")</f>
        <v/>
      </c>
      <c r="C56" s="4">
        <f>COUNTIFS('All issues'!$B$2:$B$1465,A56,'All issues'!$C$2:$C$1465,"Medium")</f>
        <v/>
      </c>
      <c r="D56" s="4">
        <f>COUNTIFS('All issues'!$B$2:$B$1465,A56,'All issues'!$C$2:$C$1465,"Low")</f>
        <v/>
      </c>
      <c r="E56" s="4">
        <f>SUM(B56:D56)</f>
        <v/>
      </c>
    </row>
    <row r="57">
      <c r="A57" s="4" t="inlineStr">
        <is>
          <t>Pipe Tazo (Piperacillin/Tazobactam) (PIP01, TAP02)</t>
        </is>
      </c>
      <c r="B57" s="4">
        <f>COUNTIFS('All issues'!$B$2:$B$1465,A57,'All issues'!$C$2:$C$1465,"High")</f>
        <v/>
      </c>
      <c r="C57" s="4">
        <f>COUNTIFS('All issues'!$B$2:$B$1465,A57,'All issues'!$C$2:$C$1465,"Medium")</f>
        <v/>
      </c>
      <c r="D57" s="4">
        <f>COUNTIFS('All issues'!$B$2:$B$1465,A57,'All issues'!$C$2:$C$1465,"Low")</f>
        <v/>
      </c>
      <c r="E57" s="4">
        <f>SUM(B57:D57)</f>
        <v/>
      </c>
    </row>
    <row r="58">
      <c r="A58" s="4" t="inlineStr">
        <is>
          <t>Posanol (Posaconazole) (POS01)</t>
        </is>
      </c>
      <c r="B58" s="4">
        <f>COUNTIFS('All issues'!$B$2:$B$1465,A58,'All issues'!$C$2:$C$1465,"High")</f>
        <v/>
      </c>
      <c r="C58" s="4">
        <f>COUNTIFS('All issues'!$B$2:$B$1465,A58,'All issues'!$C$2:$C$1465,"Medium")</f>
        <v/>
      </c>
      <c r="D58" s="4">
        <f>COUNTIFS('All issues'!$B$2:$B$1465,A58,'All issues'!$C$2:$C$1465,"Low")</f>
        <v/>
      </c>
      <c r="E58" s="4">
        <f>SUM(B58:D58)</f>
        <v/>
      </c>
    </row>
    <row r="59">
      <c r="A59" s="4" t="inlineStr">
        <is>
          <t>Priftin (Rifapentine) (PRI07)</t>
        </is>
      </c>
      <c r="B59" s="4">
        <f>COUNTIFS('All issues'!$B$2:$B$1465,A59,'All issues'!$C$2:$C$1465,"High")</f>
        <v/>
      </c>
      <c r="C59" s="4">
        <f>COUNTIFS('All issues'!$B$2:$B$1465,A59,'All issues'!$C$2:$C$1465,"Medium")</f>
        <v/>
      </c>
      <c r="D59" s="4">
        <f>COUNTIFS('All issues'!$B$2:$B$1465,A59,'All issues'!$C$2:$C$1465,"Low")</f>
        <v/>
      </c>
      <c r="E59" s="4">
        <f>SUM(B59:D59)</f>
        <v/>
      </c>
    </row>
    <row r="60">
      <c r="A60" s="4" t="inlineStr">
        <is>
          <t>Pyrazinamide (PYR03)</t>
        </is>
      </c>
      <c r="B60" s="4">
        <f>COUNTIFS('All issues'!$B$2:$B$1465,A60,'All issues'!$C$2:$C$1465,"High")</f>
        <v/>
      </c>
      <c r="C60" s="4">
        <f>COUNTIFS('All issues'!$B$2:$B$1465,A60,'All issues'!$C$2:$C$1465,"Medium")</f>
        <v/>
      </c>
      <c r="D60" s="4">
        <f>COUNTIFS('All issues'!$B$2:$B$1465,A60,'All issues'!$C$2:$C$1465,"Low")</f>
        <v/>
      </c>
      <c r="E60" s="4">
        <f>SUM(B60:D60)</f>
        <v/>
      </c>
    </row>
    <row r="61">
      <c r="A61" s="4" t="inlineStr">
        <is>
          <t>Rapiacta (Peramivir) (RAP02)</t>
        </is>
      </c>
      <c r="B61" s="4">
        <f>COUNTIFS('All issues'!$B$2:$B$1465,A61,'All issues'!$C$2:$C$1465,"High")</f>
        <v/>
      </c>
      <c r="C61" s="4">
        <f>COUNTIFS('All issues'!$B$2:$B$1465,A61,'All issues'!$C$2:$C$1465,"Medium")</f>
        <v/>
      </c>
      <c r="D61" s="4">
        <f>COUNTIFS('All issues'!$B$2:$B$1465,A61,'All issues'!$C$2:$C$1465,"Low")</f>
        <v/>
      </c>
      <c r="E61" s="4">
        <f>SUM(B61:D61)</f>
        <v/>
      </c>
    </row>
    <row r="62">
      <c r="A62" s="4" t="inlineStr">
        <is>
          <t>Ribarin (Ribavirin) (RIB01)</t>
        </is>
      </c>
      <c r="B62" s="4">
        <f>COUNTIFS('All issues'!$B$2:$B$1465,A62,'All issues'!$C$2:$C$1465,"High")</f>
        <v/>
      </c>
      <c r="C62" s="4">
        <f>COUNTIFS('All issues'!$B$2:$B$1465,A62,'All issues'!$C$2:$C$1465,"Medium")</f>
        <v/>
      </c>
      <c r="D62" s="4">
        <f>COUNTIFS('All issues'!$B$2:$B$1465,A62,'All issues'!$C$2:$C$1465,"Low")</f>
        <v/>
      </c>
      <c r="E62" s="4">
        <f>SUM(B62:D62)</f>
        <v/>
      </c>
    </row>
    <row r="63">
      <c r="A63" s="4" t="inlineStr">
        <is>
          <t>Rifampicin (Rifampin) (RIF04)</t>
        </is>
      </c>
      <c r="B63" s="4">
        <f>COUNTIFS('All issues'!$B$2:$B$1465,A63,'All issues'!$C$2:$C$1465,"High")</f>
        <v/>
      </c>
      <c r="C63" s="4">
        <f>COUNTIFS('All issues'!$B$2:$B$1465,A63,'All issues'!$C$2:$C$1465,"Medium")</f>
        <v/>
      </c>
      <c r="D63" s="4">
        <f>COUNTIFS('All issues'!$B$2:$B$1465,A63,'All issues'!$C$2:$C$1465,"Low")</f>
        <v/>
      </c>
      <c r="E63" s="4">
        <f>SUM(B63:D63)</f>
        <v/>
      </c>
    </row>
    <row r="64">
      <c r="A64" s="4" t="inlineStr">
        <is>
          <t>SABS (Metronidazole) (SAB03, TOL01)</t>
        </is>
      </c>
      <c r="B64" s="4">
        <f>COUNTIFS('All issues'!$B$2:$B$1465,A64,'All issues'!$C$2:$C$1465,"High")</f>
        <v/>
      </c>
      <c r="C64" s="4">
        <f>COUNTIFS('All issues'!$B$2:$B$1465,A64,'All issues'!$C$2:$C$1465,"Medium")</f>
        <v/>
      </c>
      <c r="D64" s="4">
        <f>COUNTIFS('All issues'!$B$2:$B$1465,A64,'All issues'!$C$2:$C$1465,"Low")</f>
        <v/>
      </c>
      <c r="E64" s="4">
        <f>SUM(B64:D64)</f>
        <v/>
      </c>
    </row>
    <row r="65">
      <c r="A65" s="4" t="inlineStr">
        <is>
          <t>Seforce (ciprofloxacin) (SEF02, CIN02)</t>
        </is>
      </c>
      <c r="B65" s="4">
        <f>COUNTIFS('All issues'!$B$2:$B$1465,A65,'All issues'!$C$2:$C$1465,"High")</f>
        <v/>
      </c>
      <c r="C65" s="4">
        <f>COUNTIFS('All issues'!$B$2:$B$1465,A65,'All issues'!$C$2:$C$1465,"Medium")</f>
        <v/>
      </c>
      <c r="D65" s="4">
        <f>COUNTIFS('All issues'!$B$2:$B$1465,A65,'All issues'!$C$2:$C$1465,"Low")</f>
        <v/>
      </c>
      <c r="E65" s="4">
        <f>SUM(B65:D65)</f>
        <v/>
      </c>
    </row>
    <row r="66">
      <c r="A66" s="4" t="inlineStr">
        <is>
          <t>Sevatrim (Sulfamethoxazole/Trimethoprim) (SEV03, MOR06, SUL03)</t>
        </is>
      </c>
      <c r="B66" s="4">
        <f>COUNTIFS('All issues'!$B$2:$B$1465,A66,'All issues'!$C$2:$C$1465,"High")</f>
        <v/>
      </c>
      <c r="C66" s="4">
        <f>COUNTIFS('All issues'!$B$2:$B$1465,A66,'All issues'!$C$2:$C$1465,"Medium")</f>
        <v/>
      </c>
      <c r="D66" s="4">
        <f>COUNTIFS('All issues'!$B$2:$B$1465,A66,'All issues'!$C$2:$C$1465,"Low")</f>
        <v/>
      </c>
      <c r="E66" s="4">
        <f>SUM(B66:D66)</f>
        <v/>
      </c>
    </row>
    <row r="67">
      <c r="A67" s="4" t="inlineStr">
        <is>
          <t>Sulampi (Ampicillin/Sulbactam) (SUL05)</t>
        </is>
      </c>
      <c r="B67" s="4">
        <f>COUNTIFS('All issues'!$B$2:$B$1465,A67,'All issues'!$C$2:$C$1465,"High")</f>
        <v/>
      </c>
      <c r="C67" s="4">
        <f>COUNTIFS('All issues'!$B$2:$B$1465,A67,'All issues'!$C$2:$C$1465,"Medium")</f>
        <v/>
      </c>
      <c r="D67" s="4">
        <f>COUNTIFS('All issues'!$B$2:$B$1465,A67,'All issues'!$C$2:$C$1465,"Low")</f>
        <v/>
      </c>
      <c r="E67" s="4">
        <f>SUM(B67:D67)</f>
        <v/>
      </c>
    </row>
    <row r="68">
      <c r="A68" s="4" t="inlineStr">
        <is>
          <t>Taigexyn (Nemonoxacin) (TAI05, TAI06)</t>
        </is>
      </c>
      <c r="B68" s="4">
        <f>COUNTIFS('All issues'!$B$2:$B$1465,A68,'All issues'!$C$2:$C$1465,"High")</f>
        <v/>
      </c>
      <c r="C68" s="4">
        <f>COUNTIFS('All issues'!$B$2:$B$1465,A68,'All issues'!$C$2:$C$1465,"Medium")</f>
        <v/>
      </c>
      <c r="D68" s="4">
        <f>COUNTIFS('All issues'!$B$2:$B$1465,A68,'All issues'!$C$2:$C$1465,"Low")</f>
        <v/>
      </c>
      <c r="E68" s="4">
        <f>SUM(B68:D68)</f>
        <v/>
      </c>
    </row>
    <row r="69">
      <c r="A69" s="4" t="inlineStr">
        <is>
          <t>Tamiflu (Oseltamivir) (TAM08, TAM06, ERA02, ERA03)</t>
        </is>
      </c>
      <c r="B69" s="4">
        <f>COUNTIFS('All issues'!$B$2:$B$1465,A69,'All issues'!$C$2:$C$1465,"High")</f>
        <v/>
      </c>
      <c r="C69" s="4">
        <f>COUNTIFS('All issues'!$B$2:$B$1465,A69,'All issues'!$C$2:$C$1465,"Medium")</f>
        <v/>
      </c>
      <c r="D69" s="4">
        <f>COUNTIFS('All issues'!$B$2:$B$1465,A69,'All issues'!$C$2:$C$1465,"Low")</f>
        <v/>
      </c>
      <c r="E69" s="4">
        <f>SUM(B69:D69)</f>
        <v/>
      </c>
    </row>
    <row r="70">
      <c r="A70" s="4" t="inlineStr">
        <is>
          <t>Tetracycline (TET09)</t>
        </is>
      </c>
      <c r="B70" s="4">
        <f>COUNTIFS('All issues'!$B$2:$B$1465,A70,'All issues'!$C$2:$C$1465,"High")</f>
        <v/>
      </c>
      <c r="C70" s="4">
        <f>COUNTIFS('All issues'!$B$2:$B$1465,A70,'All issues'!$C$2:$C$1465,"Medium")</f>
        <v/>
      </c>
      <c r="D70" s="4">
        <f>COUNTIFS('All issues'!$B$2:$B$1465,A70,'All issues'!$C$2:$C$1465,"Low")</f>
        <v/>
      </c>
      <c r="E70" s="4">
        <f>SUM(B70:D70)</f>
        <v/>
      </c>
    </row>
    <row r="71">
      <c r="A71" s="4" t="inlineStr">
        <is>
          <t>Tivicay (Dolutegravir) (TIV01)</t>
        </is>
      </c>
      <c r="B71" s="4">
        <f>COUNTIFS('All issues'!$B$2:$B$1465,A71,'All issues'!$C$2:$C$1465,"High")</f>
        <v/>
      </c>
      <c r="C71" s="4">
        <f>COUNTIFS('All issues'!$B$2:$B$1465,A71,'All issues'!$C$2:$C$1465,"Medium")</f>
        <v/>
      </c>
      <c r="D71" s="4">
        <f>COUNTIFS('All issues'!$B$2:$B$1465,A71,'All issues'!$C$2:$C$1465,"Low")</f>
        <v/>
      </c>
      <c r="E71" s="4">
        <f>SUM(B71:D71)</f>
        <v/>
      </c>
    </row>
    <row r="72">
      <c r="A72" s="4" t="inlineStr">
        <is>
          <t>Triumeq (Dolutegravir/Abacavir/Lamivudine) (TRI05)</t>
        </is>
      </c>
      <c r="B72" s="4">
        <f>COUNTIFS('All issues'!$B$2:$B$1465,A72,'All issues'!$C$2:$C$1465,"High")</f>
        <v/>
      </c>
      <c r="C72" s="4">
        <f>COUNTIFS('All issues'!$B$2:$B$1465,A72,'All issues'!$C$2:$C$1465,"Medium")</f>
        <v/>
      </c>
      <c r="D72" s="4">
        <f>COUNTIFS('All issues'!$B$2:$B$1465,A72,'All issues'!$C$2:$C$1465,"Low")</f>
        <v/>
      </c>
      <c r="E72" s="4">
        <f>SUM(B72:D72)</f>
        <v/>
      </c>
    </row>
    <row r="73">
      <c r="A73" s="4" t="inlineStr">
        <is>
          <t>Truvada (Emtricitabine/TDF) (TRU01, TRU03)</t>
        </is>
      </c>
      <c r="B73" s="4">
        <f>COUNTIFS('All issues'!$B$2:$B$1465,A73,'All issues'!$C$2:$C$1465,"High")</f>
        <v/>
      </c>
      <c r="C73" s="4">
        <f>COUNTIFS('All issues'!$B$2:$B$1465,A73,'All issues'!$C$2:$C$1465,"Medium")</f>
        <v/>
      </c>
      <c r="D73" s="4">
        <f>COUNTIFS('All issues'!$B$2:$B$1465,A73,'All issues'!$C$2:$C$1465,"Low")</f>
        <v/>
      </c>
      <c r="E73" s="4">
        <f>SUM(B73:D73)</f>
        <v/>
      </c>
    </row>
    <row r="74">
      <c r="A74" s="4" t="inlineStr">
        <is>
          <t>UFO (Fosfomycin) (UFO02)</t>
        </is>
      </c>
      <c r="B74" s="4">
        <f>COUNTIFS('All issues'!$B$2:$B$1465,A74,'All issues'!$C$2:$C$1465,"High")</f>
        <v/>
      </c>
      <c r="C74" s="4">
        <f>COUNTIFS('All issues'!$B$2:$B$1465,A74,'All issues'!$C$2:$C$1465,"Medium")</f>
        <v/>
      </c>
      <c r="D74" s="4">
        <f>COUNTIFS('All issues'!$B$2:$B$1465,A74,'All issues'!$C$2:$C$1465,"Low")</f>
        <v/>
      </c>
      <c r="E74" s="4">
        <f>SUM(B74:D74)</f>
        <v/>
      </c>
    </row>
    <row r="75">
      <c r="A75" s="4" t="inlineStr">
        <is>
          <t>ValTREX (Valaciclovir) (VAL03)</t>
        </is>
      </c>
      <c r="B75" s="4">
        <f>COUNTIFS('All issues'!$B$2:$B$1465,A75,'All issues'!$C$2:$C$1465,"High")</f>
        <v/>
      </c>
      <c r="C75" s="4">
        <f>COUNTIFS('All issues'!$B$2:$B$1465,A75,'All issues'!$C$2:$C$1465,"Medium")</f>
        <v/>
      </c>
      <c r="D75" s="4">
        <f>COUNTIFS('All issues'!$B$2:$B$1465,A75,'All issues'!$C$2:$C$1465,"Low")</f>
        <v/>
      </c>
      <c r="E75" s="4">
        <f>SUM(B75:D75)</f>
        <v/>
      </c>
    </row>
    <row r="76">
      <c r="A76" s="4" t="inlineStr">
        <is>
          <t>Valcyte (Valganciclovir) (VAL02)</t>
        </is>
      </c>
      <c r="B76" s="4">
        <f>COUNTIFS('All issues'!$B$2:$B$1465,A76,'All issues'!$C$2:$C$1465,"High")</f>
        <v/>
      </c>
      <c r="C76" s="4">
        <f>COUNTIFS('All issues'!$B$2:$B$1465,A76,'All issues'!$C$2:$C$1465,"Medium")</f>
        <v/>
      </c>
      <c r="D76" s="4">
        <f>COUNTIFS('All issues'!$B$2:$B$1465,A76,'All issues'!$C$2:$C$1465,"Low")</f>
        <v/>
      </c>
      <c r="E76" s="4">
        <f>SUM(B76:D76)</f>
        <v/>
      </c>
    </row>
    <row r="77">
      <c r="A77" s="4" t="inlineStr">
        <is>
          <t>Vancomycin (UVA01)</t>
        </is>
      </c>
      <c r="B77" s="4">
        <f>COUNTIFS('All issues'!$B$2:$B$1465,A77,'All issues'!$C$2:$C$1465,"High")</f>
        <v/>
      </c>
      <c r="C77" s="4">
        <f>COUNTIFS('All issues'!$B$2:$B$1465,A77,'All issues'!$C$2:$C$1465,"Medium")</f>
        <v/>
      </c>
      <c r="D77" s="4">
        <f>COUNTIFS('All issues'!$B$2:$B$1465,A77,'All issues'!$C$2:$C$1465,"Low")</f>
        <v/>
      </c>
      <c r="E77" s="4">
        <f>SUM(B77:D77)</f>
        <v/>
      </c>
    </row>
    <row r="78">
      <c r="A78" s="4" t="inlineStr">
        <is>
          <t>Veklury (Remdesivir) (VEK02, VEK03)</t>
        </is>
      </c>
      <c r="B78" s="4">
        <f>COUNTIFS('All issues'!$B$2:$B$1465,A78,'All issues'!$C$2:$C$1465,"High")</f>
        <v/>
      </c>
      <c r="C78" s="4">
        <f>COUNTIFS('All issues'!$B$2:$B$1465,A78,'All issues'!$C$2:$C$1465,"Medium")</f>
        <v/>
      </c>
      <c r="D78" s="4">
        <f>COUNTIFS('All issues'!$B$2:$B$1465,A78,'All issues'!$C$2:$C$1465,"Low")</f>
        <v/>
      </c>
      <c r="E78" s="4">
        <f>SUM(B78:D78)</f>
        <v/>
      </c>
    </row>
    <row r="79">
      <c r="A79" s="4" t="inlineStr">
        <is>
          <t>Vemlidy (Tenofovir alafenamide) (VEM01)</t>
        </is>
      </c>
      <c r="B79" s="4">
        <f>COUNTIFS('All issues'!$B$2:$B$1465,A79,'All issues'!$C$2:$C$1465,"High")</f>
        <v/>
      </c>
      <c r="C79" s="4">
        <f>COUNTIFS('All issues'!$B$2:$B$1465,A79,'All issues'!$C$2:$C$1465,"Medium")</f>
        <v/>
      </c>
      <c r="D79" s="4">
        <f>COUNTIFS('All issues'!$B$2:$B$1465,A79,'All issues'!$C$2:$C$1465,"Low")</f>
        <v/>
      </c>
      <c r="E79" s="4">
        <f>SUM(B79:D79)</f>
        <v/>
      </c>
    </row>
    <row r="80">
      <c r="A80" s="4" t="inlineStr">
        <is>
          <t>Vfend (Voriconazole) (VFE01, VFE02, VOR03)</t>
        </is>
      </c>
      <c r="B80" s="4">
        <f>COUNTIFS('All issues'!$B$2:$B$1465,A80,'All issues'!$C$2:$C$1465,"High")</f>
        <v/>
      </c>
      <c r="C80" s="4">
        <f>COUNTIFS('All issues'!$B$2:$B$1465,A80,'All issues'!$C$2:$C$1465,"Medium")</f>
        <v/>
      </c>
      <c r="D80" s="4">
        <f>COUNTIFS('All issues'!$B$2:$B$1465,A80,'All issues'!$C$2:$C$1465,"Low")</f>
        <v/>
      </c>
      <c r="E80" s="4">
        <f>SUM(B80:D80)</f>
        <v/>
      </c>
    </row>
    <row r="81">
      <c r="A81" s="4" t="inlineStr">
        <is>
          <t>Viread (Tenofovir disoproxil) (VIR04)</t>
        </is>
      </c>
      <c r="B81" s="4">
        <f>COUNTIFS('All issues'!$B$2:$B$1465,A81,'All issues'!$C$2:$C$1465,"High")</f>
        <v/>
      </c>
      <c r="C81" s="4">
        <f>COUNTIFS('All issues'!$B$2:$B$1465,A81,'All issues'!$C$2:$C$1465,"Medium")</f>
        <v/>
      </c>
      <c r="D81" s="4">
        <f>COUNTIFS('All issues'!$B$2:$B$1465,A81,'All issues'!$C$2:$C$1465,"Low")</f>
        <v/>
      </c>
      <c r="E81" s="4">
        <f>SUM(B81:D81)</f>
        <v/>
      </c>
    </row>
    <row r="82">
      <c r="A82" s="4" t="inlineStr">
        <is>
          <t>Vocabria + Rekambys (Cabotegravir + Rilpivirine LA) (VOC02, REK01)</t>
        </is>
      </c>
      <c r="B82" s="4">
        <f>COUNTIFS('All issues'!$B$2:$B$1465,A82,'All issues'!$C$2:$C$1465,"High")</f>
        <v/>
      </c>
      <c r="C82" s="4">
        <f>COUNTIFS('All issues'!$B$2:$B$1465,A82,'All issues'!$C$2:$C$1465,"Medium")</f>
        <v/>
      </c>
      <c r="D82" s="4">
        <f>COUNTIFS('All issues'!$B$2:$B$1465,A82,'All issues'!$C$2:$C$1465,"Low")</f>
        <v/>
      </c>
      <c r="E82" s="4">
        <f>SUM(B82:D82)</f>
        <v/>
      </c>
    </row>
    <row r="83">
      <c r="A83" s="4" t="inlineStr">
        <is>
          <t>Xofluza (Baloxavir) (XOF01)</t>
        </is>
      </c>
      <c r="B83" s="4">
        <f>COUNTIFS('All issues'!$B$2:$B$1465,A83,'All issues'!$C$2:$C$1465,"High")</f>
        <v/>
      </c>
      <c r="C83" s="4">
        <f>COUNTIFS('All issues'!$B$2:$B$1465,A83,'All issues'!$C$2:$C$1465,"Medium")</f>
        <v/>
      </c>
      <c r="D83" s="4">
        <f>COUNTIFS('All issues'!$B$2:$B$1465,A83,'All issues'!$C$2:$C$1465,"Low")</f>
        <v/>
      </c>
      <c r="E83" s="4">
        <f>SUM(B83:D83)</f>
        <v/>
      </c>
    </row>
    <row r="84">
      <c r="A84" s="4" t="inlineStr">
        <is>
          <t>Zavicefta (Ceftazidime-Avibactam) (ZAV04)</t>
        </is>
      </c>
      <c r="B84" s="4">
        <f>COUNTIFS('All issues'!$B$2:$B$1465,A84,'All issues'!$C$2:$C$1465,"High")</f>
        <v/>
      </c>
      <c r="C84" s="4">
        <f>COUNTIFS('All issues'!$B$2:$B$1465,A84,'All issues'!$C$2:$C$1465,"Medium")</f>
        <v/>
      </c>
      <c r="D84" s="4">
        <f>COUNTIFS('All issues'!$B$2:$B$1465,A84,'All issues'!$C$2:$C$1465,"Low")</f>
        <v/>
      </c>
      <c r="E84" s="4">
        <f>SUM(B84:D84)</f>
        <v/>
      </c>
    </row>
    <row r="85">
      <c r="A85" s="4" t="inlineStr">
        <is>
          <t>Zerbaxa (Ceftolozane-tazobactam) (ZER01)</t>
        </is>
      </c>
      <c r="B85" s="4">
        <f>COUNTIFS('All issues'!$B$2:$B$1465,A85,'All issues'!$C$2:$C$1465,"High")</f>
        <v/>
      </c>
      <c r="C85" s="4">
        <f>COUNTIFS('All issues'!$B$2:$B$1465,A85,'All issues'!$C$2:$C$1465,"Medium")</f>
        <v/>
      </c>
      <c r="D85" s="4">
        <f>COUNTIFS('All issues'!$B$2:$B$1465,A85,'All issues'!$C$2:$C$1465,"Low")</f>
        <v/>
      </c>
      <c r="E85" s="4">
        <f>SUM(B85:D85)</f>
        <v/>
      </c>
    </row>
    <row r="86">
      <c r="A86" s="4" t="inlineStr">
        <is>
          <t>Zinforo (Ceftaroline) (ZIN04)</t>
        </is>
      </c>
      <c r="B86" s="4">
        <f>COUNTIFS('All issues'!$B$2:$B$1465,A86,'All issues'!$C$2:$C$1465,"High")</f>
        <v/>
      </c>
      <c r="C86" s="4">
        <f>COUNTIFS('All issues'!$B$2:$B$1465,A86,'All issues'!$C$2:$C$1465,"Medium")</f>
        <v/>
      </c>
      <c r="D86" s="4">
        <f>COUNTIFS('All issues'!$B$2:$B$1465,A86,'All issues'!$C$2:$C$1465,"Low")</f>
        <v/>
      </c>
      <c r="E86" s="4">
        <f>SUM(B86:D86)</f>
        <v/>
      </c>
    </row>
    <row r="87">
      <c r="A87" s="4" t="inlineStr">
        <is>
          <t>Zirocin (Azithromycin) (ZIR01, AZI01)</t>
        </is>
      </c>
      <c r="B87" s="4">
        <f>COUNTIFS('All issues'!$B$2:$B$1465,A87,'All issues'!$C$2:$C$1465,"High")</f>
        <v/>
      </c>
      <c r="C87" s="4">
        <f>COUNTIFS('All issues'!$B$2:$B$1465,A87,'All issues'!$C$2:$C$1465,"Medium")</f>
        <v/>
      </c>
      <c r="D87" s="4">
        <f>COUNTIFS('All issues'!$B$2:$B$1465,A87,'All issues'!$C$2:$C$1465,"Low")</f>
        <v/>
      </c>
      <c r="E87" s="4">
        <f>SUM(B87:D87)</f>
        <v/>
      </c>
    </row>
    <row r="88">
      <c r="A88" s="4" t="inlineStr">
        <is>
          <t>Zovirax (Acyclovir) (ZOV01, ACY01)</t>
        </is>
      </c>
      <c r="B88" s="4">
        <f>COUNTIFS('All issues'!$B$2:$B$1465,A88,'All issues'!$C$2:$C$1465,"High")</f>
        <v/>
      </c>
      <c r="C88" s="4">
        <f>COUNTIFS('All issues'!$B$2:$B$1465,A88,'All issues'!$C$2:$C$1465,"Medium")</f>
        <v/>
      </c>
      <c r="D88" s="4">
        <f>COUNTIFS('All issues'!$B$2:$B$1465,A88,'All issues'!$C$2:$C$1465,"Low")</f>
        <v/>
      </c>
      <c r="E88" s="4">
        <f>SUM(B88:D88)</f>
        <v/>
      </c>
    </row>
    <row r="89">
      <c r="A89" s="4" t="inlineStr">
        <is>
          <t>Zyvox (Linezolid) (ZYV01, ZYV02)</t>
        </is>
      </c>
      <c r="B89" s="4">
        <f>COUNTIFS('All issues'!$B$2:$B$1465,A89,'All issues'!$C$2:$C$1465,"High")</f>
        <v/>
      </c>
      <c r="C89" s="4">
        <f>COUNTIFS('All issues'!$B$2:$B$1465,A89,'All issues'!$C$2:$C$1465,"Medium")</f>
        <v/>
      </c>
      <c r="D89" s="4">
        <f>COUNTIFS('All issues'!$B$2:$B$1465,A89,'All issues'!$C$2:$C$1465,"Low")</f>
        <v/>
      </c>
      <c r="E89" s="4">
        <f>SUM(B89:D89)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2026-10-06T06:55:39Z</dcterms:created>
  <dcterms:modified xsi:type="dcterms:W3CDTF">2026-10-06T06:55:39Z</dcterms:modified>
</cp:coreProperties>
</file>